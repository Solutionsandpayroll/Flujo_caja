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AlfonsoFonseca\Desktop\"/>
    </mc:Choice>
  </mc:AlternateContent>
  <xr:revisionPtr revIDLastSave="0" documentId="13_ncr:1_{D1B169DE-6FAC-45EF-A63A-02861EE1EFAE}" xr6:coauthVersionLast="47" xr6:coauthVersionMax="47" xr10:uidLastSave="{00000000-0000-0000-0000-000000000000}"/>
  <bookViews>
    <workbookView xWindow="-120" yWindow="-120" windowWidth="20730" windowHeight="11040" tabRatio="683" firstSheet="2" activeTab="6" xr2:uid="{00000000-000D-0000-FFFF-FFFF00000000}"/>
  </bookViews>
  <sheets>
    <sheet name="Festivos Colombia" sheetId="19" state="hidden" r:id="rId1"/>
    <sheet name="DICIEMBRE" sheetId="116" state="hidden" r:id="rId2"/>
    <sheet name="ENERO" sheetId="118" r:id="rId3"/>
    <sheet name="FEBRERO" sheetId="119" r:id="rId4"/>
    <sheet name="MARZO" sheetId="120" r:id="rId5"/>
    <sheet name="ABRIL" sheetId="121" r:id="rId6"/>
    <sheet name="DISTRIBUCIÓN" sheetId="94" r:id="rId7"/>
    <sheet name="MONETIZACIONES PEND" sheetId="88" r:id="rId8"/>
    <sheet name="DISTRIBUCIÓN (2)" sheetId="117" state="hidden" r:id="rId9"/>
    <sheet name="Balanza DF" sheetId="106" state="hidden" r:id="rId10"/>
    <sheet name="Hoja2" sheetId="108" state="hidden" r:id="rId11"/>
    <sheet name="Análisis" sheetId="104" state="hidden" r:id="rId12"/>
    <sheet name="Hoja1" sheetId="98" state="hidden" r:id="rId13"/>
    <sheet name="Proyectado Moneti " sheetId="92" state="hidden" r:id="rId14"/>
  </sheets>
  <definedNames>
    <definedName name="_xlnm._FilterDatabase" localSheetId="5" hidden="1">ABRIL!$C$91:$K$202</definedName>
    <definedName name="_xlnm._FilterDatabase" localSheetId="1" hidden="1">DICIEMBRE!$C$114:$K$324</definedName>
    <definedName name="_xlnm._FilterDatabase" localSheetId="2" hidden="1">ENERO!$C$115:$K$312</definedName>
    <definedName name="_xlnm._FilterDatabase" localSheetId="3" hidden="1">FEBRERO!$C$124:$K$327</definedName>
    <definedName name="_xlnm._FilterDatabase" localSheetId="4" hidden="1">MARZO!$C$100:$K$291</definedName>
    <definedName name="_xlnm._FilterDatabase" localSheetId="7" hidden="1">'MONETIZACIONES PEND'!$B$31:$XFC$506</definedName>
    <definedName name="_xlnm._FilterDatabase" localSheetId="13" hidden="1">'Proyectado Moneti '!#REF!</definedName>
    <definedName name="_Key1" localSheetId="5" hidden="1">#REF!</definedName>
    <definedName name="_Key1" localSheetId="1" hidden="1">#REF!</definedName>
    <definedName name="_Key1" localSheetId="2" hidden="1">#REF!</definedName>
    <definedName name="_Key1" localSheetId="3" hidden="1">#REF!</definedName>
    <definedName name="_Key1" localSheetId="4" hidden="1">#REF!</definedName>
    <definedName name="_Key1" hidden="1">#REF!</definedName>
    <definedName name="_Order1" hidden="1">255</definedName>
    <definedName name="_Sort" localSheetId="5" hidden="1">#REF!</definedName>
    <definedName name="_Sort" localSheetId="1" hidden="1">#REF!</definedName>
    <definedName name="_Sort" localSheetId="2" hidden="1">#REF!</definedName>
    <definedName name="_Sort" localSheetId="3" hidden="1">#REF!</definedName>
    <definedName name="_Sort" localSheetId="4" hidden="1">#REF!</definedName>
    <definedName name="_Sort" hidden="1">#REF!</definedName>
    <definedName name="_xlnm.Print_Area" localSheetId="7">'MONETIZACIONES PEND'!$A$1:$M$23</definedName>
    <definedName name="_xlnm.Print_Area" localSheetId="13">'Proyectado Moneti '!#REF!</definedName>
    <definedName name="B" localSheetId="5" hidden="1">#REF!</definedName>
    <definedName name="B" localSheetId="1" hidden="1">#REF!</definedName>
    <definedName name="B" localSheetId="2" hidden="1">#REF!</definedName>
    <definedName name="B" localSheetId="3" hidden="1">#REF!</definedName>
    <definedName name="B" localSheetId="4" hidden="1">#REF!</definedName>
    <definedName name="B" hidden="1">#REF!</definedName>
    <definedName name="Fact" localSheetId="6">DISTRIBUCIÓN!#REF!</definedName>
    <definedName name="Fact" localSheetId="8">'DISTRIBUCIÓN (2)'!#REF!</definedName>
    <definedName name="Fact">#REF!</definedName>
    <definedName name="I" localSheetId="5" hidden="1">#REF!</definedName>
    <definedName name="I" localSheetId="1" hidden="1">#REF!</definedName>
    <definedName name="I" localSheetId="2" hidden="1">#REF!</definedName>
    <definedName name="I" localSheetId="3" hidden="1">#REF!</definedName>
    <definedName name="I" localSheetId="4" hidden="1">#REF!</definedName>
    <definedName name="I" hidden="1">#REF!</definedName>
    <definedName name="Marca">#REF!</definedName>
    <definedName name="Marca1">#REF!</definedName>
    <definedName name="Marcas">#REF!</definedName>
    <definedName name="Valor">#REF!</definedName>
    <definedName name="Value">#REF!</definedName>
    <definedName name="valu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3" i="121" l="1"/>
  <c r="E194" i="121"/>
  <c r="I44" i="94" l="1"/>
  <c r="F47" i="94"/>
  <c r="E188" i="121" l="1"/>
  <c r="I189" i="121"/>
  <c r="H189" i="121"/>
  <c r="J189" i="121" s="1"/>
  <c r="A189" i="121"/>
  <c r="E187" i="121"/>
  <c r="B189" i="121" l="1"/>
  <c r="I96" i="94"/>
  <c r="I95" i="94"/>
  <c r="I57" i="94"/>
  <c r="I56" i="94"/>
  <c r="I55" i="94"/>
  <c r="I49" i="94" l="1"/>
  <c r="F22" i="94"/>
  <c r="E160" i="121"/>
  <c r="I160" i="121"/>
  <c r="H160" i="121"/>
  <c r="J160" i="121" s="1"/>
  <c r="A160" i="121"/>
  <c r="E199" i="121"/>
  <c r="I199" i="121"/>
  <c r="H199" i="121"/>
  <c r="J199" i="121" s="1"/>
  <c r="A199" i="121"/>
  <c r="E198" i="121"/>
  <c r="I198" i="121"/>
  <c r="B198" i="121" s="1"/>
  <c r="H198" i="121"/>
  <c r="J198" i="121" s="1"/>
  <c r="A198" i="121"/>
  <c r="F57" i="94"/>
  <c r="F58" i="94"/>
  <c r="F59" i="94"/>
  <c r="I93" i="94"/>
  <c r="I92" i="94"/>
  <c r="I89" i="94"/>
  <c r="I62" i="94"/>
  <c r="I53" i="94"/>
  <c r="J79" i="94" s="1"/>
  <c r="F55" i="94"/>
  <c r="B160" i="121" l="1"/>
  <c r="B199" i="121"/>
  <c r="I79" i="94"/>
  <c r="I51" i="94" s="1"/>
  <c r="J106" i="94"/>
  <c r="I106" i="94" s="1"/>
  <c r="I85" i="94" s="1"/>
  <c r="F25" i="94" l="1"/>
  <c r="F24" i="94"/>
  <c r="E115" i="121" l="1"/>
  <c r="I188" i="121" l="1"/>
  <c r="H188" i="121"/>
  <c r="J188" i="121" s="1"/>
  <c r="E191" i="121"/>
  <c r="E190" i="121" s="1"/>
  <c r="I193" i="121"/>
  <c r="H193" i="121"/>
  <c r="J193" i="121" s="1"/>
  <c r="A193" i="121"/>
  <c r="E41" i="121"/>
  <c r="E40" i="121"/>
  <c r="E17" i="121"/>
  <c r="E16" i="121"/>
  <c r="E15" i="121"/>
  <c r="E28" i="121"/>
  <c r="E27" i="121"/>
  <c r="E21" i="121"/>
  <c r="E12" i="121"/>
  <c r="E34" i="121"/>
  <c r="E31" i="121"/>
  <c r="E30" i="121"/>
  <c r="E29" i="121"/>
  <c r="F26" i="94" l="1"/>
  <c r="F27" i="94"/>
  <c r="B193" i="121"/>
  <c r="I136" i="121"/>
  <c r="H136" i="121"/>
  <c r="J136" i="121" s="1"/>
  <c r="I135" i="121"/>
  <c r="H135" i="121"/>
  <c r="J135" i="121" s="1"/>
  <c r="I133" i="121"/>
  <c r="H133" i="121"/>
  <c r="J133" i="121" s="1"/>
  <c r="I200" i="121"/>
  <c r="H200" i="121"/>
  <c r="J200" i="121" s="1"/>
  <c r="A200" i="121"/>
  <c r="E195" i="121"/>
  <c r="E201" i="121"/>
  <c r="E180" i="121"/>
  <c r="E179" i="121"/>
  <c r="E175" i="121"/>
  <c r="E174" i="121"/>
  <c r="E173" i="121"/>
  <c r="E172" i="121"/>
  <c r="E171" i="121"/>
  <c r="E169" i="121"/>
  <c r="E168" i="121"/>
  <c r="E167" i="121"/>
  <c r="I165" i="121"/>
  <c r="H165" i="121"/>
  <c r="J165" i="121" s="1"/>
  <c r="I164" i="121"/>
  <c r="H164" i="121"/>
  <c r="J164" i="121" s="1"/>
  <c r="E162" i="121"/>
  <c r="E159" i="121"/>
  <c r="I158" i="121"/>
  <c r="H158" i="121"/>
  <c r="J158" i="121" s="1"/>
  <c r="I157" i="121"/>
  <c r="H157" i="121"/>
  <c r="J157" i="121" s="1"/>
  <c r="I156" i="121"/>
  <c r="H156" i="121"/>
  <c r="J156" i="121" s="1"/>
  <c r="I155" i="121"/>
  <c r="H155" i="121"/>
  <c r="J155" i="121" s="1"/>
  <c r="I154" i="121"/>
  <c r="H154" i="121"/>
  <c r="J154" i="121" s="1"/>
  <c r="I152" i="121"/>
  <c r="H152" i="121"/>
  <c r="J152" i="121" s="1"/>
  <c r="I151" i="121"/>
  <c r="H151" i="121"/>
  <c r="J151" i="121" s="1"/>
  <c r="E146" i="121"/>
  <c r="E150" i="121"/>
  <c r="I143" i="121"/>
  <c r="H143" i="121"/>
  <c r="J143" i="121" s="1"/>
  <c r="I141" i="121"/>
  <c r="H141" i="121"/>
  <c r="J141" i="121" s="1"/>
  <c r="A141" i="121"/>
  <c r="I140" i="121"/>
  <c r="H140" i="121"/>
  <c r="J140" i="121" s="1"/>
  <c r="A140" i="121"/>
  <c r="E139" i="121"/>
  <c r="E138" i="121"/>
  <c r="I129" i="121"/>
  <c r="H129" i="121"/>
  <c r="J129" i="121" s="1"/>
  <c r="I128" i="121"/>
  <c r="H128" i="121"/>
  <c r="J128" i="121" s="1"/>
  <c r="I114" i="121"/>
  <c r="H114" i="121"/>
  <c r="J114" i="121" s="1"/>
  <c r="I113" i="121"/>
  <c r="H113" i="121"/>
  <c r="J113" i="121" s="1"/>
  <c r="E109" i="121"/>
  <c r="E108" i="121"/>
  <c r="E107" i="121"/>
  <c r="E106" i="121"/>
  <c r="B200" i="121" l="1"/>
  <c r="E137" i="121"/>
  <c r="B141" i="121"/>
  <c r="B140" i="121"/>
  <c r="H97" i="121"/>
  <c r="J97" i="121" s="1"/>
  <c r="I97" i="121"/>
  <c r="B97" i="121" s="1"/>
  <c r="E238" i="121"/>
  <c r="F234" i="121"/>
  <c r="F232" i="121"/>
  <c r="F230" i="121"/>
  <c r="G230" i="121" s="1"/>
  <c r="F228" i="121"/>
  <c r="I6" i="94" s="1"/>
  <c r="G227" i="121"/>
  <c r="E221" i="121"/>
  <c r="F21" i="94" s="1"/>
  <c r="I195" i="121"/>
  <c r="H195" i="121"/>
  <c r="J195" i="121" s="1"/>
  <c r="A195" i="121"/>
  <c r="I201" i="121"/>
  <c r="H201" i="121"/>
  <c r="J201" i="121" s="1"/>
  <c r="A201" i="121"/>
  <c r="I196" i="121"/>
  <c r="H196" i="121"/>
  <c r="J196" i="121" s="1"/>
  <c r="A196" i="121"/>
  <c r="I197" i="121"/>
  <c r="B197" i="121" s="1"/>
  <c r="H197" i="121"/>
  <c r="J197" i="121" s="1"/>
  <c r="A197" i="121"/>
  <c r="I202" i="121"/>
  <c r="H202" i="121"/>
  <c r="J202" i="121" s="1"/>
  <c r="A202" i="121"/>
  <c r="I191" i="121"/>
  <c r="H191" i="121"/>
  <c r="J191" i="121" s="1"/>
  <c r="A191" i="121"/>
  <c r="I192" i="121"/>
  <c r="B192" i="121" s="1"/>
  <c r="H192" i="121"/>
  <c r="J192" i="121" s="1"/>
  <c r="A192" i="121"/>
  <c r="B188" i="121"/>
  <c r="A188" i="121"/>
  <c r="I187" i="121"/>
  <c r="H187" i="121"/>
  <c r="J187" i="121" s="1"/>
  <c r="A187" i="121"/>
  <c r="I186" i="121"/>
  <c r="H186" i="121"/>
  <c r="J186" i="121" s="1"/>
  <c r="A186" i="121"/>
  <c r="I185" i="121"/>
  <c r="H185" i="121"/>
  <c r="J185" i="121" s="1"/>
  <c r="E185" i="121"/>
  <c r="E182" i="121" s="1"/>
  <c r="I184" i="121"/>
  <c r="H184" i="121"/>
  <c r="J184" i="121" s="1"/>
  <c r="I183" i="121"/>
  <c r="H183" i="121"/>
  <c r="J183" i="121" s="1"/>
  <c r="A183" i="121"/>
  <c r="I181" i="121"/>
  <c r="H181" i="121"/>
  <c r="J181" i="121" s="1"/>
  <c r="E181" i="121"/>
  <c r="A181" i="121"/>
  <c r="I180" i="121"/>
  <c r="H180" i="121"/>
  <c r="J180" i="121" s="1"/>
  <c r="A180" i="121"/>
  <c r="I179" i="121"/>
  <c r="H179" i="121"/>
  <c r="J179" i="121" s="1"/>
  <c r="A179" i="121"/>
  <c r="I177" i="121"/>
  <c r="H177" i="121"/>
  <c r="J177" i="121" s="1"/>
  <c r="E177" i="121"/>
  <c r="A177" i="121"/>
  <c r="I176" i="121"/>
  <c r="H176" i="121"/>
  <c r="J176" i="121" s="1"/>
  <c r="E176" i="121"/>
  <c r="A176" i="121"/>
  <c r="I175" i="121"/>
  <c r="H175" i="121"/>
  <c r="J175" i="121" s="1"/>
  <c r="A175" i="121"/>
  <c r="I174" i="121"/>
  <c r="H174" i="121"/>
  <c r="J174" i="121" s="1"/>
  <c r="A174" i="121"/>
  <c r="I173" i="121"/>
  <c r="H173" i="121"/>
  <c r="J173" i="121" s="1"/>
  <c r="A173" i="121"/>
  <c r="I172" i="121"/>
  <c r="H172" i="121"/>
  <c r="J172" i="121" s="1"/>
  <c r="A172" i="121"/>
  <c r="I171" i="121"/>
  <c r="B171" i="121" s="1"/>
  <c r="H171" i="121"/>
  <c r="J171" i="121" s="1"/>
  <c r="A171" i="121"/>
  <c r="I169" i="121"/>
  <c r="H169" i="121"/>
  <c r="J169" i="121" s="1"/>
  <c r="A169" i="121"/>
  <c r="H168" i="121"/>
  <c r="J168" i="121" s="1"/>
  <c r="A168" i="121"/>
  <c r="H167" i="121"/>
  <c r="J167" i="121" s="1"/>
  <c r="A167" i="121"/>
  <c r="A165" i="121"/>
  <c r="A164" i="121"/>
  <c r="E163" i="121"/>
  <c r="I162" i="121"/>
  <c r="H162" i="121"/>
  <c r="J162" i="121" s="1"/>
  <c r="E161" i="121"/>
  <c r="A162" i="121"/>
  <c r="I146" i="121"/>
  <c r="H146" i="121"/>
  <c r="J146" i="121" s="1"/>
  <c r="A146" i="121"/>
  <c r="I150" i="121"/>
  <c r="H150" i="121"/>
  <c r="J150" i="121" s="1"/>
  <c r="A150" i="121"/>
  <c r="I159" i="121"/>
  <c r="H159" i="121"/>
  <c r="J159" i="121" s="1"/>
  <c r="A159" i="121"/>
  <c r="A158" i="121"/>
  <c r="B157" i="121"/>
  <c r="E157" i="121"/>
  <c r="A157" i="121"/>
  <c r="B156" i="121"/>
  <c r="E156" i="121"/>
  <c r="A156" i="121"/>
  <c r="E155" i="121"/>
  <c r="A155" i="121"/>
  <c r="A154" i="121"/>
  <c r="I153" i="121"/>
  <c r="H153" i="121"/>
  <c r="J153" i="121" s="1"/>
  <c r="A153" i="121"/>
  <c r="B152" i="121"/>
  <c r="A152" i="121"/>
  <c r="B151" i="121"/>
  <c r="A151" i="121"/>
  <c r="I149" i="121"/>
  <c r="H149" i="121"/>
  <c r="J149" i="121" s="1"/>
  <c r="A149" i="121"/>
  <c r="I148" i="121"/>
  <c r="H148" i="121"/>
  <c r="J148" i="121" s="1"/>
  <c r="A148" i="121"/>
  <c r="I145" i="121"/>
  <c r="B145" i="121" s="1"/>
  <c r="H145" i="121"/>
  <c r="J145" i="121" s="1"/>
  <c r="A145" i="121"/>
  <c r="I147" i="121"/>
  <c r="H147" i="121"/>
  <c r="J147" i="121" s="1"/>
  <c r="E147" i="121"/>
  <c r="A147" i="121"/>
  <c r="B143" i="121"/>
  <c r="A143" i="121"/>
  <c r="E142" i="121"/>
  <c r="I139" i="121"/>
  <c r="H139" i="121"/>
  <c r="J139" i="121" s="1"/>
  <c r="A139" i="121"/>
  <c r="I138" i="121"/>
  <c r="H138" i="121"/>
  <c r="J138" i="121" s="1"/>
  <c r="A138" i="121"/>
  <c r="E134" i="121"/>
  <c r="E132" i="121"/>
  <c r="I131" i="121"/>
  <c r="H131" i="121"/>
  <c r="J131" i="121" s="1"/>
  <c r="E130" i="121"/>
  <c r="A129" i="121"/>
  <c r="A128" i="121"/>
  <c r="I127" i="121"/>
  <c r="B127" i="121" s="1"/>
  <c r="H127" i="121"/>
  <c r="J127" i="121" s="1"/>
  <c r="A127" i="121"/>
  <c r="I126" i="121"/>
  <c r="B126" i="121" s="1"/>
  <c r="H126" i="121"/>
  <c r="J126" i="121" s="1"/>
  <c r="A126" i="121"/>
  <c r="I125" i="121"/>
  <c r="B125" i="121" s="1"/>
  <c r="H125" i="121"/>
  <c r="J125" i="121" s="1"/>
  <c r="A125" i="121"/>
  <c r="I124" i="121"/>
  <c r="B124" i="121" s="1"/>
  <c r="H124" i="121"/>
  <c r="J124" i="121" s="1"/>
  <c r="E123" i="121"/>
  <c r="A124" i="121"/>
  <c r="I122" i="121"/>
  <c r="H122" i="121"/>
  <c r="J122" i="121" s="1"/>
  <c r="E122" i="121"/>
  <c r="A122" i="121"/>
  <c r="I121" i="121"/>
  <c r="H121" i="121"/>
  <c r="J121" i="121" s="1"/>
  <c r="A121" i="121"/>
  <c r="I120" i="121"/>
  <c r="B120" i="121" s="1"/>
  <c r="H120" i="121"/>
  <c r="J120" i="121" s="1"/>
  <c r="A120" i="121"/>
  <c r="I118" i="121"/>
  <c r="H118" i="121"/>
  <c r="J118" i="121" s="1"/>
  <c r="E118" i="121"/>
  <c r="E116" i="121" s="1"/>
  <c r="A118" i="121"/>
  <c r="I117" i="121"/>
  <c r="H117" i="121"/>
  <c r="J117" i="121" s="1"/>
  <c r="A117" i="121"/>
  <c r="I109" i="121"/>
  <c r="H109" i="121"/>
  <c r="J109" i="121" s="1"/>
  <c r="A109" i="121"/>
  <c r="I108" i="121"/>
  <c r="H108" i="121"/>
  <c r="J108" i="121" s="1"/>
  <c r="A108" i="121"/>
  <c r="I107" i="121"/>
  <c r="H107" i="121"/>
  <c r="J107" i="121" s="1"/>
  <c r="A107" i="121"/>
  <c r="I106" i="121"/>
  <c r="H106" i="121"/>
  <c r="J106" i="121" s="1"/>
  <c r="A106" i="121"/>
  <c r="I115" i="121"/>
  <c r="H115" i="121"/>
  <c r="J115" i="121" s="1"/>
  <c r="A115" i="121"/>
  <c r="B114" i="121"/>
  <c r="A114" i="121"/>
  <c r="A113" i="121"/>
  <c r="I167" i="121"/>
  <c r="I112" i="121"/>
  <c r="B112" i="121" s="1"/>
  <c r="H112" i="121"/>
  <c r="J112" i="121" s="1"/>
  <c r="A112" i="121"/>
  <c r="I111" i="121"/>
  <c r="B111" i="121" s="1"/>
  <c r="H111" i="121"/>
  <c r="J111" i="121" s="1"/>
  <c r="A111" i="121"/>
  <c r="I110" i="121"/>
  <c r="B110" i="121" s="1"/>
  <c r="H110" i="121"/>
  <c r="J110" i="121" s="1"/>
  <c r="A110" i="121"/>
  <c r="I105" i="121"/>
  <c r="B105" i="121" s="1"/>
  <c r="H105" i="121"/>
  <c r="J105" i="121" s="1"/>
  <c r="E105" i="121"/>
  <c r="A105" i="121"/>
  <c r="J104" i="121"/>
  <c r="I103" i="121"/>
  <c r="B103" i="121" s="1"/>
  <c r="H103" i="121"/>
  <c r="J103" i="121" s="1"/>
  <c r="A103" i="121"/>
  <c r="J102" i="121"/>
  <c r="I101" i="121"/>
  <c r="H101" i="121"/>
  <c r="J101" i="121" s="1"/>
  <c r="A101" i="121"/>
  <c r="I100" i="121"/>
  <c r="H100" i="121"/>
  <c r="J100" i="121" s="1"/>
  <c r="E100" i="121"/>
  <c r="A100" i="121"/>
  <c r="I99" i="121"/>
  <c r="H99" i="121"/>
  <c r="J99" i="121" s="1"/>
  <c r="A99" i="121"/>
  <c r="A97" i="121"/>
  <c r="E96" i="121"/>
  <c r="I95" i="121"/>
  <c r="H95" i="121"/>
  <c r="J95" i="121" s="1"/>
  <c r="A95" i="121"/>
  <c r="I94" i="121"/>
  <c r="B94" i="121" s="1"/>
  <c r="H94" i="121"/>
  <c r="J94" i="121" s="1"/>
  <c r="A94" i="121"/>
  <c r="I93" i="121"/>
  <c r="B93" i="121" s="1"/>
  <c r="H93" i="121"/>
  <c r="J93" i="121" s="1"/>
  <c r="A93" i="121"/>
  <c r="E92" i="121"/>
  <c r="E26" i="121"/>
  <c r="E18" i="121"/>
  <c r="E220" i="120"/>
  <c r="E8" i="120"/>
  <c r="E144" i="121" l="1"/>
  <c r="F5" i="94"/>
  <c r="B121" i="121"/>
  <c r="E98" i="121"/>
  <c r="H6" i="94"/>
  <c r="F9" i="94"/>
  <c r="G228" i="121"/>
  <c r="F8" i="94"/>
  <c r="F12" i="94"/>
  <c r="F6" i="94"/>
  <c r="F13" i="94"/>
  <c r="F11" i="94"/>
  <c r="F10" i="94"/>
  <c r="F7" i="94"/>
  <c r="B202" i="121"/>
  <c r="B181" i="121"/>
  <c r="B153" i="121"/>
  <c r="B149" i="121"/>
  <c r="B148" i="121"/>
  <c r="B147" i="121"/>
  <c r="B128" i="121"/>
  <c r="E37" i="121"/>
  <c r="E102" i="121"/>
  <c r="B158" i="121"/>
  <c r="B176" i="121"/>
  <c r="B195" i="121"/>
  <c r="B169" i="121"/>
  <c r="B180" i="121"/>
  <c r="B191" i="121"/>
  <c r="B139" i="121"/>
  <c r="B179" i="121"/>
  <c r="B150" i="121"/>
  <c r="B109" i="121"/>
  <c r="B167" i="121"/>
  <c r="E166" i="121"/>
  <c r="B95" i="121"/>
  <c r="B129" i="121"/>
  <c r="B175" i="121"/>
  <c r="B99" i="121"/>
  <c r="B113" i="121"/>
  <c r="B117" i="121"/>
  <c r="B187" i="121"/>
  <c r="B115" i="121"/>
  <c r="B107" i="121"/>
  <c r="B118" i="121"/>
  <c r="B138" i="121"/>
  <c r="B100" i="121"/>
  <c r="B108" i="121"/>
  <c r="B155" i="121"/>
  <c r="B162" i="121"/>
  <c r="B172" i="121"/>
  <c r="E104" i="121"/>
  <c r="E119" i="121"/>
  <c r="B154" i="121"/>
  <c r="B183" i="121"/>
  <c r="B201" i="121"/>
  <c r="B174" i="121"/>
  <c r="B186" i="121"/>
  <c r="B165" i="121"/>
  <c r="E170" i="121"/>
  <c r="B196" i="121"/>
  <c r="G232" i="121"/>
  <c r="B146" i="121"/>
  <c r="E178" i="121"/>
  <c r="B101" i="121"/>
  <c r="B177" i="121"/>
  <c r="B164" i="121"/>
  <c r="G87" i="121"/>
  <c r="B106" i="121"/>
  <c r="B122" i="121"/>
  <c r="B159" i="121"/>
  <c r="I168" i="121"/>
  <c r="B168" i="121" s="1"/>
  <c r="B173" i="121"/>
  <c r="E214" i="121" l="1"/>
  <c r="F17" i="94"/>
  <c r="J8" i="94"/>
  <c r="E309" i="120" l="1"/>
  <c r="I291" i="120"/>
  <c r="H291" i="120"/>
  <c r="J291" i="120" s="1"/>
  <c r="A291" i="120"/>
  <c r="J541" i="88"/>
  <c r="J540" i="88"/>
  <c r="J539" i="88"/>
  <c r="R541" i="88"/>
  <c r="Q541" i="88"/>
  <c r="M541" i="88"/>
  <c r="R540" i="88"/>
  <c r="Q540" i="88"/>
  <c r="T540" i="88" s="1"/>
  <c r="M540" i="88"/>
  <c r="T539" i="88"/>
  <c r="S539" i="88"/>
  <c r="R539" i="88"/>
  <c r="Q539" i="88"/>
  <c r="M539" i="88"/>
  <c r="G71" i="120"/>
  <c r="G76" i="120"/>
  <c r="G75" i="120"/>
  <c r="R19" i="88"/>
  <c r="T19" i="88" s="1"/>
  <c r="Q19" i="88"/>
  <c r="R18" i="88"/>
  <c r="Q18" i="88"/>
  <c r="M19" i="88"/>
  <c r="M18" i="88"/>
  <c r="J19" i="88"/>
  <c r="I19" i="88"/>
  <c r="H19" i="88"/>
  <c r="G19" i="88"/>
  <c r="I18" i="88"/>
  <c r="J18" i="88" s="1"/>
  <c r="H18" i="88"/>
  <c r="G18" i="88"/>
  <c r="E36" i="120"/>
  <c r="E35" i="120"/>
  <c r="B291" i="120" l="1"/>
  <c r="S540" i="88"/>
  <c r="T541" i="88"/>
  <c r="S541" i="88"/>
  <c r="T18" i="88"/>
  <c r="S19" i="88"/>
  <c r="S18" i="88"/>
  <c r="E178" i="120" l="1"/>
  <c r="I179" i="120"/>
  <c r="H179" i="120"/>
  <c r="J179" i="120" s="1"/>
  <c r="E179" i="120"/>
  <c r="A179" i="120"/>
  <c r="I132" i="120"/>
  <c r="H132" i="120"/>
  <c r="J132" i="120" s="1"/>
  <c r="A132" i="120"/>
  <c r="E218" i="120"/>
  <c r="I218" i="120"/>
  <c r="H218" i="120"/>
  <c r="J218" i="120" s="1"/>
  <c r="A218" i="120"/>
  <c r="E217" i="120"/>
  <c r="I217" i="120"/>
  <c r="H217" i="120"/>
  <c r="J217" i="120" s="1"/>
  <c r="A217" i="120"/>
  <c r="I178" i="120"/>
  <c r="H178" i="120"/>
  <c r="J178" i="120" s="1"/>
  <c r="A178" i="120"/>
  <c r="B179" i="120" l="1"/>
  <c r="E159" i="120"/>
  <c r="B132" i="120"/>
  <c r="B218" i="120"/>
  <c r="B217" i="120"/>
  <c r="B178" i="120"/>
  <c r="E264" i="120"/>
  <c r="E45" i="120"/>
  <c r="E32" i="120"/>
  <c r="E17" i="120"/>
  <c r="E228" i="120"/>
  <c r="E134" i="120"/>
  <c r="E133" i="120"/>
  <c r="E274" i="120"/>
  <c r="I281" i="120"/>
  <c r="H281" i="120"/>
  <c r="J281" i="120" s="1"/>
  <c r="A281" i="120"/>
  <c r="E135" i="120"/>
  <c r="I135" i="120"/>
  <c r="H135" i="120"/>
  <c r="J135" i="120" s="1"/>
  <c r="A135" i="120"/>
  <c r="E216" i="120"/>
  <c r="I216" i="120"/>
  <c r="H216" i="120"/>
  <c r="J216" i="120" s="1"/>
  <c r="A216" i="120"/>
  <c r="I134" i="120"/>
  <c r="H134" i="120"/>
  <c r="J134" i="120" s="1"/>
  <c r="A134" i="120"/>
  <c r="I133" i="120"/>
  <c r="H133" i="120"/>
  <c r="J133" i="120" s="1"/>
  <c r="A133" i="120"/>
  <c r="E226" i="120"/>
  <c r="E224" i="120" s="1"/>
  <c r="A226" i="120"/>
  <c r="A227" i="120"/>
  <c r="I225" i="120"/>
  <c r="B225" i="120" s="1"/>
  <c r="H225" i="120"/>
  <c r="J225" i="120" s="1"/>
  <c r="A225" i="120"/>
  <c r="I214" i="120"/>
  <c r="H214" i="120"/>
  <c r="J214" i="120" s="1"/>
  <c r="E214" i="120"/>
  <c r="A214" i="120"/>
  <c r="E136" i="120"/>
  <c r="I136" i="120"/>
  <c r="H136" i="120"/>
  <c r="J136" i="120" s="1"/>
  <c r="A136" i="120"/>
  <c r="E101" i="120"/>
  <c r="I104" i="120"/>
  <c r="H104" i="120"/>
  <c r="J104" i="120" s="1"/>
  <c r="A104" i="120"/>
  <c r="I280" i="120"/>
  <c r="H280" i="120"/>
  <c r="J280" i="120" s="1"/>
  <c r="A280" i="120"/>
  <c r="B135" i="120" l="1"/>
  <c r="B281" i="120"/>
  <c r="B216" i="120"/>
  <c r="B134" i="120"/>
  <c r="B133" i="120"/>
  <c r="B214" i="120"/>
  <c r="B136" i="120"/>
  <c r="B104" i="120"/>
  <c r="B280" i="120"/>
  <c r="Z541" i="88"/>
  <c r="AA541" i="88" l="1"/>
  <c r="I241" i="120"/>
  <c r="H241" i="120"/>
  <c r="J241" i="120" s="1"/>
  <c r="E241" i="120"/>
  <c r="A241" i="120"/>
  <c r="B241" i="120" l="1"/>
  <c r="E237" i="120" l="1"/>
  <c r="E212" i="120"/>
  <c r="E211" i="120"/>
  <c r="Z540" i="88"/>
  <c r="Z539" i="88"/>
  <c r="AA540" i="88" l="1"/>
  <c r="AA539" i="88"/>
  <c r="E330" i="118" l="1"/>
  <c r="I210" i="120"/>
  <c r="H210" i="120"/>
  <c r="J210" i="120" s="1"/>
  <c r="A210" i="120"/>
  <c r="I209" i="120"/>
  <c r="H209" i="120"/>
  <c r="J209" i="120" s="1"/>
  <c r="A209" i="120"/>
  <c r="I214" i="118"/>
  <c r="B214" i="118" s="1"/>
  <c r="H214" i="118"/>
  <c r="J214" i="118" s="1"/>
  <c r="A214" i="118"/>
  <c r="I273" i="120"/>
  <c r="H273" i="120"/>
  <c r="J273" i="120" s="1"/>
  <c r="A273" i="120"/>
  <c r="E143" i="120"/>
  <c r="B210" i="120" l="1"/>
  <c r="B209" i="120"/>
  <c r="B273" i="120"/>
  <c r="I208" i="120"/>
  <c r="H208" i="120"/>
  <c r="J208" i="120" s="1"/>
  <c r="E208" i="120"/>
  <c r="A208" i="120"/>
  <c r="I279" i="120"/>
  <c r="H279" i="120"/>
  <c r="J279" i="120" s="1"/>
  <c r="A279" i="120"/>
  <c r="B208" i="120" l="1"/>
  <c r="B279" i="120"/>
  <c r="I177" i="120"/>
  <c r="H177" i="120"/>
  <c r="J177" i="120" s="1"/>
  <c r="A177" i="120"/>
  <c r="I176" i="120"/>
  <c r="H176" i="120"/>
  <c r="J176" i="120" s="1"/>
  <c r="A176" i="120"/>
  <c r="I175" i="120"/>
  <c r="H175" i="120"/>
  <c r="J175" i="120" s="1"/>
  <c r="A175" i="120"/>
  <c r="I174" i="120"/>
  <c r="H174" i="120"/>
  <c r="J174" i="120" s="1"/>
  <c r="A174" i="120"/>
  <c r="I173" i="120"/>
  <c r="H173" i="120"/>
  <c r="J173" i="120" s="1"/>
  <c r="A173" i="120"/>
  <c r="I172" i="120"/>
  <c r="H172" i="120"/>
  <c r="J172" i="120" s="1"/>
  <c r="A172" i="120"/>
  <c r="I171" i="120"/>
  <c r="H171" i="120"/>
  <c r="J171" i="120" s="1"/>
  <c r="A171" i="120"/>
  <c r="I170" i="120"/>
  <c r="H170" i="120"/>
  <c r="J170" i="120" s="1"/>
  <c r="A170" i="120"/>
  <c r="I169" i="120"/>
  <c r="H169" i="120"/>
  <c r="J169" i="120" s="1"/>
  <c r="A169" i="120"/>
  <c r="I168" i="120"/>
  <c r="H168" i="120"/>
  <c r="J168" i="120" s="1"/>
  <c r="A168" i="120"/>
  <c r="I167" i="120"/>
  <c r="H167" i="120"/>
  <c r="J167" i="120" s="1"/>
  <c r="A167" i="120"/>
  <c r="I166" i="120"/>
  <c r="H166" i="120"/>
  <c r="J166" i="120" s="1"/>
  <c r="A166" i="120"/>
  <c r="B176" i="120" l="1"/>
  <c r="B177" i="120"/>
  <c r="B169" i="120"/>
  <c r="B172" i="120"/>
  <c r="B168" i="120"/>
  <c r="B175" i="120"/>
  <c r="B167" i="120"/>
  <c r="B166" i="120"/>
  <c r="B170" i="120"/>
  <c r="B174" i="120"/>
  <c r="B171" i="120"/>
  <c r="B173" i="120"/>
  <c r="I165" i="120" l="1"/>
  <c r="H165" i="120"/>
  <c r="J165" i="120" s="1"/>
  <c r="A165" i="120"/>
  <c r="I164" i="120"/>
  <c r="H164" i="120"/>
  <c r="J164" i="120" s="1"/>
  <c r="A164" i="120"/>
  <c r="I163" i="120"/>
  <c r="H163" i="120"/>
  <c r="J163" i="120" s="1"/>
  <c r="A163" i="120"/>
  <c r="I278" i="120"/>
  <c r="H278" i="120"/>
  <c r="J278" i="120" s="1"/>
  <c r="A278" i="120"/>
  <c r="I288" i="120"/>
  <c r="H288" i="120"/>
  <c r="J288" i="120" s="1"/>
  <c r="A288" i="120"/>
  <c r="E258" i="120"/>
  <c r="B164" i="120" l="1"/>
  <c r="B165" i="120"/>
  <c r="B163" i="120"/>
  <c r="B288" i="120"/>
  <c r="B278" i="120"/>
  <c r="I207" i="120"/>
  <c r="H207" i="120"/>
  <c r="J207" i="120" s="1"/>
  <c r="A207" i="120"/>
  <c r="I206" i="120"/>
  <c r="H206" i="120"/>
  <c r="J206" i="120" s="1"/>
  <c r="A206" i="120"/>
  <c r="E50" i="120"/>
  <c r="E49" i="120"/>
  <c r="G68" i="120"/>
  <c r="G67" i="120"/>
  <c r="Z538" i="88"/>
  <c r="R538" i="88"/>
  <c r="Q538" i="88"/>
  <c r="M538" i="88"/>
  <c r="Z537" i="88"/>
  <c r="R537" i="88"/>
  <c r="Q537" i="88"/>
  <c r="M537" i="88"/>
  <c r="J538" i="88"/>
  <c r="J537" i="88"/>
  <c r="G86" i="120"/>
  <c r="G85" i="120"/>
  <c r="Z536" i="88"/>
  <c r="R536" i="88"/>
  <c r="Q536" i="88"/>
  <c r="Z535" i="88"/>
  <c r="R535" i="88"/>
  <c r="Q535" i="88"/>
  <c r="M536" i="88"/>
  <c r="M535" i="88"/>
  <c r="J536" i="88"/>
  <c r="J535" i="88"/>
  <c r="T536" i="88" l="1"/>
  <c r="T537" i="88"/>
  <c r="AA536" i="88"/>
  <c r="AA537" i="88"/>
  <c r="T538" i="88"/>
  <c r="S535" i="88"/>
  <c r="AA538" i="88"/>
  <c r="AA535" i="88"/>
  <c r="B207" i="120"/>
  <c r="B206" i="120"/>
  <c r="S538" i="88"/>
  <c r="S537" i="88"/>
  <c r="S536" i="88"/>
  <c r="T535" i="88"/>
  <c r="G74" i="120" l="1"/>
  <c r="G73" i="120"/>
  <c r="E256" i="120"/>
  <c r="E250" i="120" s="1"/>
  <c r="Z534" i="88"/>
  <c r="R534" i="88"/>
  <c r="Q534" i="88"/>
  <c r="AA534" i="88" s="1"/>
  <c r="Z533" i="88"/>
  <c r="R533" i="88"/>
  <c r="M534" i="88"/>
  <c r="L533" i="88"/>
  <c r="K533" i="88"/>
  <c r="Q533" i="88" s="1"/>
  <c r="J534" i="88"/>
  <c r="J533" i="88"/>
  <c r="T533" i="88" l="1"/>
  <c r="AA533" i="88"/>
  <c r="M533" i="88"/>
  <c r="S534" i="88"/>
  <c r="T534" i="88"/>
  <c r="S533" i="88"/>
  <c r="G316" i="120"/>
  <c r="I270" i="120"/>
  <c r="H270" i="120"/>
  <c r="J270" i="120" s="1"/>
  <c r="I269" i="120"/>
  <c r="H269" i="120"/>
  <c r="J269" i="120" s="1"/>
  <c r="I268" i="120"/>
  <c r="H268" i="120"/>
  <c r="J268" i="120" s="1"/>
  <c r="I267" i="120"/>
  <c r="H267" i="120"/>
  <c r="J267" i="120" s="1"/>
  <c r="I266" i="120"/>
  <c r="H266" i="120"/>
  <c r="J266" i="120" s="1"/>
  <c r="I265" i="120"/>
  <c r="H265" i="120"/>
  <c r="J265" i="120" s="1"/>
  <c r="I264" i="120"/>
  <c r="H264" i="120"/>
  <c r="J264" i="120" s="1"/>
  <c r="I263" i="120"/>
  <c r="H263" i="120"/>
  <c r="J263" i="120" s="1"/>
  <c r="I262" i="120"/>
  <c r="H262" i="120"/>
  <c r="J262" i="120" s="1"/>
  <c r="I261" i="120"/>
  <c r="H261" i="120"/>
  <c r="J261" i="120" s="1"/>
  <c r="I260" i="120"/>
  <c r="H260" i="120"/>
  <c r="J260" i="120" s="1"/>
  <c r="I259" i="120"/>
  <c r="H259" i="120"/>
  <c r="J259" i="120" s="1"/>
  <c r="I258" i="120"/>
  <c r="H258" i="120"/>
  <c r="J258" i="120" s="1"/>
  <c r="I257" i="120"/>
  <c r="H257" i="120"/>
  <c r="J257" i="120" s="1"/>
  <c r="I256" i="120"/>
  <c r="H256" i="120"/>
  <c r="J256" i="120" s="1"/>
  <c r="I255" i="120"/>
  <c r="H255" i="120"/>
  <c r="J255" i="120" s="1"/>
  <c r="I254" i="120"/>
  <c r="H254" i="120"/>
  <c r="J254" i="120" s="1"/>
  <c r="I253" i="120"/>
  <c r="H253" i="120"/>
  <c r="J253" i="120" s="1"/>
  <c r="G66" i="120"/>
  <c r="G65" i="120"/>
  <c r="G64" i="120"/>
  <c r="G63" i="120"/>
  <c r="G58" i="120"/>
  <c r="G57" i="120"/>
  <c r="G82" i="120"/>
  <c r="G81" i="120"/>
  <c r="G52" i="120"/>
  <c r="G51" i="120"/>
  <c r="Z532" i="88"/>
  <c r="R532" i="88"/>
  <c r="Q532" i="88"/>
  <c r="Z531" i="88"/>
  <c r="R531" i="88"/>
  <c r="Q531" i="88"/>
  <c r="Z530" i="88"/>
  <c r="R530" i="88"/>
  <c r="Q530" i="88"/>
  <c r="Z529" i="88"/>
  <c r="R529" i="88"/>
  <c r="Q529" i="88"/>
  <c r="M532" i="88"/>
  <c r="M531" i="88"/>
  <c r="M530" i="88"/>
  <c r="M529" i="88"/>
  <c r="J532" i="88"/>
  <c r="J531" i="88"/>
  <c r="J530" i="88"/>
  <c r="J529" i="88"/>
  <c r="J528" i="88"/>
  <c r="Z528" i="88"/>
  <c r="R528" i="88"/>
  <c r="Q528" i="88"/>
  <c r="Z527" i="88"/>
  <c r="R527" i="88"/>
  <c r="Q527" i="88"/>
  <c r="M528" i="88"/>
  <c r="M527" i="88"/>
  <c r="J527" i="88"/>
  <c r="AA529" i="88" l="1"/>
  <c r="T528" i="88"/>
  <c r="S531" i="88"/>
  <c r="AA531" i="88"/>
  <c r="T532" i="88"/>
  <c r="AA527" i="88"/>
  <c r="T527" i="88"/>
  <c r="S532" i="88"/>
  <c r="S528" i="88"/>
  <c r="T530" i="88"/>
  <c r="AA532" i="88"/>
  <c r="T531" i="88"/>
  <c r="T529" i="88"/>
  <c r="AA530" i="88"/>
  <c r="AA528" i="88"/>
  <c r="S530" i="88"/>
  <c r="S529" i="88"/>
  <c r="S527" i="88"/>
  <c r="Z526" i="88" l="1"/>
  <c r="Z525" i="88"/>
  <c r="Z524" i="88"/>
  <c r="Z523" i="88"/>
  <c r="J526" i="88"/>
  <c r="J525" i="88"/>
  <c r="J524" i="88"/>
  <c r="J523" i="88"/>
  <c r="R526" i="88"/>
  <c r="Q526" i="88"/>
  <c r="M526" i="88"/>
  <c r="R525" i="88"/>
  <c r="Q525" i="88"/>
  <c r="M525" i="88"/>
  <c r="R524" i="88"/>
  <c r="Q524" i="88"/>
  <c r="M524" i="88"/>
  <c r="R523" i="88"/>
  <c r="Q523" i="88"/>
  <c r="M523" i="88"/>
  <c r="G70" i="120"/>
  <c r="G69" i="120"/>
  <c r="G78" i="120"/>
  <c r="G77" i="120"/>
  <c r="G80" i="120"/>
  <c r="G79" i="120"/>
  <c r="G90" i="120"/>
  <c r="G89" i="120"/>
  <c r="G88" i="120"/>
  <c r="G87" i="120"/>
  <c r="Z522" i="88"/>
  <c r="Z521" i="88"/>
  <c r="J522" i="88"/>
  <c r="J521" i="88"/>
  <c r="R522" i="88"/>
  <c r="Q522" i="88"/>
  <c r="M522" i="88"/>
  <c r="R521" i="88"/>
  <c r="Q521" i="88"/>
  <c r="M521" i="88"/>
  <c r="Z520" i="88"/>
  <c r="Z519" i="88"/>
  <c r="J520" i="88"/>
  <c r="J519" i="88"/>
  <c r="R520" i="88"/>
  <c r="Q520" i="88"/>
  <c r="M520" i="88"/>
  <c r="R519" i="88"/>
  <c r="Q519" i="88"/>
  <c r="M519" i="88"/>
  <c r="Z518" i="88"/>
  <c r="Z517" i="88"/>
  <c r="J518" i="88"/>
  <c r="J517" i="88"/>
  <c r="R518" i="88"/>
  <c r="Q518" i="88"/>
  <c r="M518" i="88"/>
  <c r="R517" i="88"/>
  <c r="Q517" i="88"/>
  <c r="M517" i="88"/>
  <c r="Z516" i="88"/>
  <c r="Z515" i="88"/>
  <c r="Z514" i="88"/>
  <c r="Z513" i="88"/>
  <c r="J516" i="88"/>
  <c r="J515" i="88"/>
  <c r="J514" i="88"/>
  <c r="J513" i="88"/>
  <c r="R516" i="88"/>
  <c r="Q516" i="88"/>
  <c r="M516" i="88"/>
  <c r="R515" i="88"/>
  <c r="Q515" i="88"/>
  <c r="M515" i="88"/>
  <c r="R514" i="88"/>
  <c r="Q514" i="88"/>
  <c r="M514" i="88"/>
  <c r="R513" i="88"/>
  <c r="Q513" i="88"/>
  <c r="M513" i="88"/>
  <c r="AA519" i="88" l="1"/>
  <c r="AA517" i="88"/>
  <c r="T525" i="88"/>
  <c r="T524" i="88"/>
  <c r="T523" i="88"/>
  <c r="S526" i="88"/>
  <c r="AA523" i="88"/>
  <c r="AA524" i="88"/>
  <c r="AA525" i="88"/>
  <c r="AA526" i="88"/>
  <c r="S525" i="88"/>
  <c r="S524" i="88"/>
  <c r="T526" i="88"/>
  <c r="S523" i="88"/>
  <c r="S513" i="88"/>
  <c r="S521" i="88"/>
  <c r="AA518" i="88"/>
  <c r="AA521" i="88"/>
  <c r="T520" i="88"/>
  <c r="T522" i="88"/>
  <c r="T519" i="88"/>
  <c r="AA522" i="88"/>
  <c r="S522" i="88"/>
  <c r="T521" i="88"/>
  <c r="AA513" i="88"/>
  <c r="AA520" i="88"/>
  <c r="S519" i="88"/>
  <c r="S520" i="88"/>
  <c r="AA516" i="88"/>
  <c r="T518" i="88"/>
  <c r="T517" i="88"/>
  <c r="S517" i="88"/>
  <c r="S518" i="88"/>
  <c r="T514" i="88"/>
  <c r="T515" i="88"/>
  <c r="AA514" i="88"/>
  <c r="S516" i="88"/>
  <c r="AA515" i="88"/>
  <c r="S514" i="88"/>
  <c r="S515" i="88"/>
  <c r="T513" i="88"/>
  <c r="T516" i="88"/>
  <c r="I287" i="120"/>
  <c r="H287" i="120"/>
  <c r="J287" i="120" s="1"/>
  <c r="A287" i="120"/>
  <c r="R12" i="88"/>
  <c r="E25" i="121" s="1"/>
  <c r="Q12" i="88"/>
  <c r="M12" i="88"/>
  <c r="B287" i="120" l="1"/>
  <c r="T12" i="88"/>
  <c r="S12" i="88"/>
  <c r="G93" i="120" l="1"/>
  <c r="G56" i="120" l="1"/>
  <c r="G55" i="120"/>
  <c r="Z512" i="88"/>
  <c r="Z511" i="88"/>
  <c r="R512" i="88"/>
  <c r="Q512" i="88"/>
  <c r="M512" i="88"/>
  <c r="J512" i="88"/>
  <c r="R511" i="88"/>
  <c r="Q511" i="88"/>
  <c r="M511" i="88"/>
  <c r="J511" i="88"/>
  <c r="E240" i="120"/>
  <c r="I240" i="120"/>
  <c r="H240" i="120"/>
  <c r="J240" i="120" s="1"/>
  <c r="A240" i="120"/>
  <c r="I128" i="120"/>
  <c r="H128" i="120"/>
  <c r="J128" i="120" s="1"/>
  <c r="A128" i="120"/>
  <c r="I227" i="120" l="1"/>
  <c r="I226" i="120"/>
  <c r="H226" i="120"/>
  <c r="J226" i="120" s="1"/>
  <c r="H227" i="120"/>
  <c r="J227" i="120" s="1"/>
  <c r="AA511" i="88"/>
  <c r="AA512" i="88"/>
  <c r="B240" i="120"/>
  <c r="S512" i="88"/>
  <c r="T511" i="88"/>
  <c r="T512" i="88"/>
  <c r="S511" i="88"/>
  <c r="B128" i="120"/>
  <c r="M16" i="88"/>
  <c r="Q16" i="88"/>
  <c r="R16" i="88"/>
  <c r="I16" i="88"/>
  <c r="J16" i="88" s="1"/>
  <c r="H16" i="88"/>
  <c r="G16" i="88"/>
  <c r="R15" i="88"/>
  <c r="Q15" i="88"/>
  <c r="M15" i="88"/>
  <c r="I15" i="88"/>
  <c r="J15" i="88" s="1"/>
  <c r="H15" i="88"/>
  <c r="G15" i="88"/>
  <c r="R14" i="88"/>
  <c r="Q14" i="88"/>
  <c r="M14" i="88"/>
  <c r="I14" i="88"/>
  <c r="J14" i="88" s="1"/>
  <c r="H14" i="88"/>
  <c r="G14" i="88"/>
  <c r="B226" i="120" l="1"/>
  <c r="B227" i="120"/>
  <c r="T16" i="88"/>
  <c r="T14" i="88"/>
  <c r="S14" i="88"/>
  <c r="S16" i="88"/>
  <c r="T15" i="88"/>
  <c r="S15" i="88"/>
  <c r="M13" i="88" l="1"/>
  <c r="R13" i="88"/>
  <c r="E36" i="121" s="1"/>
  <c r="Q13" i="88"/>
  <c r="T13" i="88" l="1"/>
  <c r="S13" i="88"/>
  <c r="G13" i="88" l="1"/>
  <c r="H13" i="88"/>
  <c r="I13" i="88"/>
  <c r="J13" i="88" s="1"/>
  <c r="J339" i="120" l="1"/>
  <c r="K339" i="120" s="1"/>
  <c r="G341" i="120"/>
  <c r="J341" i="120" s="1"/>
  <c r="G340" i="120"/>
  <c r="J340" i="120" s="1"/>
  <c r="K340" i="120" s="1"/>
  <c r="E345" i="120"/>
  <c r="Z510" i="88"/>
  <c r="Z509" i="88"/>
  <c r="R510" i="88"/>
  <c r="Q510" i="88"/>
  <c r="M510" i="88"/>
  <c r="J510" i="88"/>
  <c r="R509" i="88"/>
  <c r="Q509" i="88"/>
  <c r="M509" i="88"/>
  <c r="J509" i="88"/>
  <c r="G84" i="120"/>
  <c r="G83" i="120"/>
  <c r="AA510" i="88" l="1"/>
  <c r="J342" i="120"/>
  <c r="J345" i="120" s="1"/>
  <c r="K341" i="120"/>
  <c r="K342" i="120" s="1"/>
  <c r="S509" i="88"/>
  <c r="T510" i="88"/>
  <c r="T509" i="88"/>
  <c r="AA509" i="88"/>
  <c r="S510" i="88"/>
  <c r="I129" i="120" l="1"/>
  <c r="H129" i="120"/>
  <c r="J129" i="120" s="1"/>
  <c r="A129" i="120"/>
  <c r="B129" i="120" l="1"/>
  <c r="I277" i="120" l="1"/>
  <c r="B277" i="120" s="1"/>
  <c r="H277" i="120"/>
  <c r="J277" i="120" s="1"/>
  <c r="A277" i="120"/>
  <c r="I286" i="120"/>
  <c r="B286" i="120" s="1"/>
  <c r="H286" i="120"/>
  <c r="J286" i="120" s="1"/>
  <c r="A286" i="120"/>
  <c r="E234" i="120"/>
  <c r="I251" i="120"/>
  <c r="B251" i="120" s="1"/>
  <c r="H251" i="120"/>
  <c r="J251" i="120" s="1"/>
  <c r="A251" i="120"/>
  <c r="G95" i="120"/>
  <c r="G94" i="120"/>
  <c r="Z508" i="88"/>
  <c r="Z507" i="88"/>
  <c r="J508" i="88"/>
  <c r="J507" i="88"/>
  <c r="R508" i="88"/>
  <c r="Q508" i="88"/>
  <c r="M508" i="88"/>
  <c r="R507" i="88"/>
  <c r="Q507" i="88"/>
  <c r="M507" i="88"/>
  <c r="J21" i="88"/>
  <c r="J20" i="88"/>
  <c r="I12" i="88"/>
  <c r="J12" i="88" s="1"/>
  <c r="H12" i="88"/>
  <c r="G12" i="88"/>
  <c r="AA507" i="88" l="1"/>
  <c r="T508" i="88"/>
  <c r="T507" i="88"/>
  <c r="AA508" i="88"/>
  <c r="S507" i="88"/>
  <c r="S508" i="88"/>
  <c r="I124" i="120"/>
  <c r="B124" i="120" s="1"/>
  <c r="H124" i="120"/>
  <c r="J124" i="120" s="1"/>
  <c r="A124" i="120"/>
  <c r="E34" i="120" l="1"/>
  <c r="I125" i="120" l="1"/>
  <c r="B125" i="120" s="1"/>
  <c r="H125" i="120"/>
  <c r="J125" i="120" s="1"/>
  <c r="A125" i="120"/>
  <c r="E239" i="120"/>
  <c r="I239" i="120"/>
  <c r="H239" i="120"/>
  <c r="J239" i="120" s="1"/>
  <c r="A239" i="120"/>
  <c r="I123" i="120"/>
  <c r="B123" i="120" s="1"/>
  <c r="H123" i="120"/>
  <c r="J123" i="120" s="1"/>
  <c r="A123" i="120"/>
  <c r="I148" i="120"/>
  <c r="B148" i="120" s="1"/>
  <c r="H148" i="120"/>
  <c r="J148" i="120" s="1"/>
  <c r="A148" i="120"/>
  <c r="B239" i="120" l="1"/>
  <c r="E342" i="120"/>
  <c r="E180" i="120"/>
  <c r="I186" i="120"/>
  <c r="B186" i="120" s="1"/>
  <c r="H186" i="120"/>
  <c r="J186" i="120" s="1"/>
  <c r="A186" i="120"/>
  <c r="I185" i="120"/>
  <c r="B185" i="120" s="1"/>
  <c r="H185" i="120"/>
  <c r="J185" i="120" s="1"/>
  <c r="A185" i="120"/>
  <c r="I184" i="120"/>
  <c r="B184" i="120" s="1"/>
  <c r="H184" i="120"/>
  <c r="J184" i="120" s="1"/>
  <c r="A184" i="120"/>
  <c r="I183" i="120"/>
  <c r="H183" i="120"/>
  <c r="A183" i="120"/>
  <c r="I182" i="120"/>
  <c r="H182" i="120"/>
  <c r="J182" i="120" s="1"/>
  <c r="A182" i="120"/>
  <c r="G48" i="120"/>
  <c r="G47" i="120"/>
  <c r="Z506" i="88"/>
  <c r="Z505" i="88"/>
  <c r="R506" i="88"/>
  <c r="Q506" i="88"/>
  <c r="M506" i="88"/>
  <c r="J506" i="88"/>
  <c r="R505" i="88"/>
  <c r="Q505" i="88"/>
  <c r="M505" i="88"/>
  <c r="J505" i="88"/>
  <c r="E334" i="120"/>
  <c r="AA505" i="88" l="1"/>
  <c r="T505" i="88"/>
  <c r="T506" i="88"/>
  <c r="AA506" i="88"/>
  <c r="B183" i="120"/>
  <c r="J183" i="120"/>
  <c r="B182" i="120"/>
  <c r="S506" i="88"/>
  <c r="S505" i="88"/>
  <c r="E247" i="120"/>
  <c r="I247" i="120"/>
  <c r="H247" i="120"/>
  <c r="J247" i="120" s="1"/>
  <c r="A247" i="120"/>
  <c r="E238" i="120"/>
  <c r="I238" i="120"/>
  <c r="H238" i="120"/>
  <c r="J238" i="120" s="1"/>
  <c r="A238" i="120"/>
  <c r="Z504" i="88"/>
  <c r="Z503" i="88"/>
  <c r="Z502" i="88"/>
  <c r="Z501" i="88"/>
  <c r="Z500" i="88"/>
  <c r="Z499" i="88"/>
  <c r="J504" i="88"/>
  <c r="J503" i="88"/>
  <c r="J502" i="88"/>
  <c r="J501" i="88"/>
  <c r="J500" i="88"/>
  <c r="J499" i="88"/>
  <c r="R504" i="88"/>
  <c r="Q504" i="88"/>
  <c r="M504" i="88"/>
  <c r="R503" i="88"/>
  <c r="Q503" i="88"/>
  <c r="M503" i="88"/>
  <c r="R502" i="88"/>
  <c r="Q502" i="88"/>
  <c r="M502" i="88"/>
  <c r="R501" i="88"/>
  <c r="Q501" i="88"/>
  <c r="M501" i="88"/>
  <c r="R500" i="88"/>
  <c r="Q500" i="88"/>
  <c r="M500" i="88"/>
  <c r="R499" i="88"/>
  <c r="Q499" i="88"/>
  <c r="M499" i="88"/>
  <c r="G31" i="120"/>
  <c r="T501" i="88" l="1"/>
  <c r="T503" i="88"/>
  <c r="AA499" i="88"/>
  <c r="T499" i="88"/>
  <c r="S502" i="88"/>
  <c r="T504" i="88"/>
  <c r="S500" i="88"/>
  <c r="AA501" i="88"/>
  <c r="AA502" i="88"/>
  <c r="T500" i="88"/>
  <c r="T502" i="88"/>
  <c r="AA500" i="88"/>
  <c r="S499" i="88"/>
  <c r="S501" i="88"/>
  <c r="S503" i="88"/>
  <c r="AA503" i="88"/>
  <c r="AA504" i="88"/>
  <c r="B247" i="120"/>
  <c r="B238" i="120"/>
  <c r="S504" i="88"/>
  <c r="I162" i="120" l="1"/>
  <c r="B162" i="120" s="1"/>
  <c r="H162" i="120"/>
  <c r="J162" i="120" s="1"/>
  <c r="A162" i="120"/>
  <c r="I275" i="120"/>
  <c r="H275" i="120"/>
  <c r="J275" i="120" s="1"/>
  <c r="A275" i="120"/>
  <c r="F560" i="88"/>
  <c r="J560" i="88" s="1"/>
  <c r="F559" i="88"/>
  <c r="J559" i="88" s="1"/>
  <c r="F558" i="88"/>
  <c r="I558" i="88" s="1"/>
  <c r="F557" i="88"/>
  <c r="I557" i="88" s="1"/>
  <c r="J557" i="88" l="1"/>
  <c r="K557" i="88" s="1"/>
  <c r="J558" i="88"/>
  <c r="K558" i="88" s="1"/>
  <c r="I559" i="88"/>
  <c r="K559" i="88" s="1"/>
  <c r="I560" i="88"/>
  <c r="K560" i="88" s="1"/>
  <c r="B275" i="120"/>
  <c r="F561" i="88"/>
  <c r="J561" i="88" l="1"/>
  <c r="I561" i="88"/>
  <c r="G72" i="120"/>
  <c r="Z498" i="88"/>
  <c r="R498" i="88"/>
  <c r="Q498" i="88"/>
  <c r="M498" i="88"/>
  <c r="J498" i="88"/>
  <c r="K561" i="88" l="1"/>
  <c r="T498" i="88"/>
  <c r="AA498" i="88"/>
  <c r="S498" i="88"/>
  <c r="I11" i="88" l="1"/>
  <c r="J11" i="88" s="1"/>
  <c r="H11" i="88"/>
  <c r="G11" i="88"/>
  <c r="I10" i="88"/>
  <c r="J10" i="88" s="1"/>
  <c r="H10" i="88"/>
  <c r="G10" i="88"/>
  <c r="I9" i="88"/>
  <c r="J9" i="88" s="1"/>
  <c r="H9" i="88"/>
  <c r="G9" i="88"/>
  <c r="I8" i="88"/>
  <c r="J8" i="88" s="1"/>
  <c r="H8" i="88"/>
  <c r="G8" i="88"/>
  <c r="I7" i="88"/>
  <c r="J7" i="88" s="1"/>
  <c r="H7" i="88"/>
  <c r="G7" i="88"/>
  <c r="I6" i="88"/>
  <c r="J6" i="88" s="1"/>
  <c r="H6" i="88"/>
  <c r="G6" i="88"/>
  <c r="I5" i="88"/>
  <c r="J5" i="88" s="1"/>
  <c r="H5" i="88"/>
  <c r="G5" i="88"/>
  <c r="I4" i="88"/>
  <c r="J4" i="88" s="1"/>
  <c r="H4" i="88"/>
  <c r="G4" i="88"/>
  <c r="I3" i="88"/>
  <c r="J3" i="88" s="1"/>
  <c r="H3" i="88"/>
  <c r="G3" i="88"/>
  <c r="I122" i="120" l="1"/>
  <c r="B122" i="120" s="1"/>
  <c r="H122" i="120"/>
  <c r="J122" i="120" s="1"/>
  <c r="A122" i="120"/>
  <c r="I142" i="120" l="1"/>
  <c r="B142" i="120" s="1"/>
  <c r="H142" i="120"/>
  <c r="J142" i="120" s="1"/>
  <c r="A142" i="120"/>
  <c r="E310" i="120" l="1"/>
  <c r="E327" i="120"/>
  <c r="I121" i="120" l="1"/>
  <c r="H121" i="120"/>
  <c r="J121" i="120" s="1"/>
  <c r="A121" i="120"/>
  <c r="I193" i="120"/>
  <c r="B193" i="120" s="1"/>
  <c r="H193" i="120"/>
  <c r="J193" i="120" s="1"/>
  <c r="A193" i="120"/>
  <c r="B121" i="120" l="1"/>
  <c r="I197" i="120" l="1"/>
  <c r="B197" i="120" s="1"/>
  <c r="H197" i="120"/>
  <c r="J197" i="120" s="1"/>
  <c r="A197" i="120"/>
  <c r="I196" i="120"/>
  <c r="B196" i="120" s="1"/>
  <c r="H196" i="120"/>
  <c r="J196" i="120" s="1"/>
  <c r="A196" i="120"/>
  <c r="I284" i="120" l="1"/>
  <c r="B284" i="120" s="1"/>
  <c r="H284" i="120"/>
  <c r="J284" i="120" s="1"/>
  <c r="A284" i="120"/>
  <c r="R11" i="88"/>
  <c r="Q11" i="88"/>
  <c r="M11" i="88"/>
  <c r="R10" i="88"/>
  <c r="Q10" i="88"/>
  <c r="M10" i="88"/>
  <c r="R9" i="88"/>
  <c r="E35" i="121" s="1"/>
  <c r="F28" i="94" s="1"/>
  <c r="Q9" i="88"/>
  <c r="M9" i="88"/>
  <c r="R8" i="88"/>
  <c r="Q8" i="88"/>
  <c r="M8" i="88"/>
  <c r="R7" i="88"/>
  <c r="Q7" i="88"/>
  <c r="M7" i="88"/>
  <c r="R6" i="88"/>
  <c r="Q6" i="88"/>
  <c r="M6" i="88"/>
  <c r="R5" i="88"/>
  <c r="Q5" i="88"/>
  <c r="M5" i="88"/>
  <c r="R4" i="88"/>
  <c r="Q4" i="88"/>
  <c r="M4" i="88"/>
  <c r="R3" i="88"/>
  <c r="Q3" i="88"/>
  <c r="M3" i="88"/>
  <c r="Z497" i="88"/>
  <c r="Z496" i="88"/>
  <c r="G22" i="120"/>
  <c r="G21" i="120"/>
  <c r="R497" i="88"/>
  <c r="Q497" i="88"/>
  <c r="R496" i="88"/>
  <c r="Q496" i="88"/>
  <c r="M497" i="88"/>
  <c r="J497" i="88"/>
  <c r="M496" i="88"/>
  <c r="J496" i="88"/>
  <c r="E6" i="121" l="1"/>
  <c r="S4" i="88"/>
  <c r="T5" i="88"/>
  <c r="T11" i="88"/>
  <c r="T3" i="88"/>
  <c r="T7" i="88"/>
  <c r="S7" i="88"/>
  <c r="T4" i="88"/>
  <c r="T9" i="88"/>
  <c r="S11" i="88"/>
  <c r="T6" i="88"/>
  <c r="T8" i="88"/>
  <c r="S3" i="88"/>
  <c r="S8" i="88"/>
  <c r="T10" i="88"/>
  <c r="AA497" i="88"/>
  <c r="AA496" i="88"/>
  <c r="S6" i="88"/>
  <c r="S10" i="88"/>
  <c r="S5" i="88"/>
  <c r="S9" i="88"/>
  <c r="S496" i="88"/>
  <c r="S497" i="88"/>
  <c r="T497" i="88"/>
  <c r="T496" i="88"/>
  <c r="E156" i="120" l="1"/>
  <c r="I157" i="120"/>
  <c r="H157" i="120"/>
  <c r="J157" i="120" s="1"/>
  <c r="I161" i="120" l="1"/>
  <c r="B161" i="120" s="1"/>
  <c r="H161" i="120"/>
  <c r="J161" i="120" s="1"/>
  <c r="A161" i="120"/>
  <c r="E145" i="120"/>
  <c r="I192" i="120"/>
  <c r="B192" i="120" s="1"/>
  <c r="H192" i="120"/>
  <c r="J192" i="120" s="1"/>
  <c r="A192" i="120"/>
  <c r="G6" i="120"/>
  <c r="Z495" i="88"/>
  <c r="I237" i="120" l="1"/>
  <c r="H237" i="120"/>
  <c r="J237" i="120" s="1"/>
  <c r="A237" i="120"/>
  <c r="E248" i="120"/>
  <c r="I248" i="120"/>
  <c r="H248" i="120"/>
  <c r="J248" i="120" s="1"/>
  <c r="A248" i="120"/>
  <c r="I285" i="120"/>
  <c r="B285" i="120" s="1"/>
  <c r="H285" i="120"/>
  <c r="J285" i="120" s="1"/>
  <c r="A285" i="120"/>
  <c r="F49" i="94"/>
  <c r="B237" i="120" l="1"/>
  <c r="B248" i="120"/>
  <c r="E290" i="120"/>
  <c r="E282" i="120" s="1"/>
  <c r="F92" i="94" l="1"/>
  <c r="F65" i="94"/>
  <c r="F53" i="94"/>
  <c r="I290" i="120"/>
  <c r="H290" i="120"/>
  <c r="J290" i="120" s="1"/>
  <c r="A290" i="120"/>
  <c r="E42" i="120"/>
  <c r="E33" i="120"/>
  <c r="E41" i="120"/>
  <c r="E16" i="120"/>
  <c r="B290" i="120" l="1"/>
  <c r="G82" i="94"/>
  <c r="F82" i="94" s="1"/>
  <c r="F51" i="94" s="1"/>
  <c r="G110" i="94"/>
  <c r="F110" i="94" s="1"/>
  <c r="F88" i="94" s="1"/>
  <c r="I283" i="120" l="1"/>
  <c r="B283" i="120" s="1"/>
  <c r="H283" i="120"/>
  <c r="J283" i="120" s="1"/>
  <c r="A283" i="120"/>
  <c r="G62" i="120" l="1"/>
  <c r="G61" i="120"/>
  <c r="G60" i="120"/>
  <c r="G59" i="120"/>
  <c r="Z494" i="88"/>
  <c r="Z493" i="88"/>
  <c r="AA493" i="88" s="1"/>
  <c r="Z492" i="88"/>
  <c r="Z491" i="88"/>
  <c r="R494" i="88"/>
  <c r="Q494" i="88"/>
  <c r="R493" i="88"/>
  <c r="Q493" i="88"/>
  <c r="R492" i="88"/>
  <c r="Q492" i="88"/>
  <c r="R491" i="88"/>
  <c r="Q491" i="88"/>
  <c r="M494" i="88"/>
  <c r="M493" i="88"/>
  <c r="M492" i="88"/>
  <c r="M491" i="88"/>
  <c r="J494" i="88"/>
  <c r="J493" i="88"/>
  <c r="J492" i="88"/>
  <c r="J491" i="88"/>
  <c r="T491" i="88" l="1"/>
  <c r="AA494" i="88"/>
  <c r="AA492" i="88"/>
  <c r="S494" i="88"/>
  <c r="T493" i="88"/>
  <c r="T492" i="88"/>
  <c r="AA491" i="88"/>
  <c r="T494" i="88"/>
  <c r="S493" i="88"/>
  <c r="S492" i="88"/>
  <c r="S491" i="88"/>
  <c r="E114" i="120" l="1"/>
  <c r="E111" i="120" s="1"/>
  <c r="E109" i="120"/>
  <c r="I272" i="120"/>
  <c r="H272" i="120"/>
  <c r="J272" i="120" s="1"/>
  <c r="I271" i="120"/>
  <c r="H271" i="120"/>
  <c r="J271" i="120" s="1"/>
  <c r="G92" i="120" l="1"/>
  <c r="G54" i="120"/>
  <c r="G53" i="120"/>
  <c r="G50" i="120"/>
  <c r="G49" i="120"/>
  <c r="E249" i="120"/>
  <c r="E243" i="120"/>
  <c r="E242" i="120"/>
  <c r="E236" i="120"/>
  <c r="E235" i="120"/>
  <c r="E233" i="120"/>
  <c r="E232" i="120"/>
  <c r="E231" i="120"/>
  <c r="E200" i="120"/>
  <c r="I212" i="120"/>
  <c r="H212" i="120"/>
  <c r="J212" i="120" s="1"/>
  <c r="I211" i="120"/>
  <c r="H211" i="120"/>
  <c r="J211" i="120" s="1"/>
  <c r="I205" i="120"/>
  <c r="H205" i="120"/>
  <c r="J205" i="120" s="1"/>
  <c r="I199" i="120"/>
  <c r="H199" i="120"/>
  <c r="J199" i="120" s="1"/>
  <c r="I198" i="120"/>
  <c r="H198" i="120"/>
  <c r="J198" i="120" s="1"/>
  <c r="I201" i="120"/>
  <c r="H201" i="120"/>
  <c r="J201" i="120" s="1"/>
  <c r="I202" i="120"/>
  <c r="H202" i="120"/>
  <c r="J202" i="120" s="1"/>
  <c r="I203" i="120"/>
  <c r="H203" i="120"/>
  <c r="J203" i="120" s="1"/>
  <c r="E190" i="120"/>
  <c r="E189" i="120"/>
  <c r="E188" i="120"/>
  <c r="I158" i="120"/>
  <c r="H158" i="120"/>
  <c r="J158" i="120" s="1"/>
  <c r="I155" i="120"/>
  <c r="H155" i="120"/>
  <c r="J155" i="120" s="1"/>
  <c r="I151" i="120"/>
  <c r="H151" i="120"/>
  <c r="J151" i="120" s="1"/>
  <c r="A151" i="120"/>
  <c r="I150" i="120"/>
  <c r="H150" i="120"/>
  <c r="J150" i="120" s="1"/>
  <c r="E141" i="120"/>
  <c r="I143" i="120"/>
  <c r="H143" i="120"/>
  <c r="J143" i="120" s="1"/>
  <c r="A143" i="120"/>
  <c r="E240" i="119"/>
  <c r="E166" i="119"/>
  <c r="I169" i="119"/>
  <c r="B169" i="119" s="1"/>
  <c r="H169" i="119"/>
  <c r="J169" i="119" s="1"/>
  <c r="A169" i="119"/>
  <c r="E119" i="120"/>
  <c r="E118" i="120"/>
  <c r="E117" i="120"/>
  <c r="E116" i="120"/>
  <c r="I114" i="120"/>
  <c r="H114" i="120"/>
  <c r="J114" i="120" s="1"/>
  <c r="I113" i="120"/>
  <c r="H113" i="120"/>
  <c r="J113" i="120" s="1"/>
  <c r="I112" i="120"/>
  <c r="B112" i="120" s="1"/>
  <c r="H112" i="120"/>
  <c r="J112" i="120" s="1"/>
  <c r="A112" i="120"/>
  <c r="E115" i="120" l="1"/>
  <c r="B143" i="120"/>
  <c r="E140" i="120"/>
  <c r="B151" i="120"/>
  <c r="I110" i="120"/>
  <c r="H110" i="120"/>
  <c r="J110" i="120" s="1"/>
  <c r="I109" i="120"/>
  <c r="H109" i="120"/>
  <c r="J109" i="120" s="1"/>
  <c r="E105" i="120"/>
  <c r="F323" i="120"/>
  <c r="F321" i="120"/>
  <c r="F319" i="120"/>
  <c r="G319" i="120" s="1"/>
  <c r="F317" i="120"/>
  <c r="I289" i="120"/>
  <c r="H289" i="120"/>
  <c r="J289" i="120" s="1"/>
  <c r="A289" i="120"/>
  <c r="I276" i="120"/>
  <c r="B276" i="120" s="1"/>
  <c r="H276" i="120"/>
  <c r="J276" i="120" s="1"/>
  <c r="A276" i="120"/>
  <c r="B272" i="120"/>
  <c r="A272" i="120"/>
  <c r="A271" i="120"/>
  <c r="I252" i="120"/>
  <c r="H252" i="120"/>
  <c r="J252" i="120" s="1"/>
  <c r="A252" i="120"/>
  <c r="I249" i="120"/>
  <c r="B249" i="120" s="1"/>
  <c r="H249" i="120"/>
  <c r="J249" i="120" s="1"/>
  <c r="A249" i="120"/>
  <c r="I246" i="120"/>
  <c r="B246" i="120" s="1"/>
  <c r="H246" i="120"/>
  <c r="J246" i="120" s="1"/>
  <c r="A246" i="120"/>
  <c r="I245" i="120"/>
  <c r="B245" i="120" s="1"/>
  <c r="H245" i="120"/>
  <c r="J245" i="120" s="1"/>
  <c r="A245" i="120"/>
  <c r="I243" i="120"/>
  <c r="H243" i="120"/>
  <c r="J243" i="120" s="1"/>
  <c r="A243" i="120"/>
  <c r="I242" i="120"/>
  <c r="H242" i="120"/>
  <c r="J242" i="120" s="1"/>
  <c r="A242" i="120"/>
  <c r="I236" i="120"/>
  <c r="H236" i="120"/>
  <c r="J236" i="120" s="1"/>
  <c r="A236" i="120"/>
  <c r="I235" i="120"/>
  <c r="H235" i="120"/>
  <c r="J235" i="120" s="1"/>
  <c r="A235" i="120"/>
  <c r="I234" i="120"/>
  <c r="H234" i="120"/>
  <c r="J234" i="120" s="1"/>
  <c r="A234" i="120"/>
  <c r="I233" i="120"/>
  <c r="H233" i="120"/>
  <c r="J233" i="120" s="1"/>
  <c r="A233" i="120"/>
  <c r="I232" i="120"/>
  <c r="H232" i="120"/>
  <c r="A232" i="120"/>
  <c r="I231" i="120"/>
  <c r="B231" i="120" s="1"/>
  <c r="H231" i="120"/>
  <c r="J231" i="120" s="1"/>
  <c r="A231" i="120"/>
  <c r="I230" i="120"/>
  <c r="H230" i="120"/>
  <c r="J230" i="120" s="1"/>
  <c r="A230" i="120"/>
  <c r="I228" i="120"/>
  <c r="H228" i="120"/>
  <c r="J228" i="120" s="1"/>
  <c r="A228" i="120"/>
  <c r="I223" i="120"/>
  <c r="H223" i="120"/>
  <c r="J223" i="120" s="1"/>
  <c r="A223" i="120"/>
  <c r="I222" i="120"/>
  <c r="H222" i="120"/>
  <c r="J222" i="120" s="1"/>
  <c r="A222" i="120"/>
  <c r="E221" i="120"/>
  <c r="I220" i="120"/>
  <c r="H220" i="120"/>
  <c r="J220" i="120" s="1"/>
  <c r="A220" i="120"/>
  <c r="I215" i="120"/>
  <c r="H215" i="120"/>
  <c r="J215" i="120" s="1"/>
  <c r="A215" i="120"/>
  <c r="I213" i="120"/>
  <c r="H213" i="120"/>
  <c r="J213" i="120" s="1"/>
  <c r="A213" i="120"/>
  <c r="I200" i="120"/>
  <c r="B200" i="120" s="1"/>
  <c r="H200" i="120"/>
  <c r="J200" i="120" s="1"/>
  <c r="A200" i="120"/>
  <c r="I195" i="120"/>
  <c r="H195" i="120"/>
  <c r="J195" i="120" s="1"/>
  <c r="A195" i="120"/>
  <c r="I194" i="120"/>
  <c r="B194" i="120" s="1"/>
  <c r="H194" i="120"/>
  <c r="J194" i="120" s="1"/>
  <c r="A194" i="120"/>
  <c r="I191" i="120"/>
  <c r="B191" i="120" s="1"/>
  <c r="H191" i="120"/>
  <c r="J191" i="120" s="1"/>
  <c r="A191" i="120"/>
  <c r="I190" i="120"/>
  <c r="B190" i="120" s="1"/>
  <c r="H190" i="120"/>
  <c r="J190" i="120" s="1"/>
  <c r="A190" i="120"/>
  <c r="I189" i="120"/>
  <c r="B189" i="120" s="1"/>
  <c r="H189" i="120"/>
  <c r="J189" i="120" s="1"/>
  <c r="A189" i="120"/>
  <c r="I188" i="120"/>
  <c r="H188" i="120"/>
  <c r="J188" i="120" s="1"/>
  <c r="A188" i="120"/>
  <c r="A212" i="120"/>
  <c r="B211" i="120"/>
  <c r="A211" i="120"/>
  <c r="B205" i="120"/>
  <c r="A205" i="120"/>
  <c r="B199" i="120"/>
  <c r="A199" i="120"/>
  <c r="B198" i="120"/>
  <c r="A198" i="120"/>
  <c r="B201" i="120"/>
  <c r="A201" i="120"/>
  <c r="B202" i="120"/>
  <c r="A202" i="120"/>
  <c r="E203" i="120"/>
  <c r="A203" i="120"/>
  <c r="I204" i="120"/>
  <c r="H204" i="120"/>
  <c r="J204" i="120" s="1"/>
  <c r="E204" i="120"/>
  <c r="A204" i="120"/>
  <c r="I181" i="120"/>
  <c r="H181" i="120"/>
  <c r="A181" i="120"/>
  <c r="I160" i="120"/>
  <c r="H160" i="120"/>
  <c r="J160" i="120" s="1"/>
  <c r="A160" i="120"/>
  <c r="E154" i="120"/>
  <c r="I153" i="120"/>
  <c r="H153" i="120"/>
  <c r="J153" i="120" s="1"/>
  <c r="E152" i="120"/>
  <c r="I145" i="120"/>
  <c r="B145" i="120" s="1"/>
  <c r="H145" i="120"/>
  <c r="J145" i="120" s="1"/>
  <c r="E144" i="120"/>
  <c r="A145" i="120"/>
  <c r="B150" i="120"/>
  <c r="A150" i="120"/>
  <c r="I149" i="120"/>
  <c r="B149" i="120" s="1"/>
  <c r="H149" i="120"/>
  <c r="J149" i="120" s="1"/>
  <c r="A149" i="120"/>
  <c r="I147" i="120"/>
  <c r="B147" i="120" s="1"/>
  <c r="H147" i="120"/>
  <c r="J147" i="120" s="1"/>
  <c r="A147" i="120"/>
  <c r="I146" i="120"/>
  <c r="B146" i="120" s="1"/>
  <c r="H146" i="120"/>
  <c r="J146" i="120" s="1"/>
  <c r="A146" i="120"/>
  <c r="I141" i="120"/>
  <c r="H141" i="120"/>
  <c r="J141" i="120" s="1"/>
  <c r="A141" i="120"/>
  <c r="I139" i="120"/>
  <c r="H139" i="120"/>
  <c r="J139" i="120" s="1"/>
  <c r="E139" i="120"/>
  <c r="A139" i="120"/>
  <c r="I138" i="120"/>
  <c r="H138" i="120"/>
  <c r="J138" i="120" s="1"/>
  <c r="A138" i="120"/>
  <c r="I120" i="120"/>
  <c r="B120" i="120" s="1"/>
  <c r="H120" i="120"/>
  <c r="J120" i="120" s="1"/>
  <c r="A120" i="120"/>
  <c r="I119" i="120"/>
  <c r="B119" i="120" s="1"/>
  <c r="H119" i="120"/>
  <c r="J119" i="120" s="1"/>
  <c r="A119" i="120"/>
  <c r="I118" i="120"/>
  <c r="H118" i="120"/>
  <c r="J118" i="120" s="1"/>
  <c r="A118" i="120"/>
  <c r="I117" i="120"/>
  <c r="H117" i="120"/>
  <c r="J117" i="120" s="1"/>
  <c r="A117" i="120"/>
  <c r="I116" i="120"/>
  <c r="H116" i="120"/>
  <c r="J116" i="120" s="1"/>
  <c r="A116" i="120"/>
  <c r="I127" i="120"/>
  <c r="B127" i="120" s="1"/>
  <c r="H127" i="120"/>
  <c r="J127" i="120" s="1"/>
  <c r="A127" i="120"/>
  <c r="I126" i="120"/>
  <c r="B126" i="120" s="1"/>
  <c r="H126" i="120"/>
  <c r="J126" i="120" s="1"/>
  <c r="A126" i="120"/>
  <c r="I131" i="120"/>
  <c r="H131" i="120"/>
  <c r="J131" i="120" s="1"/>
  <c r="A131" i="120"/>
  <c r="I130" i="120"/>
  <c r="H130" i="120"/>
  <c r="J130" i="120" s="1"/>
  <c r="A130" i="120"/>
  <c r="J115" i="120"/>
  <c r="B113" i="120"/>
  <c r="A113" i="120"/>
  <c r="J111" i="120"/>
  <c r="A110" i="120"/>
  <c r="E107" i="120"/>
  <c r="A109" i="120"/>
  <c r="I108" i="120"/>
  <c r="H108" i="120"/>
  <c r="J108" i="120" s="1"/>
  <c r="A108" i="120"/>
  <c r="I106" i="120"/>
  <c r="B106" i="120" s="1"/>
  <c r="H106" i="120"/>
  <c r="J106" i="120" s="1"/>
  <c r="A106" i="120"/>
  <c r="I103" i="120"/>
  <c r="B103" i="120" s="1"/>
  <c r="H103" i="120"/>
  <c r="J103" i="120" s="1"/>
  <c r="A103" i="120"/>
  <c r="I102" i="120"/>
  <c r="B102" i="120" s="1"/>
  <c r="H102" i="120"/>
  <c r="J102" i="120" s="1"/>
  <c r="A102" i="120"/>
  <c r="G91" i="120"/>
  <c r="E25" i="120"/>
  <c r="E24" i="120"/>
  <c r="E23" i="120"/>
  <c r="I324" i="119"/>
  <c r="B324" i="119" s="1"/>
  <c r="H324" i="119"/>
  <c r="J324" i="119" s="1"/>
  <c r="A324" i="119"/>
  <c r="I323" i="119"/>
  <c r="H323" i="119"/>
  <c r="J323" i="119" s="1"/>
  <c r="A323" i="119"/>
  <c r="I322" i="119"/>
  <c r="H322" i="119"/>
  <c r="J322" i="119" s="1"/>
  <c r="A322" i="119"/>
  <c r="E51" i="119"/>
  <c r="E187" i="120" l="1"/>
  <c r="B228" i="120"/>
  <c r="B204" i="120"/>
  <c r="E219" i="120"/>
  <c r="G317" i="120"/>
  <c r="E137" i="120"/>
  <c r="B252" i="120"/>
  <c r="B289" i="120"/>
  <c r="B223" i="120"/>
  <c r="B222" i="120"/>
  <c r="B110" i="120"/>
  <c r="B138" i="120"/>
  <c r="B322" i="119"/>
  <c r="B131" i="120"/>
  <c r="B108" i="120"/>
  <c r="B117" i="120"/>
  <c r="E244" i="120"/>
  <c r="B213" i="120"/>
  <c r="B232" i="120"/>
  <c r="B242" i="120"/>
  <c r="B181" i="120"/>
  <c r="J181" i="120"/>
  <c r="B109" i="120"/>
  <c r="B141" i="120"/>
  <c r="B130" i="120"/>
  <c r="B195" i="120"/>
  <c r="B220" i="120"/>
  <c r="B235" i="120"/>
  <c r="B116" i="120"/>
  <c r="B188" i="120"/>
  <c r="E229" i="120"/>
  <c r="G321" i="120"/>
  <c r="B160" i="120"/>
  <c r="B215" i="120"/>
  <c r="J232" i="120"/>
  <c r="B236" i="120"/>
  <c r="B212" i="120"/>
  <c r="B233" i="120"/>
  <c r="E10" i="120"/>
  <c r="B118" i="120"/>
  <c r="B139" i="120"/>
  <c r="B203" i="120"/>
  <c r="B230" i="120"/>
  <c r="B234" i="120"/>
  <c r="B243" i="120"/>
  <c r="B271" i="120"/>
  <c r="B323" i="119"/>
  <c r="E292" i="120" l="1"/>
  <c r="F357" i="119" l="1"/>
  <c r="E165" i="119" l="1"/>
  <c r="I165" i="119"/>
  <c r="H165" i="119"/>
  <c r="J165" i="119" s="1"/>
  <c r="A165" i="119"/>
  <c r="I238" i="119"/>
  <c r="H238" i="119"/>
  <c r="J238" i="119" s="1"/>
  <c r="E238" i="119"/>
  <c r="A238" i="119"/>
  <c r="E176" i="119"/>
  <c r="I176" i="119"/>
  <c r="H176" i="119"/>
  <c r="J176" i="119" s="1"/>
  <c r="A176" i="119"/>
  <c r="E232" i="119"/>
  <c r="E231" i="119"/>
  <c r="I231" i="119"/>
  <c r="H231" i="119"/>
  <c r="J231" i="119" s="1"/>
  <c r="A231" i="119"/>
  <c r="E164" i="119"/>
  <c r="I164" i="119"/>
  <c r="H164" i="119"/>
  <c r="J164" i="119" s="1"/>
  <c r="A164" i="119"/>
  <c r="I233" i="119"/>
  <c r="H233" i="119"/>
  <c r="J233" i="119" s="1"/>
  <c r="E233" i="119"/>
  <c r="A233" i="119"/>
  <c r="I160" i="119"/>
  <c r="H160" i="119"/>
  <c r="J160" i="119" s="1"/>
  <c r="I159" i="119"/>
  <c r="H159" i="119"/>
  <c r="J159" i="119" s="1"/>
  <c r="A160" i="119"/>
  <c r="A159" i="119"/>
  <c r="E195" i="119"/>
  <c r="E193" i="119" s="1"/>
  <c r="I195" i="119"/>
  <c r="H195" i="119"/>
  <c r="J195" i="119" s="1"/>
  <c r="A195" i="119"/>
  <c r="R495" i="88"/>
  <c r="Q495" i="88"/>
  <c r="AA495" i="88" s="1"/>
  <c r="M495" i="88"/>
  <c r="J495" i="88"/>
  <c r="S495" i="88" l="1"/>
  <c r="B165" i="119"/>
  <c r="B238" i="119"/>
  <c r="B176" i="119"/>
  <c r="B231" i="119"/>
  <c r="B164" i="119"/>
  <c r="B233" i="119"/>
  <c r="B160" i="119"/>
  <c r="B159" i="119"/>
  <c r="B195" i="119"/>
  <c r="T495" i="88"/>
  <c r="E183" i="119"/>
  <c r="E177" i="119" s="1"/>
  <c r="I183" i="119"/>
  <c r="H183" i="119"/>
  <c r="J183" i="119" s="1"/>
  <c r="A183" i="119"/>
  <c r="E234" i="119"/>
  <c r="I234" i="119"/>
  <c r="H234" i="119"/>
  <c r="J234" i="119" s="1"/>
  <c r="A234" i="119"/>
  <c r="B234" i="119" l="1"/>
  <c r="B183" i="119"/>
  <c r="E307" i="119"/>
  <c r="I327" i="119"/>
  <c r="H327" i="119"/>
  <c r="J327" i="119" s="1"/>
  <c r="A327" i="119"/>
  <c r="E129" i="119"/>
  <c r="H131" i="119"/>
  <c r="J131" i="119" s="1"/>
  <c r="I131" i="119"/>
  <c r="A131" i="119"/>
  <c r="I158" i="119"/>
  <c r="H158" i="119"/>
  <c r="J158" i="119" s="1"/>
  <c r="A158" i="119"/>
  <c r="B327" i="119" l="1"/>
  <c r="B131" i="119"/>
  <c r="B158" i="119"/>
  <c r="I326" i="119"/>
  <c r="H326" i="119"/>
  <c r="J326" i="119" s="1"/>
  <c r="A326" i="119"/>
  <c r="E236" i="119"/>
  <c r="I236" i="119"/>
  <c r="H236" i="119"/>
  <c r="J236" i="119" s="1"/>
  <c r="A236" i="119"/>
  <c r="E247" i="119"/>
  <c r="I247" i="119"/>
  <c r="H247" i="119"/>
  <c r="J247" i="119" s="1"/>
  <c r="A247" i="119"/>
  <c r="E260" i="119"/>
  <c r="I260" i="119"/>
  <c r="H260" i="119"/>
  <c r="J260" i="119" s="1"/>
  <c r="A260" i="119"/>
  <c r="B326" i="119" l="1"/>
  <c r="B247" i="119"/>
  <c r="B236" i="119"/>
  <c r="B260" i="119"/>
  <c r="E163" i="119" l="1"/>
  <c r="I163" i="119"/>
  <c r="H163" i="119"/>
  <c r="J163" i="119" s="1"/>
  <c r="A163" i="119"/>
  <c r="E237" i="119"/>
  <c r="I237" i="119"/>
  <c r="H237" i="119"/>
  <c r="J237" i="119" s="1"/>
  <c r="A237" i="119"/>
  <c r="E162" i="119"/>
  <c r="I162" i="119"/>
  <c r="H162" i="119"/>
  <c r="J162" i="119" s="1"/>
  <c r="A162" i="119"/>
  <c r="E269" i="119"/>
  <c r="I298" i="119"/>
  <c r="H298" i="119"/>
  <c r="J298" i="119" s="1"/>
  <c r="A298" i="119"/>
  <c r="I306" i="119"/>
  <c r="H306" i="119"/>
  <c r="J306" i="119" s="1"/>
  <c r="A306" i="119"/>
  <c r="E299" i="119"/>
  <c r="I305" i="119"/>
  <c r="H305" i="119"/>
  <c r="J305" i="119" s="1"/>
  <c r="A305" i="119"/>
  <c r="I304" i="119"/>
  <c r="H304" i="119"/>
  <c r="J304" i="119" s="1"/>
  <c r="A304" i="119"/>
  <c r="I303" i="119"/>
  <c r="H303" i="119"/>
  <c r="J303" i="119" s="1"/>
  <c r="A303" i="119"/>
  <c r="B163" i="119" l="1"/>
  <c r="B237" i="119"/>
  <c r="B162" i="119"/>
  <c r="B298" i="119"/>
  <c r="B305" i="119"/>
  <c r="B304" i="119"/>
  <c r="B306" i="119"/>
  <c r="B303" i="119"/>
  <c r="I321" i="119" l="1"/>
  <c r="H321" i="119"/>
  <c r="J321" i="119" s="1"/>
  <c r="A321" i="119"/>
  <c r="R489" i="88"/>
  <c r="B321" i="119" l="1"/>
  <c r="E134" i="119"/>
  <c r="G96" i="119" l="1"/>
  <c r="G95" i="119"/>
  <c r="G92" i="119"/>
  <c r="G91" i="119"/>
  <c r="G90" i="119"/>
  <c r="G59" i="119"/>
  <c r="G58" i="119"/>
  <c r="I302" i="119"/>
  <c r="H302" i="119"/>
  <c r="J302" i="119" s="1"/>
  <c r="A302" i="119"/>
  <c r="E112" i="119"/>
  <c r="K112" i="119"/>
  <c r="M112" i="119" s="1"/>
  <c r="Z490" i="88"/>
  <c r="R490" i="88"/>
  <c r="Q490" i="88"/>
  <c r="M490" i="88"/>
  <c r="M489" i="88"/>
  <c r="J490" i="88"/>
  <c r="J489" i="88"/>
  <c r="Z489" i="88"/>
  <c r="Q489" i="88"/>
  <c r="Z488" i="88"/>
  <c r="R488" i="88"/>
  <c r="Q488" i="88"/>
  <c r="Z487" i="88"/>
  <c r="R487" i="88"/>
  <c r="Q487" i="88"/>
  <c r="Z486" i="88"/>
  <c r="R486" i="88"/>
  <c r="Q486" i="88"/>
  <c r="Z485" i="88"/>
  <c r="R485" i="88"/>
  <c r="Q485" i="88"/>
  <c r="Z484" i="88"/>
  <c r="R484" i="88"/>
  <c r="Q484" i="88"/>
  <c r="M488" i="88"/>
  <c r="M487" i="88"/>
  <c r="M486" i="88"/>
  <c r="J488" i="88"/>
  <c r="J487" i="88"/>
  <c r="J486" i="88"/>
  <c r="J485" i="88"/>
  <c r="J484" i="88"/>
  <c r="M485" i="88"/>
  <c r="M484" i="88"/>
  <c r="G107" i="119"/>
  <c r="G106" i="119"/>
  <c r="G105" i="119"/>
  <c r="Z483" i="88"/>
  <c r="Z482" i="88"/>
  <c r="J483" i="88"/>
  <c r="J482" i="88"/>
  <c r="J481" i="88"/>
  <c r="R483" i="88"/>
  <c r="Q483" i="88"/>
  <c r="M483" i="88"/>
  <c r="R482" i="88"/>
  <c r="Q482" i="88"/>
  <c r="M482" i="88"/>
  <c r="L481" i="88"/>
  <c r="R481" i="88" s="1"/>
  <c r="K481" i="88"/>
  <c r="Q481" i="88" s="1"/>
  <c r="Z481" i="88" l="1"/>
  <c r="AA481" i="88" s="1"/>
  <c r="AA485" i="88"/>
  <c r="S485" i="88"/>
  <c r="S484" i="88"/>
  <c r="AA486" i="88"/>
  <c r="AA484" i="88"/>
  <c r="AA490" i="88"/>
  <c r="S488" i="88"/>
  <c r="AA487" i="88"/>
  <c r="T490" i="88"/>
  <c r="T485" i="88"/>
  <c r="B302" i="119"/>
  <c r="S490" i="88"/>
  <c r="T489" i="88"/>
  <c r="S489" i="88"/>
  <c r="AA489" i="88"/>
  <c r="T486" i="88"/>
  <c r="AA488" i="88"/>
  <c r="T487" i="88"/>
  <c r="T484" i="88"/>
  <c r="T488" i="88"/>
  <c r="S487" i="88"/>
  <c r="S486" i="88"/>
  <c r="S482" i="88"/>
  <c r="T483" i="88"/>
  <c r="AA482" i="88"/>
  <c r="AA483" i="88"/>
  <c r="T482" i="88"/>
  <c r="S483" i="88"/>
  <c r="T481" i="88"/>
  <c r="S481" i="88"/>
  <c r="M481" i="88"/>
  <c r="I227" i="119" l="1"/>
  <c r="H227" i="119"/>
  <c r="J227" i="119" s="1"/>
  <c r="A227" i="119"/>
  <c r="I226" i="119"/>
  <c r="H226" i="119"/>
  <c r="J226" i="119" s="1"/>
  <c r="A226" i="119"/>
  <c r="E230" i="119"/>
  <c r="Z480" i="88"/>
  <c r="Z479" i="88"/>
  <c r="Z478" i="88"/>
  <c r="Z477" i="88"/>
  <c r="Z476" i="88"/>
  <c r="Z475" i="88"/>
  <c r="J480" i="88"/>
  <c r="J479" i="88"/>
  <c r="J478" i="88"/>
  <c r="J477" i="88"/>
  <c r="J476" i="88"/>
  <c r="J475" i="88"/>
  <c r="J474" i="88"/>
  <c r="J473" i="88"/>
  <c r="R480" i="88"/>
  <c r="Q480" i="88"/>
  <c r="M480" i="88"/>
  <c r="R479" i="88"/>
  <c r="Q479" i="88"/>
  <c r="M479" i="88"/>
  <c r="R478" i="88"/>
  <c r="Q478" i="88"/>
  <c r="M478" i="88"/>
  <c r="R477" i="88"/>
  <c r="Q477" i="88"/>
  <c r="M477" i="88"/>
  <c r="R476" i="88"/>
  <c r="Q476" i="88"/>
  <c r="M476" i="88"/>
  <c r="R475" i="88"/>
  <c r="Q475" i="88"/>
  <c r="M475" i="88"/>
  <c r="G111" i="119"/>
  <c r="G110" i="119"/>
  <c r="G67" i="119"/>
  <c r="G66" i="119"/>
  <c r="G61" i="119"/>
  <c r="G60" i="119"/>
  <c r="T477" i="88" l="1"/>
  <c r="S478" i="88"/>
  <c r="T475" i="88"/>
  <c r="S479" i="88"/>
  <c r="T476" i="88"/>
  <c r="AA475" i="88"/>
  <c r="B226" i="119"/>
  <c r="B227" i="119"/>
  <c r="S480" i="88"/>
  <c r="S476" i="88"/>
  <c r="T478" i="88"/>
  <c r="AA477" i="88"/>
  <c r="AA476" i="88"/>
  <c r="S477" i="88"/>
  <c r="T479" i="88"/>
  <c r="AA478" i="88"/>
  <c r="AA479" i="88"/>
  <c r="AA480" i="88"/>
  <c r="T480" i="88"/>
  <c r="S475" i="88"/>
  <c r="I207" i="119" l="1"/>
  <c r="H207" i="119"/>
  <c r="J207" i="119" s="1"/>
  <c r="I206" i="119"/>
  <c r="H206" i="119"/>
  <c r="J206" i="119" s="1"/>
  <c r="I205" i="119"/>
  <c r="H205" i="119"/>
  <c r="J205" i="119" s="1"/>
  <c r="I204" i="119"/>
  <c r="H204" i="119"/>
  <c r="J204" i="119" s="1"/>
  <c r="H209" i="119"/>
  <c r="J209" i="119" s="1"/>
  <c r="I209" i="119"/>
  <c r="I203" i="119"/>
  <c r="H203" i="119"/>
  <c r="J203" i="119" s="1"/>
  <c r="I202" i="119"/>
  <c r="H202" i="119"/>
  <c r="J202" i="119" s="1"/>
  <c r="I201" i="119"/>
  <c r="H201" i="119"/>
  <c r="J201" i="119" s="1"/>
  <c r="I200" i="119"/>
  <c r="H200" i="119"/>
  <c r="J200" i="119" s="1"/>
  <c r="I199" i="119"/>
  <c r="H199" i="119"/>
  <c r="J199" i="119" s="1"/>
  <c r="I198" i="119"/>
  <c r="H198" i="119"/>
  <c r="J198" i="119" s="1"/>
  <c r="E196" i="119"/>
  <c r="F353" i="119"/>
  <c r="I295" i="119"/>
  <c r="H295" i="119"/>
  <c r="J295" i="119" s="1"/>
  <c r="I294" i="119"/>
  <c r="H294" i="119"/>
  <c r="J294" i="119" s="1"/>
  <c r="I293" i="119"/>
  <c r="H293" i="119"/>
  <c r="J293" i="119" s="1"/>
  <c r="I292" i="119"/>
  <c r="H292" i="119"/>
  <c r="J292" i="119" s="1"/>
  <c r="I291" i="119"/>
  <c r="H291" i="119"/>
  <c r="J291" i="119" s="1"/>
  <c r="I290" i="119"/>
  <c r="H290" i="119"/>
  <c r="J290" i="119" s="1"/>
  <c r="I289" i="119"/>
  <c r="H289" i="119"/>
  <c r="J289" i="119" s="1"/>
  <c r="I288" i="119"/>
  <c r="H288" i="119"/>
  <c r="J288" i="119" s="1"/>
  <c r="I287" i="119"/>
  <c r="H287" i="119"/>
  <c r="J287" i="119" s="1"/>
  <c r="I286" i="119"/>
  <c r="H286" i="119"/>
  <c r="J286" i="119" s="1"/>
  <c r="I285" i="119"/>
  <c r="H285" i="119"/>
  <c r="J285" i="119" s="1"/>
  <c r="I284" i="119"/>
  <c r="H284" i="119"/>
  <c r="J284" i="119" s="1"/>
  <c r="I283" i="119"/>
  <c r="H283" i="119"/>
  <c r="J283" i="119" s="1"/>
  <c r="I282" i="119"/>
  <c r="H282" i="119"/>
  <c r="J282" i="119" s="1"/>
  <c r="I281" i="119"/>
  <c r="H281" i="119"/>
  <c r="J281" i="119" s="1"/>
  <c r="I280" i="119"/>
  <c r="H280" i="119"/>
  <c r="J280" i="119" s="1"/>
  <c r="I279" i="119"/>
  <c r="H279" i="119"/>
  <c r="J279" i="119" s="1"/>
  <c r="I278" i="119"/>
  <c r="H278" i="119"/>
  <c r="J278" i="119" s="1"/>
  <c r="I277" i="119"/>
  <c r="H277" i="119"/>
  <c r="J277" i="119" s="1"/>
  <c r="E20" i="119"/>
  <c r="E262" i="119"/>
  <c r="I262" i="119"/>
  <c r="H262" i="119"/>
  <c r="J262" i="119" s="1"/>
  <c r="A262" i="119"/>
  <c r="E261" i="119"/>
  <c r="E259" i="119"/>
  <c r="I259" i="119"/>
  <c r="H259" i="119"/>
  <c r="J259" i="119" s="1"/>
  <c r="A259" i="119"/>
  <c r="I325" i="119"/>
  <c r="H325" i="119"/>
  <c r="J325" i="119" s="1"/>
  <c r="A325" i="119"/>
  <c r="I157" i="119"/>
  <c r="H157" i="119"/>
  <c r="J157" i="119" s="1"/>
  <c r="A157" i="119"/>
  <c r="G89" i="119"/>
  <c r="G88" i="119"/>
  <c r="G81" i="119"/>
  <c r="G80" i="119"/>
  <c r="E32" i="119"/>
  <c r="B262" i="119" l="1"/>
  <c r="B259" i="119"/>
  <c r="B325" i="119"/>
  <c r="B157" i="119"/>
  <c r="E14" i="119"/>
  <c r="Z474" i="88"/>
  <c r="R474" i="88"/>
  <c r="Q474" i="88"/>
  <c r="Z473" i="88"/>
  <c r="R473" i="88"/>
  <c r="Q473" i="88"/>
  <c r="Q472" i="88"/>
  <c r="M474" i="88"/>
  <c r="M473" i="88"/>
  <c r="Z472" i="88"/>
  <c r="R472" i="88"/>
  <c r="Z471" i="88"/>
  <c r="R471" i="88"/>
  <c r="Q471" i="88"/>
  <c r="M472" i="88"/>
  <c r="M471" i="88"/>
  <c r="J472" i="88"/>
  <c r="J471" i="88"/>
  <c r="T474" i="88" l="1"/>
  <c r="T472" i="88"/>
  <c r="S472" i="88"/>
  <c r="AA472" i="88"/>
  <c r="AA471" i="88"/>
  <c r="AA473" i="88"/>
  <c r="T471" i="88"/>
  <c r="AA474" i="88"/>
  <c r="T473" i="88"/>
  <c r="S474" i="88"/>
  <c r="S473" i="88"/>
  <c r="S471" i="88"/>
  <c r="E168" i="119" l="1"/>
  <c r="I224" i="119"/>
  <c r="H224" i="119"/>
  <c r="J224" i="119" s="1"/>
  <c r="A224" i="119"/>
  <c r="B224" i="119" l="1"/>
  <c r="G65" i="119" l="1"/>
  <c r="G64" i="119"/>
  <c r="G102" i="119"/>
  <c r="G101" i="119"/>
  <c r="G94" i="119"/>
  <c r="G93" i="119"/>
  <c r="G104" i="119"/>
  <c r="G103" i="119"/>
  <c r="G83" i="119"/>
  <c r="G82" i="119"/>
  <c r="G119" i="119"/>
  <c r="G118" i="119"/>
  <c r="Z470" i="88"/>
  <c r="Z469" i="88"/>
  <c r="Z468" i="88"/>
  <c r="Z467" i="88"/>
  <c r="Z466" i="88"/>
  <c r="Z465" i="88"/>
  <c r="Z464" i="88"/>
  <c r="Z463" i="88"/>
  <c r="Z462" i="88"/>
  <c r="Z461" i="88"/>
  <c r="Z460" i="88"/>
  <c r="Z459" i="88"/>
  <c r="J470" i="88"/>
  <c r="J469" i="88"/>
  <c r="J468" i="88"/>
  <c r="J467" i="88"/>
  <c r="J466" i="88"/>
  <c r="J465" i="88"/>
  <c r="J464" i="88"/>
  <c r="J463" i="88"/>
  <c r="J462" i="88"/>
  <c r="J461" i="88"/>
  <c r="J460" i="88"/>
  <c r="J459" i="88"/>
  <c r="R470" i="88"/>
  <c r="Q470" i="88"/>
  <c r="M470" i="88"/>
  <c r="R469" i="88"/>
  <c r="Q469" i="88"/>
  <c r="M469" i="88"/>
  <c r="R468" i="88"/>
  <c r="Q468" i="88"/>
  <c r="M468" i="88"/>
  <c r="R467" i="88"/>
  <c r="Q467" i="88"/>
  <c r="M467" i="88"/>
  <c r="R466" i="88"/>
  <c r="Q466" i="88"/>
  <c r="M466" i="88"/>
  <c r="R465" i="88"/>
  <c r="Q465" i="88"/>
  <c r="M465" i="88"/>
  <c r="R464" i="88"/>
  <c r="Q464" i="88"/>
  <c r="M464" i="88"/>
  <c r="R463" i="88"/>
  <c r="Q463" i="88"/>
  <c r="M463" i="88"/>
  <c r="R462" i="88"/>
  <c r="Q462" i="88"/>
  <c r="M462" i="88"/>
  <c r="R461" i="88"/>
  <c r="Q461" i="88"/>
  <c r="M461" i="88"/>
  <c r="R460" i="88"/>
  <c r="Q460" i="88"/>
  <c r="M460" i="88"/>
  <c r="R459" i="88"/>
  <c r="Q459" i="88"/>
  <c r="M459" i="88"/>
  <c r="R21" i="88"/>
  <c r="Q21" i="88"/>
  <c r="S460" i="88" l="1"/>
  <c r="T468" i="88"/>
  <c r="T459" i="88"/>
  <c r="AA465" i="88"/>
  <c r="AA461" i="88"/>
  <c r="T462" i="88"/>
  <c r="T470" i="88"/>
  <c r="S463" i="88"/>
  <c r="T460" i="88"/>
  <c r="T469" i="88"/>
  <c r="AA469" i="88"/>
  <c r="T463" i="88"/>
  <c r="AA464" i="88"/>
  <c r="S462" i="88"/>
  <c r="T466" i="88"/>
  <c r="S465" i="88"/>
  <c r="AA459" i="88"/>
  <c r="AA466" i="88"/>
  <c r="T464" i="88"/>
  <c r="AA460" i="88"/>
  <c r="T467" i="88"/>
  <c r="AA467" i="88"/>
  <c r="AA468" i="88"/>
  <c r="AA462" i="88"/>
  <c r="S461" i="88"/>
  <c r="T461" i="88"/>
  <c r="AA463" i="88"/>
  <c r="AA470" i="88"/>
  <c r="S21" i="88"/>
  <c r="T465" i="88"/>
  <c r="S466" i="88"/>
  <c r="S459" i="88"/>
  <c r="S467" i="88"/>
  <c r="S468" i="88"/>
  <c r="S464" i="88"/>
  <c r="S469" i="88"/>
  <c r="S470" i="88"/>
  <c r="T21" i="88"/>
  <c r="I275" i="119" l="1"/>
  <c r="H275" i="119"/>
  <c r="J275" i="119" s="1"/>
  <c r="A275" i="119"/>
  <c r="E74" i="119"/>
  <c r="G74" i="119" s="1"/>
  <c r="E73" i="119"/>
  <c r="G73" i="119" s="1"/>
  <c r="E72" i="119"/>
  <c r="G72" i="119" s="1"/>
  <c r="B275" i="119" l="1"/>
  <c r="I317" i="119"/>
  <c r="B317" i="119" s="1"/>
  <c r="H317" i="119"/>
  <c r="J317" i="119" s="1"/>
  <c r="A317" i="119"/>
  <c r="I318" i="119"/>
  <c r="B318" i="119" s="1"/>
  <c r="H318" i="119"/>
  <c r="J318" i="119" s="1"/>
  <c r="A318" i="119"/>
  <c r="I316" i="119" l="1"/>
  <c r="B316" i="119" s="1"/>
  <c r="H316" i="119"/>
  <c r="J316" i="119" s="1"/>
  <c r="A316" i="119"/>
  <c r="I315" i="119" l="1"/>
  <c r="B315" i="119" s="1"/>
  <c r="H315" i="119"/>
  <c r="J315" i="119" s="1"/>
  <c r="A315" i="119"/>
  <c r="I314" i="119"/>
  <c r="B314" i="119" s="1"/>
  <c r="H314" i="119"/>
  <c r="J314" i="119" s="1"/>
  <c r="A314" i="119"/>
  <c r="I313" i="119"/>
  <c r="B313" i="119" s="1"/>
  <c r="H313" i="119"/>
  <c r="J313" i="119" s="1"/>
  <c r="A313" i="119"/>
  <c r="I301" i="119"/>
  <c r="B301" i="119" s="1"/>
  <c r="H301" i="119"/>
  <c r="J301" i="119" s="1"/>
  <c r="A301" i="119"/>
  <c r="G29" i="119" l="1"/>
  <c r="G28" i="119"/>
  <c r="I153" i="119" l="1"/>
  <c r="B153" i="119" s="1"/>
  <c r="H153" i="119"/>
  <c r="J153" i="119" s="1"/>
  <c r="A153" i="119"/>
  <c r="E137" i="119"/>
  <c r="E136" i="119" s="1"/>
  <c r="Z457" i="88"/>
  <c r="Z456" i="88"/>
  <c r="R458" i="88"/>
  <c r="K458" i="88"/>
  <c r="Q458" i="88" s="1"/>
  <c r="J458" i="88"/>
  <c r="R457" i="88"/>
  <c r="Q457" i="88"/>
  <c r="M457" i="88"/>
  <c r="J457" i="88"/>
  <c r="I192" i="119"/>
  <c r="H192" i="119"/>
  <c r="J192" i="119" s="1"/>
  <c r="Z458" i="88" l="1"/>
  <c r="AA458" i="88" s="1"/>
  <c r="AA457" i="88"/>
  <c r="T457" i="88"/>
  <c r="T458" i="88"/>
  <c r="M458" i="88"/>
  <c r="S457" i="88"/>
  <c r="S458" i="88"/>
  <c r="G109" i="119"/>
  <c r="G108" i="119"/>
  <c r="G71" i="119"/>
  <c r="G70" i="119"/>
  <c r="G69" i="119"/>
  <c r="G68" i="119"/>
  <c r="Z455" i="88"/>
  <c r="J456" i="88"/>
  <c r="J455" i="88"/>
  <c r="J454" i="88"/>
  <c r="J453" i="88"/>
  <c r="J452" i="88"/>
  <c r="J451" i="88"/>
  <c r="J450" i="88"/>
  <c r="R456" i="88"/>
  <c r="Q456" i="88"/>
  <c r="AA456" i="88" s="1"/>
  <c r="M456" i="88"/>
  <c r="R455" i="88"/>
  <c r="Q455" i="88"/>
  <c r="M455" i="88"/>
  <c r="Z451" i="88"/>
  <c r="Q454" i="88"/>
  <c r="M454" i="88"/>
  <c r="Q453" i="88"/>
  <c r="M453" i="88"/>
  <c r="Q452" i="88"/>
  <c r="O452" i="88"/>
  <c r="O453" i="88" s="1"/>
  <c r="Z453" i="88" s="1"/>
  <c r="M452" i="88"/>
  <c r="R451" i="88"/>
  <c r="Q451" i="88"/>
  <c r="M451" i="88"/>
  <c r="I274" i="119"/>
  <c r="H274" i="119"/>
  <c r="J274" i="119" s="1"/>
  <c r="A274" i="119"/>
  <c r="I319" i="119"/>
  <c r="H319" i="119"/>
  <c r="J319" i="119" s="1"/>
  <c r="A319" i="119"/>
  <c r="B319" i="119" l="1"/>
  <c r="Z452" i="88"/>
  <c r="AA452" i="88" s="1"/>
  <c r="AA453" i="88"/>
  <c r="B274" i="119"/>
  <c r="T456" i="88"/>
  <c r="S455" i="88"/>
  <c r="T455" i="88"/>
  <c r="AA451" i="88"/>
  <c r="S451" i="88"/>
  <c r="S456" i="88"/>
  <c r="AA455" i="88"/>
  <c r="O454" i="88"/>
  <c r="R453" i="88"/>
  <c r="T451" i="88"/>
  <c r="R452" i="88"/>
  <c r="R454" i="88" l="1"/>
  <c r="T454" i="88" s="1"/>
  <c r="Z454" i="88"/>
  <c r="AA454" i="88" s="1"/>
  <c r="T452" i="88"/>
  <c r="S452" i="88"/>
  <c r="S453" i="88"/>
  <c r="T453" i="88"/>
  <c r="S454" i="88" l="1"/>
  <c r="I151" i="119"/>
  <c r="B151" i="119" s="1"/>
  <c r="H151" i="119"/>
  <c r="J151" i="119" s="1"/>
  <c r="A151" i="119"/>
  <c r="I150" i="119"/>
  <c r="B150" i="119" s="1"/>
  <c r="H150" i="119"/>
  <c r="J150" i="119" s="1"/>
  <c r="A150" i="119"/>
  <c r="E258" i="119"/>
  <c r="I258" i="119"/>
  <c r="H258" i="119"/>
  <c r="J258" i="119" s="1"/>
  <c r="A258" i="119"/>
  <c r="E268" i="119"/>
  <c r="I268" i="119"/>
  <c r="H268" i="119"/>
  <c r="J268" i="119" s="1"/>
  <c r="A268" i="119"/>
  <c r="I155" i="119"/>
  <c r="B155" i="119" s="1"/>
  <c r="H155" i="119"/>
  <c r="J155" i="119" s="1"/>
  <c r="A155" i="119"/>
  <c r="E363" i="119"/>
  <c r="B268" i="119" l="1"/>
  <c r="B258" i="119"/>
  <c r="K25" i="119" l="1"/>
  <c r="I312" i="119" l="1"/>
  <c r="B312" i="119" s="1"/>
  <c r="H312" i="119"/>
  <c r="J312" i="119" s="1"/>
  <c r="A312" i="119"/>
  <c r="F359" i="119"/>
  <c r="E371" i="119"/>
  <c r="E346" i="119"/>
  <c r="I311" i="119"/>
  <c r="B311" i="119" s="1"/>
  <c r="H311" i="119"/>
  <c r="J311" i="119" s="1"/>
  <c r="A311" i="119"/>
  <c r="E265" i="119"/>
  <c r="E264" i="119"/>
  <c r="G55" i="119"/>
  <c r="G54" i="119"/>
  <c r="Z450" i="88"/>
  <c r="Z449" i="88"/>
  <c r="R450" i="88"/>
  <c r="Q450" i="88"/>
  <c r="R449" i="88"/>
  <c r="Q449" i="88"/>
  <c r="M450" i="88"/>
  <c r="M449" i="88"/>
  <c r="J449" i="88"/>
  <c r="AA450" i="88" l="1"/>
  <c r="S449" i="88"/>
  <c r="S450" i="88"/>
  <c r="T449" i="88"/>
  <c r="T450" i="88"/>
  <c r="AA449" i="88"/>
  <c r="I320" i="119" l="1"/>
  <c r="H320" i="119"/>
  <c r="J320" i="119" s="1"/>
  <c r="A320" i="119"/>
  <c r="B320" i="119" l="1"/>
  <c r="I180" i="119"/>
  <c r="B180" i="119" s="1"/>
  <c r="H180" i="119"/>
  <c r="J180" i="119" s="1"/>
  <c r="A180" i="119"/>
  <c r="G113" i="119"/>
  <c r="E49" i="119" l="1"/>
  <c r="E48" i="119"/>
  <c r="E47" i="119" l="1"/>
  <c r="G85" i="119"/>
  <c r="G57" i="119"/>
  <c r="G56" i="119"/>
  <c r="G84" i="119" l="1"/>
  <c r="G76" i="119"/>
  <c r="G75" i="119"/>
  <c r="G45" i="119"/>
  <c r="G37" i="119"/>
  <c r="G36" i="119"/>
  <c r="G27" i="119"/>
  <c r="G26" i="119"/>
  <c r="G25" i="119"/>
  <c r="G24" i="119"/>
  <c r="G23" i="119"/>
  <c r="G22" i="119"/>
  <c r="Z448" i="88"/>
  <c r="J448" i="88"/>
  <c r="J447" i="88"/>
  <c r="J446" i="88"/>
  <c r="J445" i="88"/>
  <c r="J444" i="88"/>
  <c r="J443" i="88"/>
  <c r="J442" i="88"/>
  <c r="J441" i="88"/>
  <c r="J440" i="88"/>
  <c r="J439" i="88"/>
  <c r="J438" i="88"/>
  <c r="J437" i="88"/>
  <c r="J436" i="88"/>
  <c r="J435" i="88"/>
  <c r="J434" i="88"/>
  <c r="J433" i="88"/>
  <c r="J432" i="88"/>
  <c r="J431" i="88"/>
  <c r="J430" i="88"/>
  <c r="J429" i="88"/>
  <c r="J428" i="88"/>
  <c r="R448" i="88"/>
  <c r="Q448" i="88"/>
  <c r="M448" i="88"/>
  <c r="Q447" i="88"/>
  <c r="M447" i="88"/>
  <c r="Q446" i="88"/>
  <c r="M446" i="88"/>
  <c r="Q445" i="88"/>
  <c r="F100" i="119" s="1"/>
  <c r="G100" i="119" s="1"/>
  <c r="M445" i="88"/>
  <c r="Q444" i="88"/>
  <c r="F99" i="119" s="1"/>
  <c r="G99" i="119" s="1"/>
  <c r="M444" i="88"/>
  <c r="Q443" i="88"/>
  <c r="F98" i="119" s="1"/>
  <c r="G98" i="119" s="1"/>
  <c r="M443" i="88"/>
  <c r="Q442" i="88"/>
  <c r="F97" i="119" s="1"/>
  <c r="G97" i="119" s="1"/>
  <c r="M442" i="88"/>
  <c r="Q441" i="88"/>
  <c r="M441" i="88"/>
  <c r="Q440" i="88"/>
  <c r="M440" i="88"/>
  <c r="Q439" i="88"/>
  <c r="M439" i="88"/>
  <c r="Q438" i="88"/>
  <c r="R438" i="88"/>
  <c r="M438" i="88"/>
  <c r="Q437" i="88"/>
  <c r="R437" i="88"/>
  <c r="M437" i="88"/>
  <c r="Q436" i="88"/>
  <c r="R436" i="88"/>
  <c r="M436" i="88"/>
  <c r="Q435" i="88"/>
  <c r="R435" i="88"/>
  <c r="M435" i="88"/>
  <c r="Q434" i="88"/>
  <c r="R434" i="88"/>
  <c r="M434" i="88"/>
  <c r="Q433" i="88"/>
  <c r="R433" i="88"/>
  <c r="M433" i="88"/>
  <c r="R432" i="88"/>
  <c r="N432" i="88"/>
  <c r="Q432" i="88" s="1"/>
  <c r="M432" i="88"/>
  <c r="R431" i="88"/>
  <c r="N431" i="88"/>
  <c r="Q431" i="88" s="1"/>
  <c r="M431" i="88"/>
  <c r="R430" i="88"/>
  <c r="N430" i="88"/>
  <c r="Q430" i="88" s="1"/>
  <c r="M430" i="88"/>
  <c r="Q429" i="88"/>
  <c r="R429" i="88"/>
  <c r="M429" i="88"/>
  <c r="J427" i="88"/>
  <c r="J426" i="88"/>
  <c r="Q428" i="88"/>
  <c r="R428" i="88"/>
  <c r="M428" i="88"/>
  <c r="Q427" i="88"/>
  <c r="R427" i="88"/>
  <c r="M427" i="88"/>
  <c r="Q426" i="88"/>
  <c r="R426" i="88"/>
  <c r="M426" i="88"/>
  <c r="Z422" i="88"/>
  <c r="Q425" i="88"/>
  <c r="R425" i="88"/>
  <c r="M425" i="88"/>
  <c r="Q424" i="88"/>
  <c r="R424" i="88"/>
  <c r="M424" i="88"/>
  <c r="Q423" i="88"/>
  <c r="R423" i="88"/>
  <c r="M423" i="88"/>
  <c r="R422" i="88"/>
  <c r="Q422" i="88"/>
  <c r="M422" i="88"/>
  <c r="J425" i="88"/>
  <c r="J424" i="88"/>
  <c r="J423" i="88"/>
  <c r="J422" i="88"/>
  <c r="Z429" i="88" l="1"/>
  <c r="AA429" i="88" s="1"/>
  <c r="T448" i="88"/>
  <c r="Z431" i="88"/>
  <c r="AA431" i="88" s="1"/>
  <c r="Z434" i="88"/>
  <c r="AA434" i="88" s="1"/>
  <c r="AA448" i="88"/>
  <c r="Z435" i="88"/>
  <c r="AA435" i="88" s="1"/>
  <c r="Z436" i="88"/>
  <c r="AA436" i="88" s="1"/>
  <c r="Z432" i="88"/>
  <c r="AA432" i="88" s="1"/>
  <c r="Z437" i="88"/>
  <c r="AA437" i="88" s="1"/>
  <c r="Z433" i="88"/>
  <c r="AA433" i="88" s="1"/>
  <c r="Z438" i="88"/>
  <c r="AA438" i="88" s="1"/>
  <c r="S448" i="88"/>
  <c r="Z430" i="88"/>
  <c r="AA430" i="88" s="1"/>
  <c r="T435" i="88"/>
  <c r="T423" i="88"/>
  <c r="AA422" i="88"/>
  <c r="T425" i="88"/>
  <c r="Z424" i="88"/>
  <c r="AA424" i="88" s="1"/>
  <c r="T437" i="88"/>
  <c r="Z425" i="88"/>
  <c r="AA425" i="88" s="1"/>
  <c r="S430" i="88"/>
  <c r="T422" i="88"/>
  <c r="Z428" i="88"/>
  <c r="AA428" i="88" s="1"/>
  <c r="Z426" i="88"/>
  <c r="AA426" i="88" s="1"/>
  <c r="Z423" i="88"/>
  <c r="AA423" i="88" s="1"/>
  <c r="Z427" i="88"/>
  <c r="AA427" i="88" s="1"/>
  <c r="T430" i="88"/>
  <c r="S438" i="88"/>
  <c r="T438" i="88"/>
  <c r="T436" i="88"/>
  <c r="S436" i="88"/>
  <c r="S435" i="88"/>
  <c r="S437" i="88"/>
  <c r="T434" i="88"/>
  <c r="S434" i="88"/>
  <c r="S433" i="88"/>
  <c r="T433" i="88"/>
  <c r="T432" i="88"/>
  <c r="S432" i="88"/>
  <c r="T431" i="88"/>
  <c r="S431" i="88"/>
  <c r="T429" i="88"/>
  <c r="S429" i="88"/>
  <c r="S426" i="88"/>
  <c r="T426" i="88"/>
  <c r="S428" i="88"/>
  <c r="T428" i="88"/>
  <c r="T427" i="88"/>
  <c r="S427" i="88"/>
  <c r="T424" i="88"/>
  <c r="S424" i="88"/>
  <c r="S423" i="88"/>
  <c r="S422" i="88"/>
  <c r="S425" i="88"/>
  <c r="I273" i="119" l="1"/>
  <c r="B273" i="119" s="1"/>
  <c r="H273" i="119"/>
  <c r="J273" i="119" s="1"/>
  <c r="A273" i="119"/>
  <c r="E257" i="119" l="1"/>
  <c r="I257" i="119"/>
  <c r="H257" i="119"/>
  <c r="J257" i="119" s="1"/>
  <c r="A257" i="119"/>
  <c r="I152" i="119"/>
  <c r="B152" i="119" s="1"/>
  <c r="H152" i="119"/>
  <c r="J152" i="119" s="1"/>
  <c r="A152" i="119"/>
  <c r="B257" i="119" l="1"/>
  <c r="I265" i="119" l="1"/>
  <c r="H265" i="119"/>
  <c r="J265" i="119" s="1"/>
  <c r="A265" i="119"/>
  <c r="I264" i="119"/>
  <c r="H264" i="119"/>
  <c r="J264" i="119" s="1"/>
  <c r="A264" i="119"/>
  <c r="I215" i="119"/>
  <c r="B215" i="119" s="1"/>
  <c r="H215" i="119"/>
  <c r="J215" i="119" s="1"/>
  <c r="A215" i="119"/>
  <c r="B264" i="119" l="1"/>
  <c r="B265" i="119"/>
  <c r="E256" i="119"/>
  <c r="I256" i="119"/>
  <c r="H256" i="119"/>
  <c r="J256" i="119" s="1"/>
  <c r="A256" i="119"/>
  <c r="I154" i="119"/>
  <c r="B154" i="119" s="1"/>
  <c r="H154" i="119"/>
  <c r="J154" i="119" s="1"/>
  <c r="A154" i="119"/>
  <c r="I272" i="119"/>
  <c r="H272" i="119"/>
  <c r="J272" i="119" s="1"/>
  <c r="F374" i="119"/>
  <c r="E374" i="119"/>
  <c r="B256" i="119" l="1"/>
  <c r="F371" i="119"/>
  <c r="J371" i="119" s="1"/>
  <c r="I147" i="119"/>
  <c r="B147" i="119" s="1"/>
  <c r="H147" i="119"/>
  <c r="J147" i="119" s="1"/>
  <c r="A147" i="119"/>
  <c r="Z421" i="88" l="1"/>
  <c r="Z420" i="88"/>
  <c r="Z419" i="88"/>
  <c r="R421" i="88"/>
  <c r="E117" i="119" s="1"/>
  <c r="Q421" i="88"/>
  <c r="F117" i="119" s="1"/>
  <c r="R420" i="88"/>
  <c r="Q420" i="88"/>
  <c r="F116" i="119" s="1"/>
  <c r="R419" i="88"/>
  <c r="Q419" i="88"/>
  <c r="F115" i="119" s="1"/>
  <c r="M421" i="88"/>
  <c r="M420" i="88"/>
  <c r="M419" i="88"/>
  <c r="J421" i="88"/>
  <c r="J420" i="88"/>
  <c r="J419" i="88"/>
  <c r="E115" i="119" l="1"/>
  <c r="G115" i="119" s="1"/>
  <c r="E116" i="119"/>
  <c r="G116" i="119" s="1"/>
  <c r="G117" i="119"/>
  <c r="T419" i="88"/>
  <c r="AA419" i="88"/>
  <c r="T421" i="88"/>
  <c r="AA421" i="88"/>
  <c r="S419" i="88"/>
  <c r="T420" i="88"/>
  <c r="S421" i="88"/>
  <c r="AA420" i="88"/>
  <c r="S420" i="88"/>
  <c r="G96" i="120" l="1"/>
  <c r="E46" i="120"/>
  <c r="K107" i="119"/>
  <c r="I310" i="119"/>
  <c r="B310" i="119" s="1"/>
  <c r="H310" i="119"/>
  <c r="J310" i="119" s="1"/>
  <c r="A310" i="119"/>
  <c r="I300" i="119" l="1"/>
  <c r="B300" i="119" s="1"/>
  <c r="H300" i="119"/>
  <c r="J300" i="119" s="1"/>
  <c r="A300" i="119"/>
  <c r="I309" i="119" l="1"/>
  <c r="B309" i="119" s="1"/>
  <c r="H309" i="119"/>
  <c r="J309" i="119" s="1"/>
  <c r="A309" i="119"/>
  <c r="E161" i="119"/>
  <c r="I161" i="119"/>
  <c r="H161" i="119"/>
  <c r="J161" i="119" s="1"/>
  <c r="A161" i="119"/>
  <c r="B161" i="119" l="1"/>
  <c r="E228" i="119" l="1"/>
  <c r="I228" i="119"/>
  <c r="H228" i="119"/>
  <c r="J228" i="119" s="1"/>
  <c r="A228" i="119"/>
  <c r="I232" i="119"/>
  <c r="H232" i="119"/>
  <c r="J232" i="119" s="1"/>
  <c r="A232" i="119"/>
  <c r="I235" i="119"/>
  <c r="H235" i="119"/>
  <c r="J235" i="119" s="1"/>
  <c r="E235" i="119"/>
  <c r="A235" i="119"/>
  <c r="E229" i="119"/>
  <c r="I229" i="119"/>
  <c r="H229" i="119"/>
  <c r="J229" i="119" s="1"/>
  <c r="A229" i="119"/>
  <c r="E255" i="119"/>
  <c r="I255" i="119"/>
  <c r="H255" i="119"/>
  <c r="J255" i="119" s="1"/>
  <c r="A255" i="119"/>
  <c r="B229" i="119" l="1"/>
  <c r="B228" i="119"/>
  <c r="B232" i="119"/>
  <c r="B235" i="119"/>
  <c r="B255" i="119"/>
  <c r="I146" i="119" l="1"/>
  <c r="B146" i="119" s="1"/>
  <c r="H146" i="119"/>
  <c r="J146" i="119" s="1"/>
  <c r="A146" i="119"/>
  <c r="Z418" i="88"/>
  <c r="Z417" i="88"/>
  <c r="Z416" i="88"/>
  <c r="J418" i="88"/>
  <c r="J417" i="88"/>
  <c r="J416" i="88"/>
  <c r="R418" i="88"/>
  <c r="Q418" i="88"/>
  <c r="M418" i="88"/>
  <c r="R417" i="88"/>
  <c r="Q417" i="88"/>
  <c r="M417" i="88"/>
  <c r="R416" i="88"/>
  <c r="Q416" i="88"/>
  <c r="M416" i="88"/>
  <c r="Z415" i="88"/>
  <c r="Z414" i="88"/>
  <c r="J413" i="88"/>
  <c r="J412" i="88"/>
  <c r="J415" i="88"/>
  <c r="J414" i="88"/>
  <c r="R415" i="88"/>
  <c r="Q415" i="88"/>
  <c r="M415" i="88"/>
  <c r="R414" i="88"/>
  <c r="Q414" i="88"/>
  <c r="M414" i="88"/>
  <c r="AA416" i="88" l="1"/>
  <c r="S418" i="88"/>
  <c r="T416" i="88"/>
  <c r="AA417" i="88"/>
  <c r="T417" i="88"/>
  <c r="AA418" i="88"/>
  <c r="T418" i="88"/>
  <c r="S417" i="88"/>
  <c r="T414" i="88"/>
  <c r="AA414" i="88"/>
  <c r="AA415" i="88"/>
  <c r="S416" i="88"/>
  <c r="S414" i="88"/>
  <c r="T415" i="88"/>
  <c r="S415" i="88"/>
  <c r="I308" i="119" l="1"/>
  <c r="B308" i="119" s="1"/>
  <c r="H308" i="119"/>
  <c r="J308" i="119" s="1"/>
  <c r="A308" i="119"/>
  <c r="E245" i="119"/>
  <c r="E244" i="119" s="1"/>
  <c r="I297" i="119" l="1"/>
  <c r="H297" i="119"/>
  <c r="J297" i="119" s="1"/>
  <c r="I296" i="119"/>
  <c r="H296" i="119"/>
  <c r="J296" i="119" s="1"/>
  <c r="I276" i="119"/>
  <c r="H276" i="119"/>
  <c r="J276" i="119" s="1"/>
  <c r="I271" i="119"/>
  <c r="H271" i="119"/>
  <c r="J271" i="119" s="1"/>
  <c r="E267" i="119"/>
  <c r="E266" i="119"/>
  <c r="I261" i="119"/>
  <c r="H261" i="119"/>
  <c r="J261" i="119" s="1"/>
  <c r="E253" i="119"/>
  <c r="E252" i="119"/>
  <c r="E251" i="119"/>
  <c r="E250" i="119"/>
  <c r="E249" i="119"/>
  <c r="E209" i="119"/>
  <c r="I225" i="119"/>
  <c r="H225" i="119"/>
  <c r="J225" i="119" s="1"/>
  <c r="I223" i="119"/>
  <c r="H223" i="119"/>
  <c r="J223" i="119" s="1"/>
  <c r="I222" i="119"/>
  <c r="H222" i="119"/>
  <c r="J222" i="119" s="1"/>
  <c r="I221" i="119"/>
  <c r="H221" i="119"/>
  <c r="J221" i="119" s="1"/>
  <c r="I220" i="119"/>
  <c r="H220" i="119"/>
  <c r="J220" i="119" s="1"/>
  <c r="I219" i="119"/>
  <c r="H219" i="119"/>
  <c r="J219" i="119" s="1"/>
  <c r="I218" i="119"/>
  <c r="H218" i="119"/>
  <c r="J218" i="119" s="1"/>
  <c r="E217" i="119"/>
  <c r="I197" i="119"/>
  <c r="H197" i="119"/>
  <c r="J197" i="119" s="1"/>
  <c r="I191" i="119"/>
  <c r="H191" i="119"/>
  <c r="J191" i="119" s="1"/>
  <c r="I190" i="119"/>
  <c r="H190" i="119"/>
  <c r="J190" i="119" s="1"/>
  <c r="E187" i="119"/>
  <c r="E186" i="119" s="1"/>
  <c r="I188" i="119"/>
  <c r="H188" i="119"/>
  <c r="J188" i="119" s="1"/>
  <c r="I182" i="119"/>
  <c r="H182" i="119"/>
  <c r="J182" i="119" s="1"/>
  <c r="I181" i="119"/>
  <c r="H181" i="119"/>
  <c r="J181" i="119" s="1"/>
  <c r="E149" i="119"/>
  <c r="E139" i="119" s="1"/>
  <c r="E263" i="119" l="1"/>
  <c r="I175" i="119"/>
  <c r="H175" i="119"/>
  <c r="J175" i="119" s="1"/>
  <c r="A175" i="119"/>
  <c r="I174" i="119"/>
  <c r="B174" i="119" s="1"/>
  <c r="H174" i="119"/>
  <c r="J174" i="119" s="1"/>
  <c r="A174" i="119"/>
  <c r="I173" i="119"/>
  <c r="B173" i="119" s="1"/>
  <c r="H173" i="119"/>
  <c r="J173" i="119" s="1"/>
  <c r="A173" i="119"/>
  <c r="I172" i="119"/>
  <c r="B172" i="119" s="1"/>
  <c r="H172" i="119"/>
  <c r="J172" i="119" s="1"/>
  <c r="A172" i="119"/>
  <c r="E171" i="119"/>
  <c r="E170" i="119" s="1"/>
  <c r="I145" i="119"/>
  <c r="B145" i="119" s="1"/>
  <c r="H145" i="119"/>
  <c r="J145" i="119" s="1"/>
  <c r="A145" i="119"/>
  <c r="I144" i="119"/>
  <c r="B144" i="119" s="1"/>
  <c r="H144" i="119"/>
  <c r="J144" i="119" s="1"/>
  <c r="A144" i="119"/>
  <c r="I142" i="119"/>
  <c r="B142" i="119" s="1"/>
  <c r="H142" i="119"/>
  <c r="J142" i="119" s="1"/>
  <c r="A142" i="119"/>
  <c r="I143" i="119"/>
  <c r="H143" i="119"/>
  <c r="J143" i="119" s="1"/>
  <c r="I141" i="119"/>
  <c r="B141" i="119" s="1"/>
  <c r="H141" i="119"/>
  <c r="J141" i="119" s="1"/>
  <c r="A141" i="119"/>
  <c r="I148" i="119"/>
  <c r="H148" i="119"/>
  <c r="J148" i="119" s="1"/>
  <c r="E213" i="119"/>
  <c r="E211" i="119"/>
  <c r="E210" i="119"/>
  <c r="B175" i="119" l="1"/>
  <c r="H126" i="119"/>
  <c r="I126" i="119"/>
  <c r="E126" i="119"/>
  <c r="G114" i="119"/>
  <c r="G63" i="119"/>
  <c r="G62" i="119"/>
  <c r="F87" i="119"/>
  <c r="F86" i="119"/>
  <c r="E87" i="119"/>
  <c r="E86" i="119"/>
  <c r="F79" i="119"/>
  <c r="F78" i="119"/>
  <c r="F77" i="119"/>
  <c r="E79" i="119"/>
  <c r="E78" i="119"/>
  <c r="E77" i="119"/>
  <c r="E53" i="119" l="1"/>
  <c r="G78" i="119"/>
  <c r="G79" i="119"/>
  <c r="G87" i="119"/>
  <c r="G86" i="119"/>
  <c r="G77" i="119"/>
  <c r="E16" i="119" l="1"/>
  <c r="E15" i="119"/>
  <c r="E5" i="119" l="1"/>
  <c r="E4" i="119" s="1"/>
  <c r="F355" i="119" l="1"/>
  <c r="G355" i="119" s="1"/>
  <c r="A297" i="119"/>
  <c r="A296" i="119"/>
  <c r="A276" i="119"/>
  <c r="I270" i="119"/>
  <c r="H270" i="119"/>
  <c r="J270" i="119" s="1"/>
  <c r="I267" i="119"/>
  <c r="H267" i="119"/>
  <c r="J267" i="119" s="1"/>
  <c r="A267" i="119"/>
  <c r="I266" i="119"/>
  <c r="H266" i="119"/>
  <c r="J266" i="119" s="1"/>
  <c r="A266" i="119"/>
  <c r="B261" i="119"/>
  <c r="A261" i="119"/>
  <c r="I254" i="119"/>
  <c r="H254" i="119"/>
  <c r="J254" i="119" s="1"/>
  <c r="E254" i="119"/>
  <c r="E248" i="119" s="1"/>
  <c r="A254" i="119"/>
  <c r="I253" i="119"/>
  <c r="H253" i="119"/>
  <c r="J253" i="119" s="1"/>
  <c r="A253" i="119"/>
  <c r="I252" i="119"/>
  <c r="H252" i="119"/>
  <c r="J252" i="119" s="1"/>
  <c r="A252" i="119"/>
  <c r="I251" i="119"/>
  <c r="H251" i="119"/>
  <c r="J251" i="119" s="1"/>
  <c r="A251" i="119"/>
  <c r="I250" i="119"/>
  <c r="H250" i="119"/>
  <c r="J250" i="119" s="1"/>
  <c r="A250" i="119"/>
  <c r="I249" i="119"/>
  <c r="H249" i="119"/>
  <c r="J249" i="119" s="1"/>
  <c r="A249" i="119"/>
  <c r="I245" i="119"/>
  <c r="B245" i="119" s="1"/>
  <c r="H245" i="119"/>
  <c r="J245" i="119" s="1"/>
  <c r="A245" i="119"/>
  <c r="I246" i="119"/>
  <c r="B246" i="119" s="1"/>
  <c r="H246" i="119"/>
  <c r="J246" i="119" s="1"/>
  <c r="A246" i="119"/>
  <c r="I243" i="119"/>
  <c r="H243" i="119"/>
  <c r="J243" i="119" s="1"/>
  <c r="A243" i="119"/>
  <c r="I242" i="119"/>
  <c r="H242" i="119"/>
  <c r="J242" i="119" s="1"/>
  <c r="A242" i="119"/>
  <c r="E241" i="119"/>
  <c r="I240" i="119"/>
  <c r="H240" i="119"/>
  <c r="J240" i="119" s="1"/>
  <c r="E239" i="119"/>
  <c r="A240" i="119"/>
  <c r="I217" i="119"/>
  <c r="H217" i="119"/>
  <c r="A217" i="119"/>
  <c r="I214" i="119"/>
  <c r="H214" i="119"/>
  <c r="J214" i="119" s="1"/>
  <c r="A214" i="119"/>
  <c r="I216" i="119"/>
  <c r="H216" i="119"/>
  <c r="J216" i="119" s="1"/>
  <c r="A216" i="119"/>
  <c r="I213" i="119"/>
  <c r="H213" i="119"/>
  <c r="J213" i="119" s="1"/>
  <c r="A213" i="119"/>
  <c r="I212" i="119"/>
  <c r="H212" i="119"/>
  <c r="J212" i="119" s="1"/>
  <c r="A212" i="119"/>
  <c r="I211" i="119"/>
  <c r="H211" i="119"/>
  <c r="J211" i="119" s="1"/>
  <c r="A211" i="119"/>
  <c r="I210" i="119"/>
  <c r="H210" i="119"/>
  <c r="J210" i="119" s="1"/>
  <c r="A210" i="119"/>
  <c r="A209" i="119"/>
  <c r="A225" i="119"/>
  <c r="I230" i="119"/>
  <c r="H230" i="119"/>
  <c r="J230" i="119" s="1"/>
  <c r="A230" i="119"/>
  <c r="B223" i="119"/>
  <c r="A223" i="119"/>
  <c r="B222" i="119"/>
  <c r="A222" i="119"/>
  <c r="B221" i="119"/>
  <c r="A221" i="119"/>
  <c r="B220" i="119"/>
  <c r="A220" i="119"/>
  <c r="B219" i="119"/>
  <c r="A219" i="119"/>
  <c r="B218" i="119"/>
  <c r="E218" i="119"/>
  <c r="E208" i="119" s="1"/>
  <c r="A218" i="119"/>
  <c r="A197" i="119"/>
  <c r="I194" i="119"/>
  <c r="H194" i="119"/>
  <c r="J194" i="119" s="1"/>
  <c r="A194" i="119"/>
  <c r="E189" i="119"/>
  <c r="I187" i="119"/>
  <c r="H187" i="119"/>
  <c r="J187" i="119" s="1"/>
  <c r="I185" i="119"/>
  <c r="H185" i="119"/>
  <c r="J185" i="119" s="1"/>
  <c r="A182" i="119"/>
  <c r="B181" i="119"/>
  <c r="A181" i="119"/>
  <c r="I179" i="119"/>
  <c r="B179" i="119" s="1"/>
  <c r="H179" i="119"/>
  <c r="J179" i="119" s="1"/>
  <c r="A179" i="119"/>
  <c r="I178" i="119"/>
  <c r="B178" i="119" s="1"/>
  <c r="H178" i="119"/>
  <c r="J178" i="119" s="1"/>
  <c r="A178" i="119"/>
  <c r="I171" i="119"/>
  <c r="H171" i="119"/>
  <c r="J171" i="119" s="1"/>
  <c r="A171" i="119"/>
  <c r="I168" i="119"/>
  <c r="H168" i="119"/>
  <c r="J168" i="119" s="1"/>
  <c r="A168" i="119"/>
  <c r="I167" i="119"/>
  <c r="B167" i="119" s="1"/>
  <c r="H167" i="119"/>
  <c r="J167" i="119" s="1"/>
  <c r="A167" i="119"/>
  <c r="I149" i="119"/>
  <c r="H149" i="119"/>
  <c r="J149" i="119" s="1"/>
  <c r="A149" i="119"/>
  <c r="I156" i="119"/>
  <c r="H156" i="119"/>
  <c r="A156" i="119"/>
  <c r="I140" i="119"/>
  <c r="B140" i="119" s="1"/>
  <c r="H140" i="119"/>
  <c r="J140" i="119" s="1"/>
  <c r="A140" i="119"/>
  <c r="B143" i="119"/>
  <c r="A143" i="119"/>
  <c r="B148" i="119"/>
  <c r="A148" i="119"/>
  <c r="J139" i="119"/>
  <c r="I138" i="119"/>
  <c r="H138" i="119"/>
  <c r="J138" i="119" s="1"/>
  <c r="I137" i="119"/>
  <c r="B137" i="119" s="1"/>
  <c r="H137" i="119"/>
  <c r="J137" i="119" s="1"/>
  <c r="A137" i="119"/>
  <c r="J136" i="119"/>
  <c r="I135" i="119"/>
  <c r="H135" i="119"/>
  <c r="J135" i="119" s="1"/>
  <c r="A135" i="119"/>
  <c r="I134" i="119"/>
  <c r="H134" i="119"/>
  <c r="J134" i="119" s="1"/>
  <c r="A134" i="119"/>
  <c r="I133" i="119"/>
  <c r="H133" i="119"/>
  <c r="J133" i="119" s="1"/>
  <c r="A133" i="119"/>
  <c r="I130" i="119"/>
  <c r="B130" i="119" s="1"/>
  <c r="H130" i="119"/>
  <c r="J130" i="119" s="1"/>
  <c r="A130" i="119"/>
  <c r="A126" i="119"/>
  <c r="I128" i="119"/>
  <c r="B128" i="119" s="1"/>
  <c r="H128" i="119"/>
  <c r="J128" i="119" s="1"/>
  <c r="A128" i="119"/>
  <c r="I127" i="119"/>
  <c r="B127" i="119" s="1"/>
  <c r="H127" i="119"/>
  <c r="J127" i="119" s="1"/>
  <c r="A127" i="119"/>
  <c r="E50" i="119"/>
  <c r="E31" i="119"/>
  <c r="E30" i="119"/>
  <c r="E132" i="119" l="1"/>
  <c r="G353" i="119"/>
  <c r="B168" i="119"/>
  <c r="B240" i="119"/>
  <c r="E125" i="119"/>
  <c r="B156" i="119"/>
  <c r="B216" i="119"/>
  <c r="B211" i="119"/>
  <c r="B276" i="119"/>
  <c r="B251" i="119"/>
  <c r="B212" i="119"/>
  <c r="B126" i="119"/>
  <c r="B149" i="119"/>
  <c r="B242" i="119"/>
  <c r="B297" i="119"/>
  <c r="B182" i="119"/>
  <c r="B213" i="119"/>
  <c r="B250" i="119"/>
  <c r="B194" i="119"/>
  <c r="B214" i="119"/>
  <c r="B252" i="119"/>
  <c r="B254" i="119"/>
  <c r="B133" i="119"/>
  <c r="B209" i="119"/>
  <c r="B296" i="119"/>
  <c r="G357" i="119"/>
  <c r="B134" i="119"/>
  <c r="B217" i="119"/>
  <c r="B135" i="119"/>
  <c r="B197" i="119"/>
  <c r="B225" i="119"/>
  <c r="B253" i="119"/>
  <c r="J156" i="119"/>
  <c r="B266" i="119"/>
  <c r="E184" i="119"/>
  <c r="J217" i="119"/>
  <c r="B171" i="119"/>
  <c r="B230" i="119"/>
  <c r="B210" i="119"/>
  <c r="B249" i="119"/>
  <c r="B267" i="119"/>
  <c r="B243" i="119"/>
  <c r="J126" i="119"/>
  <c r="E42" i="118"/>
  <c r="E328" i="119" l="1"/>
  <c r="K330" i="118"/>
  <c r="E225" i="118"/>
  <c r="R439" i="88" l="1"/>
  <c r="S439" i="88" s="1"/>
  <c r="Z439" i="88"/>
  <c r="AA439" i="88" s="1"/>
  <c r="T439" i="88" l="1"/>
  <c r="G46" i="119"/>
  <c r="G120" i="119" l="1"/>
  <c r="K108" i="119"/>
  <c r="K109" i="119" s="1"/>
  <c r="R447" i="88"/>
  <c r="Z447" i="88"/>
  <c r="AA447" i="88" s="1"/>
  <c r="R443" i="88"/>
  <c r="S443" i="88" s="1"/>
  <c r="Z443" i="88"/>
  <c r="AA443" i="88" s="1"/>
  <c r="R441" i="88"/>
  <c r="S441" i="88" s="1"/>
  <c r="Z441" i="88"/>
  <c r="AA441" i="88" s="1"/>
  <c r="R445" i="88"/>
  <c r="T445" i="88" s="1"/>
  <c r="Z445" i="88"/>
  <c r="AA445" i="88" s="1"/>
  <c r="R442" i="88"/>
  <c r="T442" i="88" s="1"/>
  <c r="Z442" i="88"/>
  <c r="AA442" i="88" s="1"/>
  <c r="R440" i="88"/>
  <c r="S440" i="88" s="1"/>
  <c r="Z440" i="88"/>
  <c r="AA440" i="88" s="1"/>
  <c r="R444" i="88"/>
  <c r="T444" i="88" s="1"/>
  <c r="Z444" i="88"/>
  <c r="AA444" i="88" s="1"/>
  <c r="R446" i="88"/>
  <c r="Z446" i="88"/>
  <c r="AA446" i="88" s="1"/>
  <c r="L108" i="119" l="1"/>
  <c r="T440" i="88"/>
  <c r="S444" i="88"/>
  <c r="T443" i="88"/>
  <c r="T446" i="88"/>
  <c r="S446" i="88"/>
  <c r="T441" i="88"/>
  <c r="S445" i="88"/>
  <c r="S442" i="88"/>
  <c r="T447" i="88"/>
  <c r="S447" i="88"/>
  <c r="E33" i="118"/>
  <c r="E243" i="118"/>
  <c r="I243" i="118"/>
  <c r="H243" i="118"/>
  <c r="J243" i="118" s="1"/>
  <c r="A243" i="118"/>
  <c r="E242" i="118"/>
  <c r="I242" i="118"/>
  <c r="H242" i="118"/>
  <c r="J242" i="118" s="1"/>
  <c r="A242" i="118"/>
  <c r="E220" i="118"/>
  <c r="I181" i="118"/>
  <c r="H181" i="118"/>
  <c r="J181" i="118" s="1"/>
  <c r="I175" i="118"/>
  <c r="H175" i="118"/>
  <c r="J175" i="118" s="1"/>
  <c r="G105" i="118"/>
  <c r="G106" i="118"/>
  <c r="B243" i="118" l="1"/>
  <c r="B242" i="118"/>
  <c r="I280" i="118"/>
  <c r="H280" i="118"/>
  <c r="J280" i="118" s="1"/>
  <c r="I150" i="118" l="1"/>
  <c r="H150" i="118"/>
  <c r="J150" i="118" s="1"/>
  <c r="A150" i="118"/>
  <c r="E121" i="118"/>
  <c r="I121" i="118"/>
  <c r="H121" i="118"/>
  <c r="J121" i="118" s="1"/>
  <c r="A121" i="118"/>
  <c r="E232" i="118"/>
  <c r="I232" i="118"/>
  <c r="H232" i="118"/>
  <c r="J232" i="118" s="1"/>
  <c r="A232" i="118"/>
  <c r="I279" i="118"/>
  <c r="H279" i="118"/>
  <c r="J279" i="118" s="1"/>
  <c r="E161" i="118"/>
  <c r="E216" i="118"/>
  <c r="E93" i="118"/>
  <c r="E92" i="118"/>
  <c r="E86" i="118"/>
  <c r="E85" i="118"/>
  <c r="E82" i="118"/>
  <c r="E81" i="118"/>
  <c r="E80" i="118"/>
  <c r="E79" i="118"/>
  <c r="E78" i="118"/>
  <c r="B232" i="118" l="1"/>
  <c r="B150" i="118"/>
  <c r="B121" i="118"/>
  <c r="E104" i="118"/>
  <c r="E103" i="118"/>
  <c r="E61" i="118"/>
  <c r="E60" i="118"/>
  <c r="E21" i="118"/>
  <c r="E41" i="118"/>
  <c r="E19" i="118"/>
  <c r="E18" i="118"/>
  <c r="F337" i="118" l="1"/>
  <c r="I278" i="118" l="1"/>
  <c r="H278" i="118"/>
  <c r="J278" i="118" s="1"/>
  <c r="I277" i="118"/>
  <c r="H277" i="118"/>
  <c r="J277" i="118" s="1"/>
  <c r="A277" i="118"/>
  <c r="I294" i="118"/>
  <c r="H294" i="118"/>
  <c r="J294" i="118" s="1"/>
  <c r="A294" i="118"/>
  <c r="I293" i="118"/>
  <c r="H293" i="118"/>
  <c r="J293" i="118" s="1"/>
  <c r="A293" i="118"/>
  <c r="I292" i="118"/>
  <c r="H292" i="118"/>
  <c r="J292" i="118" s="1"/>
  <c r="A292" i="118"/>
  <c r="I291" i="118"/>
  <c r="H291" i="118"/>
  <c r="J291" i="118" s="1"/>
  <c r="A291" i="118"/>
  <c r="I290" i="118"/>
  <c r="H290" i="118"/>
  <c r="J290" i="118" s="1"/>
  <c r="A290" i="118"/>
  <c r="I289" i="118"/>
  <c r="H289" i="118"/>
  <c r="J289" i="118" s="1"/>
  <c r="A289" i="118"/>
  <c r="Z413" i="88"/>
  <c r="R413" i="88"/>
  <c r="Q413" i="88"/>
  <c r="P413" i="88"/>
  <c r="Z412" i="88"/>
  <c r="R412" i="88"/>
  <c r="Q412" i="88"/>
  <c r="P412" i="88"/>
  <c r="M413" i="88"/>
  <c r="M412" i="88"/>
  <c r="T413" i="88" l="1"/>
  <c r="AA413" i="88"/>
  <c r="T412" i="88"/>
  <c r="AA412" i="88"/>
  <c r="B294" i="118"/>
  <c r="B277" i="118"/>
  <c r="B293" i="118"/>
  <c r="B292" i="118"/>
  <c r="B291" i="118"/>
  <c r="B290" i="118"/>
  <c r="B289" i="118"/>
  <c r="S413" i="88"/>
  <c r="S412" i="88"/>
  <c r="I161" i="118" l="1"/>
  <c r="H161" i="118"/>
  <c r="J161" i="118" s="1"/>
  <c r="A161" i="118"/>
  <c r="E156" i="118"/>
  <c r="I160" i="118"/>
  <c r="H160" i="118"/>
  <c r="J160" i="118" s="1"/>
  <c r="A160" i="118"/>
  <c r="I159" i="118"/>
  <c r="H159" i="118"/>
  <c r="J159" i="118" s="1"/>
  <c r="A159" i="118"/>
  <c r="I215" i="118"/>
  <c r="H215" i="118"/>
  <c r="J215" i="118" s="1"/>
  <c r="A215" i="118"/>
  <c r="E170" i="118"/>
  <c r="E169" i="118"/>
  <c r="E218" i="118"/>
  <c r="E217" i="118"/>
  <c r="E221" i="118"/>
  <c r="B160" i="118" l="1"/>
  <c r="B161" i="118"/>
  <c r="B159" i="118"/>
  <c r="B215" i="118"/>
  <c r="I148" i="118" l="1"/>
  <c r="H148" i="118"/>
  <c r="J148" i="118" s="1"/>
  <c r="A148" i="118"/>
  <c r="I276" i="118"/>
  <c r="H276" i="118"/>
  <c r="J276" i="118" s="1"/>
  <c r="A276" i="118"/>
  <c r="E252" i="118"/>
  <c r="I252" i="118"/>
  <c r="H252" i="118"/>
  <c r="J252" i="118" s="1"/>
  <c r="A252" i="118"/>
  <c r="I179" i="118"/>
  <c r="H179" i="118"/>
  <c r="J179" i="118" s="1"/>
  <c r="I311" i="118"/>
  <c r="H311" i="118"/>
  <c r="J311" i="118" s="1"/>
  <c r="A311" i="118"/>
  <c r="E126" i="118"/>
  <c r="E182" i="118"/>
  <c r="I193" i="118"/>
  <c r="H193" i="118"/>
  <c r="J193" i="118" s="1"/>
  <c r="A193" i="118"/>
  <c r="I192" i="118"/>
  <c r="H192" i="118"/>
  <c r="A192" i="118"/>
  <c r="I191" i="118"/>
  <c r="H191" i="118"/>
  <c r="J191" i="118" s="1"/>
  <c r="A191" i="118"/>
  <c r="I190" i="118"/>
  <c r="H190" i="118"/>
  <c r="J190" i="118" s="1"/>
  <c r="A190" i="118"/>
  <c r="I189" i="118"/>
  <c r="H189" i="118"/>
  <c r="J189" i="118" s="1"/>
  <c r="A189" i="118"/>
  <c r="I188" i="118"/>
  <c r="H188" i="118"/>
  <c r="J188" i="118" s="1"/>
  <c r="A188" i="118"/>
  <c r="I187" i="118"/>
  <c r="H187" i="118"/>
  <c r="J187" i="118" s="1"/>
  <c r="A187" i="118"/>
  <c r="I186" i="118"/>
  <c r="H186" i="118"/>
  <c r="J186" i="118" s="1"/>
  <c r="A186" i="118"/>
  <c r="I185" i="118"/>
  <c r="H185" i="118"/>
  <c r="J185" i="118" s="1"/>
  <c r="A185" i="118"/>
  <c r="I184" i="118"/>
  <c r="H184" i="118"/>
  <c r="A184" i="118"/>
  <c r="B276" i="118" l="1"/>
  <c r="B148" i="118"/>
  <c r="B311" i="118"/>
  <c r="B252" i="118"/>
  <c r="B193" i="118"/>
  <c r="B190" i="118"/>
  <c r="B184" i="118"/>
  <c r="B189" i="118"/>
  <c r="B187" i="118"/>
  <c r="B192" i="118"/>
  <c r="B191" i="118"/>
  <c r="B188" i="118"/>
  <c r="B186" i="118"/>
  <c r="J184" i="118"/>
  <c r="J192" i="118"/>
  <c r="B185" i="118"/>
  <c r="E194" i="118"/>
  <c r="I199" i="118"/>
  <c r="H199" i="118"/>
  <c r="J199" i="118" s="1"/>
  <c r="A199" i="118"/>
  <c r="I198" i="118"/>
  <c r="H198" i="118"/>
  <c r="A198" i="118"/>
  <c r="I197" i="118"/>
  <c r="H197" i="118"/>
  <c r="J197" i="118" s="1"/>
  <c r="A197" i="118"/>
  <c r="I196" i="118"/>
  <c r="H196" i="118"/>
  <c r="J196" i="118" s="1"/>
  <c r="A196" i="118"/>
  <c r="I288" i="118"/>
  <c r="H288" i="118"/>
  <c r="J288" i="118" s="1"/>
  <c r="A288" i="118"/>
  <c r="G89" i="118"/>
  <c r="G88" i="118"/>
  <c r="Z411" i="88"/>
  <c r="Z410" i="88"/>
  <c r="Z409" i="88"/>
  <c r="Z408" i="88"/>
  <c r="Z407" i="88"/>
  <c r="Z406" i="88"/>
  <c r="Z405" i="88"/>
  <c r="Z404" i="88"/>
  <c r="Z403" i="88"/>
  <c r="Z402" i="88"/>
  <c r="Z401" i="88"/>
  <c r="Z400" i="88"/>
  <c r="Z399" i="88"/>
  <c r="P411" i="88"/>
  <c r="P410" i="88"/>
  <c r="G108" i="118"/>
  <c r="G107" i="118"/>
  <c r="J411" i="88"/>
  <c r="J410" i="88"/>
  <c r="R411" i="88"/>
  <c r="Q411" i="88"/>
  <c r="M411" i="88"/>
  <c r="R410" i="88"/>
  <c r="Q410" i="88"/>
  <c r="M410" i="88"/>
  <c r="G75" i="118"/>
  <c r="G74" i="118"/>
  <c r="G73" i="118"/>
  <c r="G72" i="118"/>
  <c r="G71" i="118"/>
  <c r="G70" i="118"/>
  <c r="G77" i="118"/>
  <c r="G76" i="118"/>
  <c r="G69" i="118"/>
  <c r="G68" i="118"/>
  <c r="G67" i="118"/>
  <c r="G66" i="118"/>
  <c r="G59" i="118"/>
  <c r="G58" i="118"/>
  <c r="G57" i="118"/>
  <c r="P409" i="88"/>
  <c r="P408" i="88"/>
  <c r="P407" i="88"/>
  <c r="P406" i="88"/>
  <c r="P405" i="88"/>
  <c r="P404" i="88"/>
  <c r="P403" i="88"/>
  <c r="P402" i="88"/>
  <c r="J409" i="88"/>
  <c r="J408" i="88"/>
  <c r="J407" i="88"/>
  <c r="J406" i="88"/>
  <c r="J405" i="88"/>
  <c r="J404" i="88"/>
  <c r="J403" i="88"/>
  <c r="J402" i="88"/>
  <c r="J401" i="88"/>
  <c r="R409" i="88"/>
  <c r="Q409" i="88"/>
  <c r="M409" i="88"/>
  <c r="R408" i="88"/>
  <c r="Q408" i="88"/>
  <c r="M408" i="88"/>
  <c r="R407" i="88"/>
  <c r="Q407" i="88"/>
  <c r="M407" i="88"/>
  <c r="R406" i="88"/>
  <c r="Q406" i="88"/>
  <c r="M406" i="88"/>
  <c r="R405" i="88"/>
  <c r="Q405" i="88"/>
  <c r="M405" i="88"/>
  <c r="R404" i="88"/>
  <c r="Q404" i="88"/>
  <c r="M404" i="88"/>
  <c r="R403" i="88"/>
  <c r="Q403" i="88"/>
  <c r="M403" i="88"/>
  <c r="R402" i="88"/>
  <c r="Q402" i="88"/>
  <c r="M402" i="88"/>
  <c r="P401" i="88"/>
  <c r="P400" i="88"/>
  <c r="P399" i="88"/>
  <c r="J400" i="88"/>
  <c r="J399" i="88"/>
  <c r="R401" i="88"/>
  <c r="Q401" i="88"/>
  <c r="M401" i="88"/>
  <c r="R400" i="88"/>
  <c r="Q400" i="88"/>
  <c r="M400" i="88"/>
  <c r="R399" i="88"/>
  <c r="Q399" i="88"/>
  <c r="M399" i="88"/>
  <c r="F102" i="118"/>
  <c r="G102" i="118" s="1"/>
  <c r="F101" i="118"/>
  <c r="G101" i="118" s="1"/>
  <c r="F100" i="118"/>
  <c r="G100" i="118" s="1"/>
  <c r="AA406" i="88" l="1"/>
  <c r="AA407" i="88"/>
  <c r="AA402" i="88"/>
  <c r="AA399" i="88"/>
  <c r="S403" i="88"/>
  <c r="T410" i="88"/>
  <c r="B199" i="118"/>
  <c r="B196" i="118"/>
  <c r="B198" i="118"/>
  <c r="B197" i="118"/>
  <c r="J198" i="118"/>
  <c r="B288" i="118"/>
  <c r="T408" i="88"/>
  <c r="T403" i="88"/>
  <c r="AA400" i="88"/>
  <c r="AA401" i="88"/>
  <c r="S402" i="88"/>
  <c r="AA403" i="88"/>
  <c r="AA408" i="88"/>
  <c r="AA405" i="88"/>
  <c r="AA404" i="88"/>
  <c r="S399" i="88"/>
  <c r="T402" i="88"/>
  <c r="S404" i="88"/>
  <c r="T407" i="88"/>
  <c r="AA409" i="88"/>
  <c r="AA410" i="88"/>
  <c r="S411" i="88"/>
  <c r="S401" i="88"/>
  <c r="T406" i="88"/>
  <c r="T411" i="88"/>
  <c r="T409" i="88"/>
  <c r="S405" i="88"/>
  <c r="AA411" i="88"/>
  <c r="S410" i="88"/>
  <c r="T405" i="88"/>
  <c r="S406" i="88"/>
  <c r="S407" i="88"/>
  <c r="T404" i="88"/>
  <c r="S408" i="88"/>
  <c r="S409" i="88"/>
  <c r="S400" i="88"/>
  <c r="T399" i="88"/>
  <c r="T401" i="88"/>
  <c r="T400" i="88"/>
  <c r="I287" i="118" l="1"/>
  <c r="H287" i="118"/>
  <c r="J287" i="118" s="1"/>
  <c r="A287" i="118"/>
  <c r="B287" i="118" l="1"/>
  <c r="E87" i="118"/>
  <c r="E241" i="118"/>
  <c r="I241" i="118"/>
  <c r="H241" i="118"/>
  <c r="J241" i="118" s="1"/>
  <c r="A241" i="118"/>
  <c r="E251" i="118"/>
  <c r="I251" i="118"/>
  <c r="H251" i="118"/>
  <c r="J251" i="118" s="1"/>
  <c r="A251" i="118"/>
  <c r="I272" i="118"/>
  <c r="H272" i="118"/>
  <c r="J272" i="118" s="1"/>
  <c r="I271" i="118"/>
  <c r="H271" i="118"/>
  <c r="J271" i="118" s="1"/>
  <c r="I270" i="118"/>
  <c r="H270" i="118"/>
  <c r="J270" i="118" s="1"/>
  <c r="I269" i="118"/>
  <c r="H269" i="118"/>
  <c r="J269" i="118" s="1"/>
  <c r="I268" i="118"/>
  <c r="H268" i="118"/>
  <c r="J268" i="118" s="1"/>
  <c r="I267" i="118"/>
  <c r="H267" i="118"/>
  <c r="J267" i="118" s="1"/>
  <c r="I266" i="118"/>
  <c r="H266" i="118"/>
  <c r="J266" i="118" s="1"/>
  <c r="I265" i="118"/>
  <c r="H265" i="118"/>
  <c r="J265" i="118" s="1"/>
  <c r="I264" i="118"/>
  <c r="H264" i="118"/>
  <c r="J264" i="118" s="1"/>
  <c r="I263" i="118"/>
  <c r="H263" i="118"/>
  <c r="J263" i="118" s="1"/>
  <c r="I262" i="118"/>
  <c r="H262" i="118"/>
  <c r="J262" i="118" s="1"/>
  <c r="I261" i="118"/>
  <c r="H261" i="118"/>
  <c r="J261" i="118" s="1"/>
  <c r="I273" i="118"/>
  <c r="H273" i="118"/>
  <c r="J273" i="118" s="1"/>
  <c r="I260" i="118"/>
  <c r="H260" i="118"/>
  <c r="J260" i="118" s="1"/>
  <c r="I259" i="118"/>
  <c r="H259" i="118"/>
  <c r="J259" i="118" s="1"/>
  <c r="I258" i="118"/>
  <c r="H258" i="118"/>
  <c r="J258" i="118" s="1"/>
  <c r="B241" i="118" l="1"/>
  <c r="B251" i="118"/>
  <c r="Z398" i="88" l="1"/>
  <c r="R398" i="88"/>
  <c r="Q398" i="88"/>
  <c r="P398" i="88"/>
  <c r="J398" i="88"/>
  <c r="M398" i="88"/>
  <c r="Z397" i="88"/>
  <c r="R397" i="88"/>
  <c r="Q397" i="88"/>
  <c r="Z396" i="88"/>
  <c r="R396" i="88"/>
  <c r="Q396" i="88"/>
  <c r="P397" i="88"/>
  <c r="P396" i="88"/>
  <c r="M397" i="88"/>
  <c r="M396" i="88"/>
  <c r="J397" i="88"/>
  <c r="J396" i="88"/>
  <c r="Z395" i="88"/>
  <c r="Z394" i="88"/>
  <c r="P395" i="88"/>
  <c r="P394" i="88"/>
  <c r="R395" i="88"/>
  <c r="Q395" i="88"/>
  <c r="R394" i="88"/>
  <c r="Q394" i="88"/>
  <c r="M395" i="88"/>
  <c r="M394" i="88"/>
  <c r="J395" i="88"/>
  <c r="J394" i="88"/>
  <c r="P185" i="88"/>
  <c r="P238" i="88"/>
  <c r="P237" i="88"/>
  <c r="P236" i="88"/>
  <c r="P235" i="88"/>
  <c r="P234" i="88"/>
  <c r="P233" i="88"/>
  <c r="P232" i="88"/>
  <c r="P231" i="88"/>
  <c r="P230" i="88"/>
  <c r="P229" i="88"/>
  <c r="P228" i="88"/>
  <c r="P248" i="88"/>
  <c r="P276" i="88"/>
  <c r="P275" i="88"/>
  <c r="P274" i="88"/>
  <c r="P273" i="88"/>
  <c r="P311" i="88"/>
  <c r="P310" i="88"/>
  <c r="P309" i="88"/>
  <c r="P308" i="88"/>
  <c r="P307" i="88"/>
  <c r="P306" i="88"/>
  <c r="P331" i="88"/>
  <c r="P330" i="88"/>
  <c r="P329" i="88"/>
  <c r="P328" i="88"/>
  <c r="P393" i="88"/>
  <c r="P392" i="88"/>
  <c r="P391" i="88"/>
  <c r="P390" i="88"/>
  <c r="P389" i="88"/>
  <c r="P388" i="88"/>
  <c r="P387" i="88"/>
  <c r="P386" i="88"/>
  <c r="P385" i="88"/>
  <c r="P384" i="88"/>
  <c r="P383" i="88"/>
  <c r="P382" i="88"/>
  <c r="P381" i="88"/>
  <c r="P380" i="88"/>
  <c r="P379" i="88"/>
  <c r="P378" i="88"/>
  <c r="P377" i="88"/>
  <c r="P376" i="88"/>
  <c r="P375" i="88"/>
  <c r="P374" i="88"/>
  <c r="P373" i="88"/>
  <c r="P372" i="88"/>
  <c r="P371" i="88"/>
  <c r="P370" i="88"/>
  <c r="P369" i="88"/>
  <c r="P368" i="88"/>
  <c r="P367" i="88"/>
  <c r="P366" i="88"/>
  <c r="P365" i="88"/>
  <c r="P364" i="88"/>
  <c r="P363" i="88"/>
  <c r="P362" i="88"/>
  <c r="P361" i="88"/>
  <c r="P360" i="88"/>
  <c r="P359" i="88"/>
  <c r="P358" i="88"/>
  <c r="P357" i="88"/>
  <c r="P356" i="88"/>
  <c r="P355" i="88"/>
  <c r="P354" i="88"/>
  <c r="P353" i="88"/>
  <c r="P352" i="88"/>
  <c r="P351" i="88"/>
  <c r="P350" i="88"/>
  <c r="P349" i="88"/>
  <c r="P348" i="88"/>
  <c r="P347" i="88"/>
  <c r="P346" i="88"/>
  <c r="P345" i="88"/>
  <c r="P344" i="88"/>
  <c r="P343" i="88"/>
  <c r="AA398" i="88" l="1"/>
  <c r="T398" i="88"/>
  <c r="AA397" i="88"/>
  <c r="T397" i="88"/>
  <c r="S398" i="88"/>
  <c r="AA396" i="88"/>
  <c r="T396" i="88"/>
  <c r="S397" i="88"/>
  <c r="S396" i="88"/>
  <c r="S394" i="88"/>
  <c r="T395" i="88"/>
  <c r="AA394" i="88"/>
  <c r="AA395" i="88"/>
  <c r="T394" i="88"/>
  <c r="S395" i="88"/>
  <c r="I141" i="118" l="1"/>
  <c r="H141" i="118"/>
  <c r="J141" i="118" s="1"/>
  <c r="A141" i="118"/>
  <c r="G91" i="118"/>
  <c r="G90" i="118"/>
  <c r="G96" i="118"/>
  <c r="G95" i="118"/>
  <c r="F94" i="118"/>
  <c r="G94" i="118" s="1"/>
  <c r="G99" i="118"/>
  <c r="G98" i="118"/>
  <c r="G97" i="118"/>
  <c r="G63" i="118"/>
  <c r="G62" i="118"/>
  <c r="Z393" i="88"/>
  <c r="Z392" i="88"/>
  <c r="J393" i="88"/>
  <c r="J392" i="88"/>
  <c r="R393" i="88"/>
  <c r="Q393" i="88"/>
  <c r="M393" i="88"/>
  <c r="R392" i="88"/>
  <c r="Q392" i="88"/>
  <c r="M392" i="88"/>
  <c r="Z391" i="88"/>
  <c r="Z390" i="88"/>
  <c r="J391" i="88"/>
  <c r="J390" i="88"/>
  <c r="R391" i="88"/>
  <c r="Q391" i="88"/>
  <c r="M391" i="88"/>
  <c r="R390" i="88"/>
  <c r="Q390" i="88"/>
  <c r="M390" i="88"/>
  <c r="Z389" i="88"/>
  <c r="Z388" i="88"/>
  <c r="Z387" i="88"/>
  <c r="R389" i="88"/>
  <c r="Q389" i="88"/>
  <c r="M389" i="88"/>
  <c r="J389" i="88"/>
  <c r="R388" i="88"/>
  <c r="Q388" i="88"/>
  <c r="M388" i="88"/>
  <c r="J388" i="88"/>
  <c r="R387" i="88"/>
  <c r="Q387" i="88"/>
  <c r="M387" i="88"/>
  <c r="J387" i="88"/>
  <c r="Z386" i="88"/>
  <c r="R386" i="88"/>
  <c r="Q386" i="88"/>
  <c r="Z385" i="88"/>
  <c r="R385" i="88"/>
  <c r="Q385" i="88"/>
  <c r="Z384" i="88"/>
  <c r="R384" i="88"/>
  <c r="Q384" i="88"/>
  <c r="J386" i="88"/>
  <c r="J385" i="88"/>
  <c r="J384" i="88"/>
  <c r="M386" i="88"/>
  <c r="M385" i="88"/>
  <c r="M384" i="88"/>
  <c r="Z383" i="88"/>
  <c r="Z382" i="88"/>
  <c r="J383" i="88"/>
  <c r="J382" i="88"/>
  <c r="R383" i="88"/>
  <c r="Q383" i="88"/>
  <c r="M383" i="88"/>
  <c r="R382" i="88"/>
  <c r="Q382" i="88"/>
  <c r="M382" i="88"/>
  <c r="Z381" i="88"/>
  <c r="Z380" i="88"/>
  <c r="R381" i="88"/>
  <c r="Q381" i="88"/>
  <c r="M381" i="88"/>
  <c r="R380" i="88"/>
  <c r="Q380" i="88"/>
  <c r="M380" i="88"/>
  <c r="J381" i="88"/>
  <c r="J380" i="88"/>
  <c r="I256" i="118"/>
  <c r="H256" i="118"/>
  <c r="J256" i="118" s="1"/>
  <c r="T392" i="88" l="1"/>
  <c r="AA388" i="88"/>
  <c r="T389" i="88"/>
  <c r="B141" i="118"/>
  <c r="AA384" i="88"/>
  <c r="AA392" i="88"/>
  <c r="T393" i="88"/>
  <c r="T384" i="88"/>
  <c r="S390" i="88"/>
  <c r="S392" i="88"/>
  <c r="AA393" i="88"/>
  <c r="S393" i="88"/>
  <c r="T385" i="88"/>
  <c r="AA385" i="88"/>
  <c r="T391" i="88"/>
  <c r="AA386" i="88"/>
  <c r="AA390" i="88"/>
  <c r="AA391" i="88"/>
  <c r="T390" i="88"/>
  <c r="S391" i="88"/>
  <c r="AA387" i="88"/>
  <c r="T386" i="88"/>
  <c r="S387" i="88"/>
  <c r="S386" i="88"/>
  <c r="AA389" i="88"/>
  <c r="S389" i="88"/>
  <c r="T387" i="88"/>
  <c r="T388" i="88"/>
  <c r="S388" i="88"/>
  <c r="T381" i="88"/>
  <c r="T383" i="88"/>
  <c r="AA382" i="88"/>
  <c r="AA383" i="88"/>
  <c r="S382" i="88"/>
  <c r="S385" i="88"/>
  <c r="S384" i="88"/>
  <c r="S383" i="88"/>
  <c r="T382" i="88"/>
  <c r="S381" i="88"/>
  <c r="T380" i="88"/>
  <c r="AA380" i="88"/>
  <c r="AA381" i="88"/>
  <c r="S380" i="88"/>
  <c r="E295" i="118"/>
  <c r="G82" i="118" l="1"/>
  <c r="M349" i="88" l="1"/>
  <c r="E240" i="118" l="1"/>
  <c r="I240" i="118"/>
  <c r="H240" i="118"/>
  <c r="J240" i="118" s="1"/>
  <c r="A240" i="118"/>
  <c r="B240" i="118" l="1"/>
  <c r="G86" i="118"/>
  <c r="I307" i="118" l="1"/>
  <c r="B307" i="118" s="1"/>
  <c r="H307" i="118"/>
  <c r="J307" i="118" s="1"/>
  <c r="A307" i="118"/>
  <c r="E36" i="118" l="1"/>
  <c r="E29" i="118"/>
  <c r="E28" i="118"/>
  <c r="I312" i="118"/>
  <c r="H312" i="118"/>
  <c r="J312" i="118" s="1"/>
  <c r="A312" i="118"/>
  <c r="E239" i="118"/>
  <c r="I239" i="118"/>
  <c r="H239" i="118"/>
  <c r="J239" i="118" s="1"/>
  <c r="A239" i="118"/>
  <c r="B312" i="118" l="1"/>
  <c r="B239" i="118"/>
  <c r="Z379" i="88"/>
  <c r="R379" i="88"/>
  <c r="Q379" i="88"/>
  <c r="Z378" i="88"/>
  <c r="R378" i="88"/>
  <c r="Q378" i="88"/>
  <c r="M379" i="88"/>
  <c r="M378" i="88"/>
  <c r="J379" i="88"/>
  <c r="J378" i="88"/>
  <c r="G84" i="118"/>
  <c r="G83" i="118"/>
  <c r="AA379" i="88" l="1"/>
  <c r="T379" i="88"/>
  <c r="T378" i="88"/>
  <c r="AA378" i="88"/>
  <c r="S379" i="88"/>
  <c r="S378" i="88"/>
  <c r="G21" i="118" l="1"/>
  <c r="I306" i="118"/>
  <c r="B306" i="118" s="1"/>
  <c r="H306" i="118"/>
  <c r="J306" i="118" s="1"/>
  <c r="A306" i="118"/>
  <c r="I305" i="118"/>
  <c r="B305" i="118" s="1"/>
  <c r="H305" i="118"/>
  <c r="J305" i="118" s="1"/>
  <c r="A305" i="118"/>
  <c r="I255" i="118" l="1"/>
  <c r="H255" i="118"/>
  <c r="J255" i="118" s="1"/>
  <c r="E231" i="118"/>
  <c r="I180" i="118"/>
  <c r="H180" i="118"/>
  <c r="J180" i="118" s="1"/>
  <c r="I286" i="118"/>
  <c r="B286" i="118" s="1"/>
  <c r="H286" i="118"/>
  <c r="J286" i="118" s="1"/>
  <c r="A286" i="118"/>
  <c r="I285" i="118"/>
  <c r="B285" i="118" s="1"/>
  <c r="H285" i="118"/>
  <c r="J285" i="118" s="1"/>
  <c r="A285" i="118"/>
  <c r="I308" i="118"/>
  <c r="B308" i="118" s="1"/>
  <c r="H308" i="118"/>
  <c r="J308" i="118" s="1"/>
  <c r="A308" i="118"/>
  <c r="I304" i="118"/>
  <c r="B304" i="118" s="1"/>
  <c r="H304" i="118"/>
  <c r="J304" i="118" s="1"/>
  <c r="A304" i="118"/>
  <c r="E223" i="118" l="1"/>
  <c r="I223" i="118"/>
  <c r="H223" i="118"/>
  <c r="J223" i="118" s="1"/>
  <c r="A223" i="118"/>
  <c r="E222" i="118"/>
  <c r="I222" i="118"/>
  <c r="H222" i="118"/>
  <c r="J222" i="118" s="1"/>
  <c r="A222" i="118"/>
  <c r="B223" i="118" l="1"/>
  <c r="B222" i="118"/>
  <c r="I213" i="118"/>
  <c r="H213" i="118"/>
  <c r="J213" i="118" s="1"/>
  <c r="A213" i="118"/>
  <c r="E219" i="118"/>
  <c r="E238" i="118"/>
  <c r="I238" i="118"/>
  <c r="H238" i="118"/>
  <c r="J238" i="118" s="1"/>
  <c r="A238" i="118"/>
  <c r="B213" i="118" l="1"/>
  <c r="B238" i="118"/>
  <c r="E152" i="118"/>
  <c r="I152" i="118"/>
  <c r="H152" i="118"/>
  <c r="J152" i="118" s="1"/>
  <c r="A152" i="118"/>
  <c r="B152" i="118" l="1"/>
  <c r="I140" i="118"/>
  <c r="B140" i="118" s="1"/>
  <c r="H140" i="118"/>
  <c r="J140" i="118" s="1"/>
  <c r="A140" i="118"/>
  <c r="I302" i="118"/>
  <c r="B302" i="118" s="1"/>
  <c r="H302" i="118"/>
  <c r="J302" i="118" s="1"/>
  <c r="A302" i="118"/>
  <c r="I309" i="118" l="1"/>
  <c r="H309" i="118"/>
  <c r="I303" i="118"/>
  <c r="H303" i="118"/>
  <c r="I301" i="118"/>
  <c r="H301" i="118"/>
  <c r="I300" i="118"/>
  <c r="H300" i="118"/>
  <c r="I299" i="118"/>
  <c r="H299" i="118"/>
  <c r="I298" i="118"/>
  <c r="H298" i="118"/>
  <c r="I297" i="118"/>
  <c r="H297" i="118"/>
  <c r="I296" i="118"/>
  <c r="H296" i="118"/>
  <c r="I284" i="118"/>
  <c r="H284" i="118"/>
  <c r="I283" i="118"/>
  <c r="H283" i="118"/>
  <c r="I282" i="118"/>
  <c r="H282" i="118"/>
  <c r="I275" i="118"/>
  <c r="H275" i="118"/>
  <c r="I274" i="118"/>
  <c r="H274" i="118"/>
  <c r="I257" i="118"/>
  <c r="H257" i="118"/>
  <c r="I254" i="118"/>
  <c r="H254" i="118"/>
  <c r="I250" i="118"/>
  <c r="H250" i="118"/>
  <c r="I249" i="118"/>
  <c r="H249" i="118"/>
  <c r="I248" i="118"/>
  <c r="H248" i="118"/>
  <c r="I247" i="118"/>
  <c r="H247" i="118"/>
  <c r="I246" i="118"/>
  <c r="H246" i="118"/>
  <c r="I244" i="118"/>
  <c r="H244" i="118"/>
  <c r="I237" i="118"/>
  <c r="H237" i="118"/>
  <c r="I236" i="118"/>
  <c r="H236" i="118"/>
  <c r="I235" i="118"/>
  <c r="H235" i="118"/>
  <c r="I234" i="118"/>
  <c r="H234" i="118"/>
  <c r="I231" i="118"/>
  <c r="H231" i="118"/>
  <c r="I230" i="118"/>
  <c r="H230" i="118"/>
  <c r="I228" i="118"/>
  <c r="H228" i="118"/>
  <c r="I227" i="118"/>
  <c r="H227" i="118"/>
  <c r="I225" i="118"/>
  <c r="H225" i="118"/>
  <c r="I216" i="118"/>
  <c r="H216" i="118"/>
  <c r="I219" i="118"/>
  <c r="H219" i="118"/>
  <c r="I212" i="118"/>
  <c r="H212" i="118"/>
  <c r="I218" i="118"/>
  <c r="H218" i="118"/>
  <c r="I217" i="118"/>
  <c r="H217" i="118"/>
  <c r="I221" i="118"/>
  <c r="H221" i="118"/>
  <c r="I220" i="118"/>
  <c r="H220" i="118"/>
  <c r="I211" i="118"/>
  <c r="H211" i="118"/>
  <c r="I210" i="118"/>
  <c r="H210" i="118"/>
  <c r="I209" i="118"/>
  <c r="H209" i="118"/>
  <c r="I208" i="118"/>
  <c r="H208" i="118"/>
  <c r="I207" i="118"/>
  <c r="H207" i="118"/>
  <c r="I206" i="118"/>
  <c r="H206" i="118"/>
  <c r="I205" i="118"/>
  <c r="H205" i="118"/>
  <c r="I204" i="118"/>
  <c r="H204" i="118"/>
  <c r="I203" i="118"/>
  <c r="H203" i="118"/>
  <c r="I202" i="118"/>
  <c r="H202" i="118"/>
  <c r="I201" i="118"/>
  <c r="H201" i="118"/>
  <c r="I195" i="118"/>
  <c r="H195" i="118"/>
  <c r="I183" i="118"/>
  <c r="H183" i="118"/>
  <c r="I178" i="118"/>
  <c r="H178" i="118"/>
  <c r="I177" i="118"/>
  <c r="H177" i="118"/>
  <c r="I174" i="118"/>
  <c r="H174" i="118"/>
  <c r="I173" i="118"/>
  <c r="H173" i="118"/>
  <c r="I172" i="118"/>
  <c r="H172" i="118"/>
  <c r="I170" i="118"/>
  <c r="H170" i="118"/>
  <c r="I169" i="118"/>
  <c r="H169" i="118"/>
  <c r="I167" i="118"/>
  <c r="H167" i="118"/>
  <c r="I166" i="118"/>
  <c r="H166" i="118"/>
  <c r="I165" i="118"/>
  <c r="H165" i="118"/>
  <c r="I164" i="118"/>
  <c r="H164" i="118"/>
  <c r="I163" i="118"/>
  <c r="H163" i="118"/>
  <c r="I157" i="118"/>
  <c r="H157" i="118"/>
  <c r="I158" i="118"/>
  <c r="H158" i="118"/>
  <c r="I155" i="118"/>
  <c r="H155" i="118"/>
  <c r="I154" i="118"/>
  <c r="H154" i="118"/>
  <c r="I151" i="118"/>
  <c r="H151" i="118"/>
  <c r="I149" i="118"/>
  <c r="H149" i="118"/>
  <c r="I147" i="118"/>
  <c r="H147" i="118"/>
  <c r="I146" i="118"/>
  <c r="H146" i="118"/>
  <c r="I145" i="118"/>
  <c r="H145" i="118"/>
  <c r="I144" i="118"/>
  <c r="H144" i="118"/>
  <c r="I143" i="118"/>
  <c r="H143" i="118"/>
  <c r="I142" i="118"/>
  <c r="H142" i="118"/>
  <c r="I139" i="118"/>
  <c r="H139" i="118"/>
  <c r="I138" i="118"/>
  <c r="H138" i="118"/>
  <c r="I137" i="118"/>
  <c r="H137" i="118"/>
  <c r="I136" i="118"/>
  <c r="H136" i="118"/>
  <c r="I135" i="118"/>
  <c r="H135" i="118"/>
  <c r="I134" i="118"/>
  <c r="H134" i="118"/>
  <c r="I132" i="118"/>
  <c r="H132" i="118"/>
  <c r="I131" i="118"/>
  <c r="H131" i="118"/>
  <c r="I130" i="118"/>
  <c r="H130" i="118"/>
  <c r="I129" i="118"/>
  <c r="H129" i="118"/>
  <c r="J129" i="118" s="1"/>
  <c r="I127" i="118"/>
  <c r="H127" i="118"/>
  <c r="I126" i="118"/>
  <c r="H126" i="118"/>
  <c r="I125" i="118"/>
  <c r="H125" i="118"/>
  <c r="I123" i="118"/>
  <c r="H123" i="118"/>
  <c r="I120" i="118"/>
  <c r="H120" i="118"/>
  <c r="I119" i="118"/>
  <c r="H119" i="118"/>
  <c r="I118" i="118"/>
  <c r="H118" i="118"/>
  <c r="E162" i="118"/>
  <c r="E124" i="118"/>
  <c r="E122" i="118"/>
  <c r="B138" i="118" l="1"/>
  <c r="J138" i="118"/>
  <c r="A138" i="118"/>
  <c r="B139" i="118"/>
  <c r="J139" i="118"/>
  <c r="A139" i="118"/>
  <c r="B301" i="118"/>
  <c r="J301" i="118"/>
  <c r="A301" i="118"/>
  <c r="B300" i="118"/>
  <c r="J300" i="118"/>
  <c r="A300" i="118"/>
  <c r="B204" i="118"/>
  <c r="J204" i="118"/>
  <c r="A204" i="118"/>
  <c r="J172" i="118"/>
  <c r="E172" i="118"/>
  <c r="E171" i="118" s="1"/>
  <c r="B283" i="118"/>
  <c r="J283" i="118"/>
  <c r="E283" i="118"/>
  <c r="A283" i="118"/>
  <c r="B299" i="118" l="1"/>
  <c r="J299" i="118"/>
  <c r="A299" i="118"/>
  <c r="A136" i="118" l="1"/>
  <c r="B303" i="118" l="1"/>
  <c r="J303" i="118"/>
  <c r="A303" i="118"/>
  <c r="B298" i="118"/>
  <c r="J298" i="118"/>
  <c r="A298" i="118"/>
  <c r="B297" i="118" l="1"/>
  <c r="J297" i="118"/>
  <c r="A297" i="118"/>
  <c r="B164" i="118" l="1"/>
  <c r="J164" i="118"/>
  <c r="A164" i="118"/>
  <c r="A296" i="118"/>
  <c r="B118" i="118"/>
  <c r="J118" i="118"/>
  <c r="A118" i="118"/>
  <c r="J136" i="118" l="1"/>
  <c r="B296" i="118"/>
  <c r="J296" i="118"/>
  <c r="B136" i="118" l="1"/>
  <c r="E35" i="118" l="1"/>
  <c r="E48" i="118"/>
  <c r="E168" i="118" l="1"/>
  <c r="J169" i="118"/>
  <c r="J170" i="118"/>
  <c r="E177" i="118"/>
  <c r="E176" i="118" s="1"/>
  <c r="J178" i="118"/>
  <c r="E282" i="118" l="1"/>
  <c r="E281" i="118" s="1"/>
  <c r="E254" i="118"/>
  <c r="E253" i="118" s="1"/>
  <c r="E250" i="118"/>
  <c r="E249" i="118"/>
  <c r="E246" i="118"/>
  <c r="E245" i="118" s="1"/>
  <c r="E236" i="118"/>
  <c r="E235" i="118"/>
  <c r="E234" i="118"/>
  <c r="E230" i="118"/>
  <c r="E229" i="118" s="1"/>
  <c r="E203" i="118"/>
  <c r="E202" i="118"/>
  <c r="E201" i="118"/>
  <c r="J173" i="118"/>
  <c r="J142" i="118"/>
  <c r="E143" i="118"/>
  <c r="E135" i="118"/>
  <c r="E128" i="118"/>
  <c r="E233" i="118" l="1"/>
  <c r="J130" i="118" l="1"/>
  <c r="E117" i="118" l="1"/>
  <c r="E116" i="118" s="1"/>
  <c r="I117" i="118"/>
  <c r="B117" i="118" s="1"/>
  <c r="H117" i="118"/>
  <c r="J117" i="118" s="1"/>
  <c r="A117" i="118"/>
  <c r="G81" i="118"/>
  <c r="G80" i="118"/>
  <c r="G79" i="118"/>
  <c r="G78" i="118"/>
  <c r="G110" i="118"/>
  <c r="G109" i="118"/>
  <c r="G93" i="118"/>
  <c r="G92" i="118"/>
  <c r="G87" i="118"/>
  <c r="G65" i="118"/>
  <c r="G64" i="118"/>
  <c r="G61" i="118"/>
  <c r="G60" i="118"/>
  <c r="E26" i="118"/>
  <c r="E56" i="118" l="1"/>
  <c r="E155" i="118"/>
  <c r="F343" i="118"/>
  <c r="K341" i="118"/>
  <c r="F341" i="118"/>
  <c r="F339" i="118"/>
  <c r="G339" i="118" s="1"/>
  <c r="E331" i="118"/>
  <c r="J309" i="118"/>
  <c r="A309" i="118"/>
  <c r="J284" i="118"/>
  <c r="A284" i="118"/>
  <c r="A282" i="118"/>
  <c r="J254" i="118"/>
  <c r="J275" i="118"/>
  <c r="A275" i="118"/>
  <c r="J274" i="118"/>
  <c r="A274" i="118"/>
  <c r="A257" i="118"/>
  <c r="J250" i="118"/>
  <c r="A250" i="118"/>
  <c r="J249" i="118"/>
  <c r="A249" i="118"/>
  <c r="J248" i="118"/>
  <c r="A248" i="118"/>
  <c r="J247" i="118"/>
  <c r="A247" i="118"/>
  <c r="J246" i="118"/>
  <c r="A246" i="118"/>
  <c r="J244" i="118"/>
  <c r="A244" i="118"/>
  <c r="J237" i="118"/>
  <c r="A237" i="118"/>
  <c r="J236" i="118"/>
  <c r="A236" i="118"/>
  <c r="A235" i="118"/>
  <c r="J234" i="118"/>
  <c r="A234" i="118"/>
  <c r="J231" i="118"/>
  <c r="A231" i="118"/>
  <c r="A230" i="118"/>
  <c r="J228" i="118"/>
  <c r="A228" i="118"/>
  <c r="J227" i="118"/>
  <c r="A227" i="118"/>
  <c r="E226" i="118"/>
  <c r="J225" i="118"/>
  <c r="E224" i="118"/>
  <c r="A225" i="118"/>
  <c r="J216" i="118"/>
  <c r="A216" i="118"/>
  <c r="J203" i="118"/>
  <c r="A203" i="118"/>
  <c r="A202" i="118"/>
  <c r="J201" i="118"/>
  <c r="A201" i="118"/>
  <c r="J219" i="118"/>
  <c r="A219" i="118"/>
  <c r="J212" i="118"/>
  <c r="A212" i="118"/>
  <c r="J218" i="118"/>
  <c r="A218" i="118"/>
  <c r="J217" i="118"/>
  <c r="A217" i="118"/>
  <c r="J221" i="118"/>
  <c r="A221" i="118"/>
  <c r="J220" i="118"/>
  <c r="A220" i="118"/>
  <c r="A211" i="118"/>
  <c r="B210" i="118"/>
  <c r="J210" i="118"/>
  <c r="A210" i="118"/>
  <c r="B209" i="118"/>
  <c r="J209" i="118"/>
  <c r="A209" i="118"/>
  <c r="B208" i="118"/>
  <c r="J208" i="118"/>
  <c r="A208" i="118"/>
  <c r="B207" i="118"/>
  <c r="J207" i="118"/>
  <c r="A207" i="118"/>
  <c r="J205" i="118"/>
  <c r="E205" i="118"/>
  <c r="A205" i="118"/>
  <c r="B206" i="118"/>
  <c r="J206" i="118"/>
  <c r="A206" i="118"/>
  <c r="J195" i="118"/>
  <c r="A195" i="118"/>
  <c r="J183" i="118"/>
  <c r="A183" i="118"/>
  <c r="J177" i="118"/>
  <c r="J174" i="118"/>
  <c r="J167" i="118"/>
  <c r="A167" i="118"/>
  <c r="J166" i="118"/>
  <c r="A166" i="118"/>
  <c r="J165" i="118"/>
  <c r="A165" i="118"/>
  <c r="B163" i="118"/>
  <c r="J163" i="118"/>
  <c r="A163" i="118"/>
  <c r="J157" i="118"/>
  <c r="A157" i="118"/>
  <c r="J158" i="118"/>
  <c r="A158" i="118"/>
  <c r="J154" i="118"/>
  <c r="A154" i="118"/>
  <c r="A155" i="118"/>
  <c r="J143" i="118"/>
  <c r="A143" i="118"/>
  <c r="J135" i="118"/>
  <c r="A135" i="118"/>
  <c r="J151" i="118"/>
  <c r="E151" i="118"/>
  <c r="E133" i="118" s="1"/>
  <c r="A151" i="118"/>
  <c r="J149" i="118"/>
  <c r="A149" i="118"/>
  <c r="J147" i="118"/>
  <c r="A147" i="118"/>
  <c r="J146" i="118"/>
  <c r="A146" i="118"/>
  <c r="B134" i="118"/>
  <c r="J134" i="118"/>
  <c r="A134" i="118"/>
  <c r="B145" i="118"/>
  <c r="J145" i="118"/>
  <c r="A145" i="118"/>
  <c r="B144" i="118"/>
  <c r="J144" i="118"/>
  <c r="A144" i="118"/>
  <c r="B142" i="118"/>
  <c r="A142" i="118"/>
  <c r="B137" i="118"/>
  <c r="J137" i="118"/>
  <c r="A137" i="118"/>
  <c r="J133" i="118"/>
  <c r="J132" i="118"/>
  <c r="B131" i="118"/>
  <c r="J131" i="118"/>
  <c r="A131" i="118"/>
  <c r="J128" i="118"/>
  <c r="J127" i="118"/>
  <c r="A127" i="118"/>
  <c r="J126" i="118"/>
  <c r="A126" i="118"/>
  <c r="J125" i="118"/>
  <c r="A125" i="118"/>
  <c r="B123" i="118"/>
  <c r="J123" i="118"/>
  <c r="A123" i="118"/>
  <c r="B120" i="118"/>
  <c r="J120" i="118"/>
  <c r="A120" i="118"/>
  <c r="B119" i="118"/>
  <c r="J119" i="118"/>
  <c r="A119" i="118"/>
  <c r="G104" i="118"/>
  <c r="G103" i="118"/>
  <c r="G85" i="118"/>
  <c r="J53" i="118"/>
  <c r="E53" i="118"/>
  <c r="E52" i="118"/>
  <c r="G52" i="118" s="1"/>
  <c r="E51" i="118"/>
  <c r="G51" i="118" s="1"/>
  <c r="E50" i="118"/>
  <c r="G50" i="118" s="1"/>
  <c r="E43" i="118"/>
  <c r="E27" i="118"/>
  <c r="E232" i="116"/>
  <c r="E106" i="116"/>
  <c r="E107" i="116"/>
  <c r="E44" i="116"/>
  <c r="G111" i="118" l="1"/>
  <c r="E200" i="118"/>
  <c r="E153" i="118"/>
  <c r="G337" i="118"/>
  <c r="K62" i="118"/>
  <c r="G341" i="118"/>
  <c r="B227" i="118"/>
  <c r="B183" i="118"/>
  <c r="B166" i="118"/>
  <c r="B157" i="118"/>
  <c r="B195" i="118"/>
  <c r="B217" i="118"/>
  <c r="B151" i="118"/>
  <c r="B125" i="118"/>
  <c r="B244" i="118"/>
  <c r="B218" i="118"/>
  <c r="B201" i="118"/>
  <c r="B203" i="118"/>
  <c r="B228" i="118"/>
  <c r="B154" i="118"/>
  <c r="B211" i="118"/>
  <c r="B248" i="118"/>
  <c r="B250" i="118"/>
  <c r="B158" i="118"/>
  <c r="B231" i="118"/>
  <c r="B234" i="118"/>
  <c r="B236" i="118"/>
  <c r="J211" i="118"/>
  <c r="B274" i="118"/>
  <c r="B220" i="118"/>
  <c r="B216" i="118"/>
  <c r="B230" i="118"/>
  <c r="B257" i="118"/>
  <c r="B275" i="118"/>
  <c r="B167" i="118"/>
  <c r="B219" i="118"/>
  <c r="B237" i="118"/>
  <c r="B284" i="118"/>
  <c r="B212" i="118"/>
  <c r="B127" i="118"/>
  <c r="B221" i="118"/>
  <c r="B225" i="118"/>
  <c r="B247" i="118"/>
  <c r="B126" i="118"/>
  <c r="B149" i="118"/>
  <c r="B143" i="118"/>
  <c r="B202" i="118"/>
  <c r="J257" i="118"/>
  <c r="B146" i="118"/>
  <c r="B246" i="118"/>
  <c r="B235" i="118"/>
  <c r="B135" i="118"/>
  <c r="J282" i="118"/>
  <c r="B282" i="118"/>
  <c r="B147" i="118"/>
  <c r="B165" i="118"/>
  <c r="B205" i="118"/>
  <c r="B249" i="118"/>
  <c r="B155" i="118"/>
  <c r="J155" i="118"/>
  <c r="J202" i="118"/>
  <c r="J230" i="118"/>
  <c r="J235" i="118"/>
  <c r="B309" i="118"/>
  <c r="G107" i="116"/>
  <c r="G106" i="116"/>
  <c r="E98" i="116"/>
  <c r="G98" i="116" s="1"/>
  <c r="E87" i="116"/>
  <c r="G87" i="116" s="1"/>
  <c r="E313" i="118" l="1"/>
  <c r="E154" i="116"/>
  <c r="I154" i="116"/>
  <c r="H154" i="116"/>
  <c r="J154" i="116" s="1"/>
  <c r="A154" i="116"/>
  <c r="I181" i="116"/>
  <c r="H181" i="116"/>
  <c r="J181" i="116" s="1"/>
  <c r="I300" i="116"/>
  <c r="H300" i="116"/>
  <c r="J300" i="116" s="1"/>
  <c r="A300" i="116"/>
  <c r="I299" i="116"/>
  <c r="H299" i="116"/>
  <c r="J299" i="116" s="1"/>
  <c r="A299" i="116"/>
  <c r="B154" i="116" l="1"/>
  <c r="B300" i="116"/>
  <c r="B299" i="116"/>
  <c r="E239" i="116" l="1"/>
  <c r="E240" i="116"/>
  <c r="I240" i="116"/>
  <c r="H240" i="116"/>
  <c r="J240" i="116" s="1"/>
  <c r="I239" i="116"/>
  <c r="H239" i="116"/>
  <c r="J239" i="116" s="1"/>
  <c r="A240" i="116"/>
  <c r="A239" i="116"/>
  <c r="B240" i="116" l="1"/>
  <c r="B239" i="116"/>
  <c r="E169" i="116" l="1"/>
  <c r="I172" i="116"/>
  <c r="H172" i="116"/>
  <c r="J172" i="116" s="1"/>
  <c r="G64" i="116" l="1"/>
  <c r="G63" i="116"/>
  <c r="Z377" i="88"/>
  <c r="R377" i="88"/>
  <c r="Q377" i="88"/>
  <c r="Z376" i="88"/>
  <c r="R376" i="88"/>
  <c r="Q376" i="88"/>
  <c r="M377" i="88"/>
  <c r="M376" i="88"/>
  <c r="J377" i="88"/>
  <c r="J376" i="88"/>
  <c r="G94" i="116"/>
  <c r="G93" i="116"/>
  <c r="G92" i="116"/>
  <c r="Z375" i="88"/>
  <c r="R375" i="88"/>
  <c r="Q375" i="88"/>
  <c r="Z374" i="88"/>
  <c r="R374" i="88"/>
  <c r="Q374" i="88"/>
  <c r="Z373" i="88"/>
  <c r="R373" i="88"/>
  <c r="Q373" i="88"/>
  <c r="J375" i="88"/>
  <c r="J374" i="88"/>
  <c r="J373" i="88"/>
  <c r="M375" i="88"/>
  <c r="M374" i="88"/>
  <c r="M373" i="88"/>
  <c r="I289" i="116"/>
  <c r="H289" i="116"/>
  <c r="J289" i="116" s="1"/>
  <c r="I120" i="116"/>
  <c r="H120" i="116"/>
  <c r="J120" i="116" s="1"/>
  <c r="A120" i="116"/>
  <c r="I322" i="116"/>
  <c r="H322" i="116"/>
  <c r="J322" i="116" s="1"/>
  <c r="A322" i="116"/>
  <c r="S377" i="88" l="1"/>
  <c r="T377" i="88"/>
  <c r="AA376" i="88"/>
  <c r="AA373" i="88"/>
  <c r="T374" i="88"/>
  <c r="AA375" i="88"/>
  <c r="AA377" i="88"/>
  <c r="T375" i="88"/>
  <c r="T373" i="88"/>
  <c r="S376" i="88"/>
  <c r="AA374" i="88"/>
  <c r="T376" i="88"/>
  <c r="B120" i="116"/>
  <c r="S375" i="88"/>
  <c r="S374" i="88"/>
  <c r="S373" i="88"/>
  <c r="B322" i="116"/>
  <c r="E182" i="116"/>
  <c r="I200" i="116"/>
  <c r="H200" i="116"/>
  <c r="J200" i="116" s="1"/>
  <c r="A200" i="116"/>
  <c r="I199" i="116"/>
  <c r="H199" i="116"/>
  <c r="J199" i="116" s="1"/>
  <c r="A199" i="116"/>
  <c r="I198" i="116"/>
  <c r="H198" i="116"/>
  <c r="J198" i="116" s="1"/>
  <c r="A198" i="116"/>
  <c r="I197" i="116"/>
  <c r="H197" i="116"/>
  <c r="J197" i="116" s="1"/>
  <c r="A197" i="116"/>
  <c r="I196" i="116"/>
  <c r="H196" i="116"/>
  <c r="J196" i="116" s="1"/>
  <c r="A196" i="116"/>
  <c r="I180" i="116"/>
  <c r="H180" i="116"/>
  <c r="J180" i="116" s="1"/>
  <c r="E230" i="116"/>
  <c r="I230" i="116"/>
  <c r="H230" i="116"/>
  <c r="J230" i="116" s="1"/>
  <c r="A230" i="116"/>
  <c r="E153" i="116"/>
  <c r="B200" i="116" l="1"/>
  <c r="B199" i="116"/>
  <c r="B198" i="116"/>
  <c r="B197" i="116"/>
  <c r="B196" i="116"/>
  <c r="B230" i="116"/>
  <c r="I226" i="116"/>
  <c r="H226" i="116"/>
  <c r="J226" i="116" s="1"/>
  <c r="A226" i="116"/>
  <c r="I225" i="116"/>
  <c r="H225" i="116"/>
  <c r="J225" i="116" s="1"/>
  <c r="A225" i="116"/>
  <c r="I224" i="116"/>
  <c r="H224" i="116"/>
  <c r="J224" i="116" s="1"/>
  <c r="A224" i="116"/>
  <c r="I223" i="116"/>
  <c r="H223" i="116"/>
  <c r="J223" i="116" s="1"/>
  <c r="A223" i="116"/>
  <c r="I165" i="116"/>
  <c r="H165" i="116"/>
  <c r="J165" i="116" s="1"/>
  <c r="A165" i="116"/>
  <c r="B226" i="116" l="1"/>
  <c r="B224" i="116"/>
  <c r="B225" i="116"/>
  <c r="B223" i="116"/>
  <c r="B165" i="116"/>
  <c r="E26" i="116"/>
  <c r="E56" i="116"/>
  <c r="E53" i="116"/>
  <c r="E52" i="116"/>
  <c r="E51" i="116"/>
  <c r="E45" i="116"/>
  <c r="E78" i="116"/>
  <c r="E77" i="116"/>
  <c r="E76" i="116"/>
  <c r="E75" i="116"/>
  <c r="E25" i="116" l="1"/>
  <c r="I321" i="116" l="1"/>
  <c r="H321" i="116"/>
  <c r="J321" i="116" s="1"/>
  <c r="A321" i="116"/>
  <c r="E125" i="116"/>
  <c r="E288" i="116"/>
  <c r="I298" i="116"/>
  <c r="H298" i="116"/>
  <c r="J298" i="116" s="1"/>
  <c r="A298" i="116"/>
  <c r="B298" i="116" l="1"/>
  <c r="B321" i="116"/>
  <c r="F349" i="116"/>
  <c r="G349" i="116" s="1"/>
  <c r="I320" i="116"/>
  <c r="H320" i="116"/>
  <c r="J320" i="116" s="1"/>
  <c r="A320" i="116"/>
  <c r="E148" i="116"/>
  <c r="I287" i="116"/>
  <c r="H287" i="116"/>
  <c r="J287" i="116" s="1"/>
  <c r="B320" i="116" l="1"/>
  <c r="I195" i="116"/>
  <c r="H195" i="116"/>
  <c r="J195" i="116" s="1"/>
  <c r="A195" i="116"/>
  <c r="I194" i="116"/>
  <c r="H194" i="116"/>
  <c r="J194" i="116" s="1"/>
  <c r="A194" i="116"/>
  <c r="I193" i="116"/>
  <c r="H193" i="116"/>
  <c r="J193" i="116" s="1"/>
  <c r="A193" i="116"/>
  <c r="I192" i="116"/>
  <c r="H192" i="116"/>
  <c r="J192" i="116" s="1"/>
  <c r="A192" i="116"/>
  <c r="I191" i="116"/>
  <c r="H191" i="116"/>
  <c r="J191" i="116" s="1"/>
  <c r="A191" i="116"/>
  <c r="I190" i="116"/>
  <c r="H190" i="116"/>
  <c r="J190" i="116" s="1"/>
  <c r="A190" i="116"/>
  <c r="I189" i="116"/>
  <c r="H189" i="116"/>
  <c r="J189" i="116" s="1"/>
  <c r="A189" i="116"/>
  <c r="I188" i="116"/>
  <c r="H188" i="116"/>
  <c r="J188" i="116" s="1"/>
  <c r="A188" i="116"/>
  <c r="B191" i="116" l="1"/>
  <c r="B190" i="116"/>
  <c r="B193" i="116"/>
  <c r="B188" i="116"/>
  <c r="B189" i="116"/>
  <c r="B195" i="116"/>
  <c r="B194" i="116"/>
  <c r="B192" i="116"/>
  <c r="E101" i="116" l="1"/>
  <c r="E100" i="116"/>
  <c r="E99" i="116"/>
  <c r="E82" i="116"/>
  <c r="E81" i="116"/>
  <c r="G86" i="116"/>
  <c r="Z372" i="88"/>
  <c r="J372" i="88"/>
  <c r="Q372" i="88" l="1"/>
  <c r="AA372" i="88" s="1"/>
  <c r="M372" i="88"/>
  <c r="R372" i="88"/>
  <c r="E284" i="116"/>
  <c r="S372" i="88" l="1"/>
  <c r="T372" i="88"/>
  <c r="E39" i="116" l="1"/>
  <c r="E38" i="116"/>
  <c r="E32" i="116" l="1"/>
  <c r="E31" i="116"/>
  <c r="E30" i="116"/>
  <c r="E29" i="116"/>
  <c r="E243" i="116"/>
  <c r="I243" i="116" l="1"/>
  <c r="H243" i="116"/>
  <c r="J243" i="116" s="1"/>
  <c r="A243" i="116"/>
  <c r="I317" i="116"/>
  <c r="H317" i="116"/>
  <c r="J317" i="116" s="1"/>
  <c r="A317" i="116"/>
  <c r="B317" i="116" l="1"/>
  <c r="B243" i="116"/>
  <c r="I283" i="116"/>
  <c r="H283" i="116"/>
  <c r="J283" i="116" s="1"/>
  <c r="I282" i="116"/>
  <c r="H282" i="116"/>
  <c r="J282" i="116" s="1"/>
  <c r="I281" i="116"/>
  <c r="H281" i="116"/>
  <c r="J281" i="116" s="1"/>
  <c r="I280" i="116"/>
  <c r="H280" i="116"/>
  <c r="J280" i="116" s="1"/>
  <c r="I279" i="116"/>
  <c r="H279" i="116"/>
  <c r="J279" i="116" s="1"/>
  <c r="I278" i="116"/>
  <c r="H278" i="116"/>
  <c r="J278" i="116" s="1"/>
  <c r="I277" i="116"/>
  <c r="H277" i="116"/>
  <c r="J277" i="116" s="1"/>
  <c r="I276" i="116"/>
  <c r="H276" i="116"/>
  <c r="J276" i="116" s="1"/>
  <c r="I275" i="116"/>
  <c r="H275" i="116"/>
  <c r="J275" i="116" s="1"/>
  <c r="I274" i="116"/>
  <c r="H274" i="116"/>
  <c r="J274" i="116" s="1"/>
  <c r="I273" i="116"/>
  <c r="H273" i="116"/>
  <c r="J273" i="116" s="1"/>
  <c r="I272" i="116"/>
  <c r="H272" i="116"/>
  <c r="J272" i="116" s="1"/>
  <c r="I284" i="116"/>
  <c r="H284" i="116"/>
  <c r="J284" i="116" s="1"/>
  <c r="I271" i="116"/>
  <c r="H271" i="116"/>
  <c r="J271" i="116" s="1"/>
  <c r="I270" i="116"/>
  <c r="H270" i="116"/>
  <c r="J270" i="116" s="1"/>
  <c r="I269" i="116"/>
  <c r="H269" i="116"/>
  <c r="J269" i="116" s="1"/>
  <c r="A269" i="116"/>
  <c r="G84" i="116"/>
  <c r="G83" i="116"/>
  <c r="G62" i="116"/>
  <c r="G61" i="116"/>
  <c r="G97" i="116"/>
  <c r="G96" i="116"/>
  <c r="G91" i="116"/>
  <c r="G90" i="116"/>
  <c r="Z371" i="88"/>
  <c r="R371" i="88"/>
  <c r="Q371" i="88"/>
  <c r="Z370" i="88"/>
  <c r="R370" i="88"/>
  <c r="Q370" i="88"/>
  <c r="Z369" i="88"/>
  <c r="R369" i="88"/>
  <c r="Q369" i="88"/>
  <c r="M371" i="88"/>
  <c r="M370" i="88"/>
  <c r="J371" i="88"/>
  <c r="J370" i="88"/>
  <c r="Z368" i="88"/>
  <c r="R368" i="88"/>
  <c r="Q368" i="88"/>
  <c r="M369" i="88"/>
  <c r="M368" i="88"/>
  <c r="J369" i="88"/>
  <c r="J368" i="88"/>
  <c r="I216" i="116"/>
  <c r="H216" i="116"/>
  <c r="J216" i="116" s="1"/>
  <c r="A216" i="116"/>
  <c r="E215" i="116"/>
  <c r="T368" i="88" l="1"/>
  <c r="S370" i="88"/>
  <c r="T371" i="88"/>
  <c r="AA370" i="88"/>
  <c r="AA371" i="88"/>
  <c r="T369" i="88"/>
  <c r="AA369" i="88"/>
  <c r="AA368" i="88"/>
  <c r="B269" i="116"/>
  <c r="S369" i="88"/>
  <c r="T370" i="88"/>
  <c r="S371" i="88"/>
  <c r="S368" i="88"/>
  <c r="B216" i="116"/>
  <c r="E155" i="116" l="1"/>
  <c r="I158" i="116"/>
  <c r="H158" i="116"/>
  <c r="J158" i="116" s="1"/>
  <c r="A158" i="116"/>
  <c r="B158" i="116" l="1"/>
  <c r="G74" i="116" l="1"/>
  <c r="G73" i="116"/>
  <c r="Z363" i="88"/>
  <c r="Z362" i="88"/>
  <c r="Z361" i="88"/>
  <c r="K23" i="88" l="1"/>
  <c r="L23" i="88"/>
  <c r="I257" i="116" l="1"/>
  <c r="H257" i="116"/>
  <c r="J257" i="116" s="1"/>
  <c r="E257" i="116"/>
  <c r="A257" i="116"/>
  <c r="G105" i="116"/>
  <c r="G104" i="116"/>
  <c r="Z360" i="88"/>
  <c r="R363" i="88"/>
  <c r="Q363" i="88"/>
  <c r="AA363" i="88" s="1"/>
  <c r="R362" i="88"/>
  <c r="Q362" i="88"/>
  <c r="AA362" i="88" s="1"/>
  <c r="R361" i="88"/>
  <c r="Q361" i="88"/>
  <c r="AA361" i="88" s="1"/>
  <c r="R360" i="88"/>
  <c r="Q360" i="88"/>
  <c r="Z365" i="88"/>
  <c r="R365" i="88"/>
  <c r="Q365" i="88"/>
  <c r="M363" i="88"/>
  <c r="M362" i="88"/>
  <c r="J363" i="88"/>
  <c r="J362" i="88"/>
  <c r="M361" i="88"/>
  <c r="M360" i="88"/>
  <c r="J361" i="88"/>
  <c r="J360" i="88"/>
  <c r="AA365" i="88" l="1"/>
  <c r="AA360" i="88"/>
  <c r="B257" i="116"/>
  <c r="T362" i="88"/>
  <c r="S365" i="88"/>
  <c r="S363" i="88"/>
  <c r="T363" i="88"/>
  <c r="S361" i="88"/>
  <c r="T365" i="88"/>
  <c r="T360" i="88"/>
  <c r="T361" i="88"/>
  <c r="S362" i="88"/>
  <c r="S360" i="88"/>
  <c r="I318" i="116" l="1"/>
  <c r="H318" i="116"/>
  <c r="J318" i="116" s="1"/>
  <c r="A318" i="116"/>
  <c r="Z364" i="88"/>
  <c r="R364" i="88"/>
  <c r="Q364" i="88"/>
  <c r="Z367" i="88"/>
  <c r="R367" i="88"/>
  <c r="Q367" i="88"/>
  <c r="Z366" i="88"/>
  <c r="R366" i="88"/>
  <c r="Q366" i="88"/>
  <c r="M365" i="88"/>
  <c r="M364" i="88"/>
  <c r="J365" i="88"/>
  <c r="J364" i="88"/>
  <c r="M367" i="88"/>
  <c r="M366" i="88"/>
  <c r="J367" i="88"/>
  <c r="J366" i="88"/>
  <c r="AA367" i="88" l="1"/>
  <c r="AA366" i="88"/>
  <c r="B318" i="116"/>
  <c r="S367" i="88"/>
  <c r="T364" i="88"/>
  <c r="T366" i="88"/>
  <c r="AA364" i="88"/>
  <c r="T367" i="88"/>
  <c r="S364" i="88"/>
  <c r="S366" i="88"/>
  <c r="I250" i="116" l="1"/>
  <c r="H250" i="116"/>
  <c r="J250" i="116" s="1"/>
  <c r="E250" i="116"/>
  <c r="A250" i="116"/>
  <c r="B250" i="116" l="1"/>
  <c r="I315" i="116"/>
  <c r="B315" i="116" s="1"/>
  <c r="H315" i="116"/>
  <c r="J315" i="116" s="1"/>
  <c r="A315" i="116"/>
  <c r="I314" i="116"/>
  <c r="B314" i="116" s="1"/>
  <c r="H314" i="116"/>
  <c r="J314" i="116" s="1"/>
  <c r="A314" i="116"/>
  <c r="G68" i="116"/>
  <c r="G67" i="116"/>
  <c r="Z359" i="88"/>
  <c r="R359" i="88"/>
  <c r="Q359" i="88"/>
  <c r="Z358" i="88"/>
  <c r="R358" i="88"/>
  <c r="Q358" i="88"/>
  <c r="M359" i="88"/>
  <c r="M358" i="88"/>
  <c r="J359" i="88"/>
  <c r="J358" i="88"/>
  <c r="G72" i="116"/>
  <c r="G71" i="116"/>
  <c r="Z357" i="88"/>
  <c r="R357" i="88"/>
  <c r="Q357" i="88"/>
  <c r="Z356" i="88"/>
  <c r="R356" i="88"/>
  <c r="Q356" i="88"/>
  <c r="M357" i="88"/>
  <c r="M356" i="88"/>
  <c r="J357" i="88"/>
  <c r="J356" i="88"/>
  <c r="S356" i="88" l="1"/>
  <c r="T356" i="88"/>
  <c r="AA358" i="88"/>
  <c r="T359" i="88"/>
  <c r="T358" i="88"/>
  <c r="AA359" i="88"/>
  <c r="AA357" i="88"/>
  <c r="AA356" i="88"/>
  <c r="S359" i="88"/>
  <c r="S358" i="88"/>
  <c r="S357" i="88"/>
  <c r="T357" i="88"/>
  <c r="E256" i="116" l="1"/>
  <c r="I256" i="116"/>
  <c r="H256" i="116"/>
  <c r="J256" i="116" s="1"/>
  <c r="A256" i="116"/>
  <c r="E263" i="116"/>
  <c r="I263" i="116"/>
  <c r="H263" i="116"/>
  <c r="J263" i="116" s="1"/>
  <c r="A263" i="116"/>
  <c r="E251" i="116"/>
  <c r="E150" i="116"/>
  <c r="I150" i="116"/>
  <c r="H150" i="116"/>
  <c r="J150" i="116" s="1"/>
  <c r="A150" i="116"/>
  <c r="G103" i="116"/>
  <c r="G102" i="116"/>
  <c r="Z355" i="88"/>
  <c r="Z354" i="88"/>
  <c r="R355" i="88"/>
  <c r="Q355" i="88"/>
  <c r="R354" i="88"/>
  <c r="Q354" i="88"/>
  <c r="M355" i="88"/>
  <c r="M354" i="88"/>
  <c r="J355" i="88"/>
  <c r="J354" i="88"/>
  <c r="G85" i="116"/>
  <c r="R353" i="88"/>
  <c r="Q353" i="88"/>
  <c r="Z353" i="88"/>
  <c r="M353" i="88"/>
  <c r="J353" i="88"/>
  <c r="AA355" i="88" l="1"/>
  <c r="AA353" i="88"/>
  <c r="S354" i="88"/>
  <c r="T353" i="88"/>
  <c r="S353" i="88"/>
  <c r="T355" i="88"/>
  <c r="T354" i="88"/>
  <c r="AA354" i="88"/>
  <c r="B256" i="116"/>
  <c r="B263" i="116"/>
  <c r="B150" i="116"/>
  <c r="S355" i="88"/>
  <c r="E267" i="116" l="1"/>
  <c r="E264" i="116" s="1"/>
  <c r="I297" i="116"/>
  <c r="B297" i="116" s="1"/>
  <c r="H297" i="116"/>
  <c r="J297" i="116" s="1"/>
  <c r="A297" i="116"/>
  <c r="I316" i="116" l="1"/>
  <c r="B316" i="116" s="1"/>
  <c r="H316" i="116"/>
  <c r="J316" i="116" s="1"/>
  <c r="A316" i="116"/>
  <c r="I187" i="116" l="1"/>
  <c r="H187" i="116"/>
  <c r="J187" i="116" s="1"/>
  <c r="A187" i="116"/>
  <c r="E249" i="116"/>
  <c r="I249" i="116"/>
  <c r="H249" i="116"/>
  <c r="J249" i="116" s="1"/>
  <c r="A249" i="116"/>
  <c r="E80" i="116"/>
  <c r="G80" i="116" s="1"/>
  <c r="E79" i="116"/>
  <c r="G79" i="116" s="1"/>
  <c r="B187" i="116" l="1"/>
  <c r="B249" i="116"/>
  <c r="I313" i="116"/>
  <c r="B313" i="116" s="1"/>
  <c r="H313" i="116"/>
  <c r="J313" i="116" s="1"/>
  <c r="A313" i="116"/>
  <c r="I312" i="116" l="1"/>
  <c r="B312" i="116" s="1"/>
  <c r="H312" i="116"/>
  <c r="J312" i="116" s="1"/>
  <c r="A312" i="116"/>
  <c r="K353" i="116" l="1"/>
  <c r="Q22" i="88"/>
  <c r="Q23" i="88" s="1"/>
  <c r="R22" i="88" l="1"/>
  <c r="M23" i="88" l="1"/>
  <c r="T22" i="88"/>
  <c r="S22" i="88"/>
  <c r="I171" i="116"/>
  <c r="H171" i="116"/>
  <c r="J171" i="116" s="1"/>
  <c r="I296" i="116"/>
  <c r="B296" i="116" s="1"/>
  <c r="H296" i="116"/>
  <c r="J296" i="116" s="1"/>
  <c r="A296" i="116"/>
  <c r="E13" i="119" l="1"/>
  <c r="E120" i="119" s="1"/>
  <c r="S23" i="88"/>
  <c r="T23" i="88" s="1"/>
  <c r="R23" i="88"/>
  <c r="I142" i="116"/>
  <c r="B142" i="116" s="1"/>
  <c r="H142" i="116"/>
  <c r="J142" i="116" s="1"/>
  <c r="A142" i="116"/>
  <c r="I186" i="116"/>
  <c r="B186" i="116" s="1"/>
  <c r="H186" i="116"/>
  <c r="J186" i="116" s="1"/>
  <c r="A186" i="116"/>
  <c r="I168" i="116"/>
  <c r="H168" i="116"/>
  <c r="J168" i="116" s="1"/>
  <c r="Q352" i="88"/>
  <c r="R352" i="88"/>
  <c r="Z352" i="88"/>
  <c r="M352" i="88"/>
  <c r="J352" i="88"/>
  <c r="AA352" i="88" l="1"/>
  <c r="S352" i="88"/>
  <c r="T352" i="88"/>
  <c r="I139" i="116" l="1"/>
  <c r="B139" i="116" s="1"/>
  <c r="H139" i="116"/>
  <c r="J139" i="116" s="1"/>
  <c r="A139" i="116"/>
  <c r="I140" i="116"/>
  <c r="B140" i="116" s="1"/>
  <c r="H140" i="116"/>
  <c r="J140" i="116" s="1"/>
  <c r="A140" i="116"/>
  <c r="I161" i="116"/>
  <c r="B161" i="116" s="1"/>
  <c r="H161" i="116"/>
  <c r="J161" i="116" s="1"/>
  <c r="A161" i="116"/>
  <c r="Z351" i="88"/>
  <c r="Z350" i="88"/>
  <c r="Z349" i="88"/>
  <c r="Z348" i="88"/>
  <c r="R351" i="88"/>
  <c r="Q351" i="88"/>
  <c r="R350" i="88"/>
  <c r="Q350" i="88"/>
  <c r="R349" i="88"/>
  <c r="Q349" i="88"/>
  <c r="R348" i="88"/>
  <c r="Q348" i="88"/>
  <c r="M351" i="88"/>
  <c r="M350" i="88"/>
  <c r="M348" i="88"/>
  <c r="J351" i="88"/>
  <c r="J350" i="88"/>
  <c r="J349" i="88"/>
  <c r="J348" i="88"/>
  <c r="G37" i="116"/>
  <c r="Z347" i="88"/>
  <c r="R347" i="88"/>
  <c r="Q347" i="88"/>
  <c r="M347" i="88"/>
  <c r="J347" i="88"/>
  <c r="I319" i="116"/>
  <c r="H319" i="116"/>
  <c r="J319" i="116" s="1"/>
  <c r="A319" i="116"/>
  <c r="I119" i="116"/>
  <c r="B119" i="116" s="1"/>
  <c r="H119" i="116"/>
  <c r="J119" i="116" s="1"/>
  <c r="A119" i="116"/>
  <c r="G89" i="116"/>
  <c r="G88" i="116"/>
  <c r="E49" i="118" l="1"/>
  <c r="E15" i="118" s="1"/>
  <c r="S350" i="88"/>
  <c r="S347" i="88"/>
  <c r="T347" i="88"/>
  <c r="E50" i="116"/>
  <c r="AA347" i="88"/>
  <c r="T351" i="88"/>
  <c r="AA348" i="88"/>
  <c r="AA349" i="88"/>
  <c r="AA350" i="88"/>
  <c r="AA351" i="88"/>
  <c r="S348" i="88"/>
  <c r="S349" i="88"/>
  <c r="T350" i="88"/>
  <c r="S351" i="88"/>
  <c r="T349" i="88"/>
  <c r="T348" i="88"/>
  <c r="B319" i="116"/>
  <c r="G95" i="116"/>
  <c r="Z346" i="88" l="1"/>
  <c r="R346" i="88"/>
  <c r="Q346" i="88"/>
  <c r="R345" i="88"/>
  <c r="Z345" i="88"/>
  <c r="Q345" i="88"/>
  <c r="M346" i="88"/>
  <c r="M345" i="88"/>
  <c r="J346" i="88"/>
  <c r="J345" i="88"/>
  <c r="S346" i="88" l="1"/>
  <c r="AA346" i="88"/>
  <c r="AA345" i="88"/>
  <c r="S345" i="88"/>
  <c r="T346" i="88"/>
  <c r="T345" i="88"/>
  <c r="E23" i="116" l="1"/>
  <c r="J21" i="116" s="1"/>
  <c r="E248" i="116" l="1"/>
  <c r="I248" i="116"/>
  <c r="H248" i="116"/>
  <c r="J248" i="116" s="1"/>
  <c r="A248" i="116"/>
  <c r="B248" i="116" l="1"/>
  <c r="R344" i="88"/>
  <c r="Z344" i="88"/>
  <c r="Q344" i="88"/>
  <c r="M344" i="88"/>
  <c r="J344" i="88"/>
  <c r="AA344" i="88" l="1"/>
  <c r="T344" i="88"/>
  <c r="S344" i="88"/>
  <c r="I310" i="116"/>
  <c r="B310" i="116" s="1"/>
  <c r="H310" i="116"/>
  <c r="J310" i="116" s="1"/>
  <c r="A310" i="116"/>
  <c r="I143" i="116"/>
  <c r="B143" i="116" s="1"/>
  <c r="H143" i="116"/>
  <c r="J143" i="116" s="1"/>
  <c r="A143" i="116"/>
  <c r="I242" i="116"/>
  <c r="B242" i="116" s="1"/>
  <c r="H242" i="116"/>
  <c r="J242" i="116" s="1"/>
  <c r="A242" i="116"/>
  <c r="I176" i="116" l="1"/>
  <c r="H176" i="116"/>
  <c r="J176" i="116" s="1"/>
  <c r="Z343" i="88"/>
  <c r="R343" i="88"/>
  <c r="Q343" i="88"/>
  <c r="M343" i="88"/>
  <c r="J343" i="88"/>
  <c r="Z342" i="88"/>
  <c r="M342" i="88"/>
  <c r="L341" i="88"/>
  <c r="K341" i="88"/>
  <c r="Z341" i="88" s="1"/>
  <c r="J342" i="88"/>
  <c r="J341" i="88"/>
  <c r="G66" i="116"/>
  <c r="G65" i="116"/>
  <c r="I124" i="116"/>
  <c r="B124" i="116" s="1"/>
  <c r="H124" i="116"/>
  <c r="J124" i="116" s="1"/>
  <c r="A124" i="116"/>
  <c r="E247" i="116"/>
  <c r="I247" i="116"/>
  <c r="H247" i="116"/>
  <c r="J247" i="116" s="1"/>
  <c r="A247" i="116"/>
  <c r="T343" i="88" l="1"/>
  <c r="M341" i="88"/>
  <c r="AA343" i="88"/>
  <c r="S343" i="88"/>
  <c r="B247" i="116"/>
  <c r="E229" i="116" l="1"/>
  <c r="I229" i="116"/>
  <c r="H229" i="116"/>
  <c r="J229" i="116" s="1"/>
  <c r="A229" i="116"/>
  <c r="E255" i="116"/>
  <c r="I255" i="116"/>
  <c r="H255" i="116"/>
  <c r="J255" i="116" s="1"/>
  <c r="A255" i="116"/>
  <c r="E149" i="116"/>
  <c r="I149" i="116"/>
  <c r="H149" i="116"/>
  <c r="J149" i="116" s="1"/>
  <c r="A149" i="116"/>
  <c r="E262" i="116"/>
  <c r="I262" i="116"/>
  <c r="H262" i="116"/>
  <c r="J262" i="116" s="1"/>
  <c r="A262" i="116"/>
  <c r="B229" i="116" l="1"/>
  <c r="B255" i="116"/>
  <c r="B149" i="116"/>
  <c r="B262" i="116"/>
  <c r="E175" i="116"/>
  <c r="E174" i="116"/>
  <c r="E173" i="116" s="1"/>
  <c r="I175" i="116"/>
  <c r="H175" i="116"/>
  <c r="J175" i="116" s="1"/>
  <c r="I309" i="116"/>
  <c r="B309" i="116" s="1"/>
  <c r="H309" i="116"/>
  <c r="J309" i="116" s="1"/>
  <c r="E309" i="116"/>
  <c r="A309" i="116"/>
  <c r="E160" i="116"/>
  <c r="E159" i="116" s="1"/>
  <c r="E121" i="116" l="1"/>
  <c r="I122" i="116"/>
  <c r="B122" i="116" s="1"/>
  <c r="H122" i="116"/>
  <c r="J122" i="116" s="1"/>
  <c r="A122" i="116"/>
  <c r="I125" i="117"/>
  <c r="I124" i="117"/>
  <c r="F124" i="117"/>
  <c r="F123" i="117"/>
  <c r="M122" i="117"/>
  <c r="M121" i="117"/>
  <c r="I121" i="117"/>
  <c r="F120" i="117"/>
  <c r="M118" i="117"/>
  <c r="I104" i="117"/>
  <c r="F103" i="117"/>
  <c r="M101" i="117"/>
  <c r="G91" i="117"/>
  <c r="F91" i="117"/>
  <c r="I85" i="117"/>
  <c r="M81" i="117"/>
  <c r="M80" i="117"/>
  <c r="I80" i="117"/>
  <c r="F80" i="117"/>
  <c r="M79" i="117"/>
  <c r="N108" i="117" s="1"/>
  <c r="M108" i="117" s="1"/>
  <c r="M77" i="117" s="1"/>
  <c r="I79" i="117"/>
  <c r="F56" i="117"/>
  <c r="F55" i="117"/>
  <c r="F50" i="117"/>
  <c r="F49" i="117"/>
  <c r="F34" i="117"/>
  <c r="F33" i="117"/>
  <c r="F28" i="117"/>
  <c r="F27" i="117"/>
  <c r="J140" i="117" l="1"/>
  <c r="I140" i="117" s="1"/>
  <c r="N137" i="117"/>
  <c r="M137" i="117" s="1"/>
  <c r="M114" i="117" s="1"/>
  <c r="J112" i="117"/>
  <c r="I111" i="117" s="1"/>
  <c r="G140" i="117"/>
  <c r="F139" i="117" s="1"/>
  <c r="F116" i="117" s="1"/>
  <c r="G111" i="117"/>
  <c r="F111" i="117" s="1"/>
  <c r="F78" i="117" s="1"/>
  <c r="I77" i="117"/>
  <c r="G81" i="117"/>
  <c r="I117" i="117"/>
  <c r="G109" i="116"/>
  <c r="G108" i="116"/>
  <c r="G82" i="116"/>
  <c r="G81" i="116"/>
  <c r="G78" i="116"/>
  <c r="G77" i="116"/>
  <c r="G76" i="116"/>
  <c r="G75" i="116"/>
  <c r="G70" i="116"/>
  <c r="G69" i="116"/>
  <c r="G101" i="116"/>
  <c r="G100" i="116"/>
  <c r="G99" i="116"/>
  <c r="J54" i="116" l="1"/>
  <c r="G53" i="116"/>
  <c r="G52" i="116"/>
  <c r="G51" i="116"/>
  <c r="E57" i="116" l="1"/>
  <c r="E22" i="116"/>
  <c r="E130" i="116" l="1"/>
  <c r="E126" i="116"/>
  <c r="I307" i="116"/>
  <c r="B307" i="116" s="1"/>
  <c r="H307" i="116"/>
  <c r="J307" i="116" s="1"/>
  <c r="A307" i="116"/>
  <c r="E308" i="116"/>
  <c r="I306" i="116"/>
  <c r="B306" i="116" s="1"/>
  <c r="H306" i="116"/>
  <c r="J306" i="116" s="1"/>
  <c r="A306" i="116"/>
  <c r="E305" i="116"/>
  <c r="E304" i="116"/>
  <c r="E303" i="116"/>
  <c r="E302" i="116"/>
  <c r="E295" i="116"/>
  <c r="E294" i="116"/>
  <c r="E293" i="116"/>
  <c r="E292" i="116"/>
  <c r="E291" i="116"/>
  <c r="I268" i="116"/>
  <c r="H268" i="116"/>
  <c r="J268" i="116" s="1"/>
  <c r="A268" i="116"/>
  <c r="I267" i="116"/>
  <c r="B267" i="116" s="1"/>
  <c r="H267" i="116"/>
  <c r="J267" i="116" s="1"/>
  <c r="A267" i="116"/>
  <c r="I266" i="116"/>
  <c r="B266" i="116" s="1"/>
  <c r="H266" i="116"/>
  <c r="J266" i="116" s="1"/>
  <c r="A266" i="116"/>
  <c r="I265" i="116"/>
  <c r="B265" i="116" s="1"/>
  <c r="H265" i="116"/>
  <c r="J265" i="116" s="1"/>
  <c r="A265" i="116"/>
  <c r="E261" i="116"/>
  <c r="E260" i="116"/>
  <c r="E259" i="116"/>
  <c r="E258" i="116"/>
  <c r="E246" i="116"/>
  <c r="E245" i="116"/>
  <c r="E244" i="116"/>
  <c r="E237" i="116"/>
  <c r="E236" i="116" s="1"/>
  <c r="A222" i="116"/>
  <c r="I222" i="116"/>
  <c r="H222" i="116"/>
  <c r="J222" i="116" s="1"/>
  <c r="E204" i="116"/>
  <c r="E228" i="116"/>
  <c r="E227" i="116"/>
  <c r="I209" i="116"/>
  <c r="H209" i="116"/>
  <c r="J209" i="116" s="1"/>
  <c r="E209" i="116"/>
  <c r="A209" i="116"/>
  <c r="E205" i="116"/>
  <c r="I174" i="116"/>
  <c r="H174" i="116"/>
  <c r="J174" i="116" s="1"/>
  <c r="I179" i="116"/>
  <c r="H179" i="116"/>
  <c r="J179" i="116" s="1"/>
  <c r="I177" i="116"/>
  <c r="H177" i="116"/>
  <c r="J177" i="116" s="1"/>
  <c r="I170" i="116"/>
  <c r="H170" i="116"/>
  <c r="J170" i="116" s="1"/>
  <c r="I167" i="116"/>
  <c r="H167" i="116"/>
  <c r="J167" i="116" s="1"/>
  <c r="I164" i="116"/>
  <c r="H164" i="116"/>
  <c r="J164" i="116" s="1"/>
  <c r="A164" i="116"/>
  <c r="I163" i="116"/>
  <c r="H163" i="116"/>
  <c r="J163" i="116" s="1"/>
  <c r="E152" i="116"/>
  <c r="E151" i="116" s="1"/>
  <c r="E144" i="116"/>
  <c r="I146" i="116"/>
  <c r="H146" i="116"/>
  <c r="J146" i="116" s="1"/>
  <c r="I136" i="116"/>
  <c r="H136" i="116"/>
  <c r="J136" i="116" s="1"/>
  <c r="I137" i="116"/>
  <c r="B137" i="116" s="1"/>
  <c r="H137" i="116"/>
  <c r="J137" i="116" s="1"/>
  <c r="E137" i="116"/>
  <c r="A137" i="116"/>
  <c r="E135" i="116"/>
  <c r="E134" i="116"/>
  <c r="I129" i="116"/>
  <c r="H129" i="116"/>
  <c r="J129" i="116" s="1"/>
  <c r="I128" i="116"/>
  <c r="H128" i="116"/>
  <c r="J128" i="116" s="1"/>
  <c r="I127" i="116"/>
  <c r="H127" i="116"/>
  <c r="J127" i="116" s="1"/>
  <c r="I125" i="116"/>
  <c r="H125" i="116"/>
  <c r="J125" i="116" s="1"/>
  <c r="A125" i="116"/>
  <c r="I123" i="116"/>
  <c r="H123" i="116"/>
  <c r="J123" i="116" s="1"/>
  <c r="E116" i="116"/>
  <c r="E115" i="116" s="1"/>
  <c r="E290" i="116" l="1"/>
  <c r="E252" i="116"/>
  <c r="E133" i="116"/>
  <c r="B125" i="116"/>
  <c r="E241" i="116"/>
  <c r="B268" i="116"/>
  <c r="B222" i="116"/>
  <c r="B209" i="116"/>
  <c r="E166" i="116"/>
  <c r="B164" i="116"/>
  <c r="F355" i="116"/>
  <c r="F353" i="116"/>
  <c r="F351" i="116"/>
  <c r="E343" i="116"/>
  <c r="I311" i="116"/>
  <c r="B311" i="116" s="1"/>
  <c r="H311" i="116"/>
  <c r="J311" i="116" s="1"/>
  <c r="A311" i="116"/>
  <c r="I308" i="116"/>
  <c r="B308" i="116" s="1"/>
  <c r="H308" i="116"/>
  <c r="J308" i="116" s="1"/>
  <c r="A308" i="116"/>
  <c r="I305" i="116"/>
  <c r="B305" i="116" s="1"/>
  <c r="H305" i="116"/>
  <c r="J305" i="116" s="1"/>
  <c r="A305" i="116"/>
  <c r="I304" i="116"/>
  <c r="B304" i="116" s="1"/>
  <c r="H304" i="116"/>
  <c r="J304" i="116" s="1"/>
  <c r="A304" i="116"/>
  <c r="I303" i="116"/>
  <c r="B303" i="116" s="1"/>
  <c r="H303" i="116"/>
  <c r="J303" i="116" s="1"/>
  <c r="A303" i="116"/>
  <c r="I302" i="116"/>
  <c r="B302" i="116" s="1"/>
  <c r="H302" i="116"/>
  <c r="J302" i="116" s="1"/>
  <c r="A302" i="116"/>
  <c r="I324" i="116"/>
  <c r="H324" i="116"/>
  <c r="J324" i="116" s="1"/>
  <c r="E324" i="116"/>
  <c r="A324" i="116"/>
  <c r="I323" i="116"/>
  <c r="H323" i="116"/>
  <c r="J323" i="116" s="1"/>
  <c r="E323" i="116"/>
  <c r="A323" i="116"/>
  <c r="I294" i="116"/>
  <c r="B294" i="116" s="1"/>
  <c r="H294" i="116"/>
  <c r="J294" i="116" s="1"/>
  <c r="A294" i="116"/>
  <c r="I293" i="116"/>
  <c r="B293" i="116" s="1"/>
  <c r="H293" i="116"/>
  <c r="J293" i="116" s="1"/>
  <c r="A293" i="116"/>
  <c r="I295" i="116"/>
  <c r="H295" i="116"/>
  <c r="A295" i="116"/>
  <c r="I292" i="116"/>
  <c r="B292" i="116" s="1"/>
  <c r="H292" i="116"/>
  <c r="J292" i="116" s="1"/>
  <c r="A292" i="116"/>
  <c r="I291" i="116"/>
  <c r="B291" i="116" s="1"/>
  <c r="H291" i="116"/>
  <c r="J291" i="116" s="1"/>
  <c r="A291" i="116"/>
  <c r="I286" i="116"/>
  <c r="H286" i="116"/>
  <c r="J286" i="116" s="1"/>
  <c r="A286" i="116"/>
  <c r="I285" i="116"/>
  <c r="H285" i="116"/>
  <c r="J285" i="116" s="1"/>
  <c r="A285" i="116"/>
  <c r="I288" i="116"/>
  <c r="H288" i="116"/>
  <c r="J288" i="116" s="1"/>
  <c r="A288" i="116"/>
  <c r="I261" i="116"/>
  <c r="H261" i="116"/>
  <c r="J261" i="116" s="1"/>
  <c r="A261" i="116"/>
  <c r="I260" i="116"/>
  <c r="H260" i="116"/>
  <c r="J260" i="116" s="1"/>
  <c r="A260" i="116"/>
  <c r="I259" i="116"/>
  <c r="H259" i="116"/>
  <c r="J259" i="116" s="1"/>
  <c r="A259" i="116"/>
  <c r="I258" i="116"/>
  <c r="B258" i="116" s="1"/>
  <c r="H258" i="116"/>
  <c r="J258" i="116" s="1"/>
  <c r="A258" i="116"/>
  <c r="I254" i="116"/>
  <c r="B254" i="116" s="1"/>
  <c r="H254" i="116"/>
  <c r="J254" i="116" s="1"/>
  <c r="A254" i="116"/>
  <c r="I253" i="116"/>
  <c r="B253" i="116" s="1"/>
  <c r="H253" i="116"/>
  <c r="J253" i="116" s="1"/>
  <c r="A253" i="116"/>
  <c r="I251" i="116"/>
  <c r="H251" i="116"/>
  <c r="J251" i="116" s="1"/>
  <c r="A251" i="116"/>
  <c r="I246" i="116"/>
  <c r="H246" i="116"/>
  <c r="J246" i="116" s="1"/>
  <c r="A246" i="116"/>
  <c r="I245" i="116"/>
  <c r="H245" i="116"/>
  <c r="J245" i="116" s="1"/>
  <c r="A245" i="116"/>
  <c r="I244" i="116"/>
  <c r="H244" i="116"/>
  <c r="J244" i="116" s="1"/>
  <c r="A244" i="116"/>
  <c r="I237" i="116"/>
  <c r="B237" i="116" s="1"/>
  <c r="H237" i="116"/>
  <c r="J237" i="116" s="1"/>
  <c r="A237" i="116"/>
  <c r="I238" i="116"/>
  <c r="B238" i="116" s="1"/>
  <c r="H238" i="116"/>
  <c r="J238" i="116" s="1"/>
  <c r="A238" i="116"/>
  <c r="I235" i="116"/>
  <c r="H235" i="116"/>
  <c r="J235" i="116" s="1"/>
  <c r="A235" i="116"/>
  <c r="I234" i="116"/>
  <c r="H234" i="116"/>
  <c r="J234" i="116" s="1"/>
  <c r="A234" i="116"/>
  <c r="E233" i="116"/>
  <c r="I232" i="116"/>
  <c r="H232" i="116"/>
  <c r="J232" i="116" s="1"/>
  <c r="E231" i="116"/>
  <c r="A232" i="116"/>
  <c r="I227" i="116"/>
  <c r="H227" i="116"/>
  <c r="J227" i="116" s="1"/>
  <c r="A227" i="116"/>
  <c r="I205" i="116"/>
  <c r="B205" i="116" s="1"/>
  <c r="H205" i="116"/>
  <c r="J205" i="116" s="1"/>
  <c r="A205" i="116"/>
  <c r="I204" i="116"/>
  <c r="B204" i="116" s="1"/>
  <c r="H204" i="116"/>
  <c r="J204" i="116" s="1"/>
  <c r="A204" i="116"/>
  <c r="I228" i="116"/>
  <c r="H228" i="116"/>
  <c r="A228" i="116"/>
  <c r="I221" i="116"/>
  <c r="H221" i="116"/>
  <c r="J221" i="116" s="1"/>
  <c r="A221" i="116"/>
  <c r="I214" i="116"/>
  <c r="H214" i="116"/>
  <c r="J214" i="116" s="1"/>
  <c r="A214" i="116"/>
  <c r="I220" i="116"/>
  <c r="H220" i="116"/>
  <c r="J220" i="116" s="1"/>
  <c r="E220" i="116"/>
  <c r="A220" i="116"/>
  <c r="I219" i="116"/>
  <c r="H219" i="116"/>
  <c r="J219" i="116" s="1"/>
  <c r="A219" i="116"/>
  <c r="I218" i="116"/>
  <c r="H218" i="116"/>
  <c r="J218" i="116" s="1"/>
  <c r="A218" i="116"/>
  <c r="I217" i="116"/>
  <c r="H217" i="116"/>
  <c r="J217" i="116" s="1"/>
  <c r="A217" i="116"/>
  <c r="I208" i="116"/>
  <c r="H208" i="116"/>
  <c r="J208" i="116" s="1"/>
  <c r="A208" i="116"/>
  <c r="I215" i="116"/>
  <c r="H215" i="116"/>
  <c r="J215" i="116" s="1"/>
  <c r="A215" i="116"/>
  <c r="I211" i="116"/>
  <c r="H211" i="116"/>
  <c r="J211" i="116" s="1"/>
  <c r="A211" i="116"/>
  <c r="I213" i="116"/>
  <c r="H213" i="116"/>
  <c r="J213" i="116" s="1"/>
  <c r="A213" i="116"/>
  <c r="I212" i="116"/>
  <c r="H212" i="116"/>
  <c r="J212" i="116" s="1"/>
  <c r="A212" i="116"/>
  <c r="I207" i="116"/>
  <c r="B207" i="116" s="1"/>
  <c r="H207" i="116"/>
  <c r="J207" i="116" s="1"/>
  <c r="A207" i="116"/>
  <c r="I210" i="116"/>
  <c r="B210" i="116" s="1"/>
  <c r="H210" i="116"/>
  <c r="J210" i="116" s="1"/>
  <c r="A210" i="116"/>
  <c r="I206" i="116"/>
  <c r="B206" i="116" s="1"/>
  <c r="H206" i="116"/>
  <c r="J206" i="116" s="1"/>
  <c r="E206" i="116"/>
  <c r="A206" i="116"/>
  <c r="I202" i="116"/>
  <c r="H202" i="116"/>
  <c r="J202" i="116" s="1"/>
  <c r="A202" i="116"/>
  <c r="E201" i="116"/>
  <c r="I185" i="116"/>
  <c r="B185" i="116" s="1"/>
  <c r="H185" i="116"/>
  <c r="J185" i="116" s="1"/>
  <c r="A185" i="116"/>
  <c r="I184" i="116"/>
  <c r="B184" i="116" s="1"/>
  <c r="H184" i="116"/>
  <c r="J184" i="116" s="1"/>
  <c r="A184" i="116"/>
  <c r="I183" i="116"/>
  <c r="B183" i="116" s="1"/>
  <c r="H183" i="116"/>
  <c r="J183" i="116" s="1"/>
  <c r="A183" i="116"/>
  <c r="I182" i="116"/>
  <c r="H182" i="116"/>
  <c r="I160" i="116"/>
  <c r="B160" i="116" s="1"/>
  <c r="H160" i="116"/>
  <c r="J160" i="116" s="1"/>
  <c r="A160" i="116"/>
  <c r="A163" i="116"/>
  <c r="I162" i="116"/>
  <c r="B162" i="116" s="1"/>
  <c r="H162" i="116"/>
  <c r="J162" i="116" s="1"/>
  <c r="A162" i="116"/>
  <c r="I157" i="116"/>
  <c r="H157" i="116"/>
  <c r="J157" i="116" s="1"/>
  <c r="A157" i="116"/>
  <c r="I156" i="116"/>
  <c r="H156" i="116"/>
  <c r="J156" i="116" s="1"/>
  <c r="A156" i="116"/>
  <c r="I152" i="116"/>
  <c r="B152" i="116" s="1"/>
  <c r="H152" i="116"/>
  <c r="J152" i="116" s="1"/>
  <c r="A152" i="116"/>
  <c r="I153" i="116"/>
  <c r="H153" i="116"/>
  <c r="J153" i="116" s="1"/>
  <c r="A153" i="116"/>
  <c r="I144" i="116"/>
  <c r="H144" i="116"/>
  <c r="A144" i="116"/>
  <c r="I135" i="116"/>
  <c r="B135" i="116" s="1"/>
  <c r="H135" i="116"/>
  <c r="J135" i="116" s="1"/>
  <c r="A135" i="116"/>
  <c r="I134" i="116"/>
  <c r="B134" i="116" s="1"/>
  <c r="H134" i="116"/>
  <c r="J134" i="116" s="1"/>
  <c r="A134" i="116"/>
  <c r="I147" i="116"/>
  <c r="H147" i="116"/>
  <c r="J147" i="116" s="1"/>
  <c r="A147" i="116"/>
  <c r="B146" i="116"/>
  <c r="A146" i="116"/>
  <c r="B136" i="116"/>
  <c r="A136" i="116"/>
  <c r="I148" i="116"/>
  <c r="H148" i="116"/>
  <c r="J148" i="116" s="1"/>
  <c r="A148" i="116"/>
  <c r="I145" i="116"/>
  <c r="H145" i="116"/>
  <c r="J145" i="116" s="1"/>
  <c r="A145" i="116"/>
  <c r="I141" i="116"/>
  <c r="B141" i="116" s="1"/>
  <c r="H141" i="116"/>
  <c r="J141" i="116" s="1"/>
  <c r="A141" i="116"/>
  <c r="I138" i="116"/>
  <c r="B138" i="116" s="1"/>
  <c r="H138" i="116"/>
  <c r="J138" i="116" s="1"/>
  <c r="A138" i="116"/>
  <c r="J133" i="116"/>
  <c r="I132" i="116"/>
  <c r="H132" i="116"/>
  <c r="J132" i="116" s="1"/>
  <c r="I131" i="116"/>
  <c r="B131" i="116" s="1"/>
  <c r="H131" i="116"/>
  <c r="J131" i="116" s="1"/>
  <c r="A131" i="116"/>
  <c r="J130" i="116"/>
  <c r="B129" i="116"/>
  <c r="A129" i="116"/>
  <c r="B128" i="116"/>
  <c r="A128" i="116"/>
  <c r="B127" i="116"/>
  <c r="A127" i="116"/>
  <c r="B123" i="116"/>
  <c r="A123" i="116"/>
  <c r="I116" i="116"/>
  <c r="B116" i="116" s="1"/>
  <c r="H116" i="116"/>
  <c r="J116" i="116" s="1"/>
  <c r="A116" i="116"/>
  <c r="I118" i="116"/>
  <c r="B118" i="116" s="1"/>
  <c r="H118" i="116"/>
  <c r="J118" i="116" s="1"/>
  <c r="A118" i="116"/>
  <c r="I117" i="116"/>
  <c r="B117" i="116" s="1"/>
  <c r="H117" i="116"/>
  <c r="J117" i="116" s="1"/>
  <c r="A117" i="116"/>
  <c r="E54" i="116"/>
  <c r="E46" i="116"/>
  <c r="E33" i="116"/>
  <c r="E28" i="116"/>
  <c r="E27" i="116"/>
  <c r="E24" i="116"/>
  <c r="E12" i="116" l="1"/>
  <c r="E203" i="116"/>
  <c r="B153" i="116"/>
  <c r="B145" i="116"/>
  <c r="B148" i="116"/>
  <c r="E301" i="116"/>
  <c r="F54" i="117"/>
  <c r="F32" i="117"/>
  <c r="F45" i="117"/>
  <c r="F23" i="117"/>
  <c r="G351" i="116"/>
  <c r="B324" i="116"/>
  <c r="B323" i="116"/>
  <c r="B286" i="116"/>
  <c r="B285" i="116"/>
  <c r="B288" i="116"/>
  <c r="B259" i="116"/>
  <c r="B251" i="116"/>
  <c r="B244" i="116"/>
  <c r="B235" i="116"/>
  <c r="B234" i="116"/>
  <c r="B215" i="116"/>
  <c r="B221" i="116"/>
  <c r="B220" i="116"/>
  <c r="B219" i="116"/>
  <c r="B214" i="116"/>
  <c r="B213" i="116"/>
  <c r="B208" i="116"/>
  <c r="B218" i="116"/>
  <c r="B217" i="116"/>
  <c r="B211" i="116"/>
  <c r="B212" i="116"/>
  <c r="B202" i="116"/>
  <c r="B163" i="116"/>
  <c r="B157" i="116"/>
  <c r="B156" i="116"/>
  <c r="B147" i="116"/>
  <c r="B144" i="116"/>
  <c r="G353" i="116"/>
  <c r="B227" i="116"/>
  <c r="B261" i="116"/>
  <c r="B295" i="116"/>
  <c r="J144" i="116"/>
  <c r="B228" i="116"/>
  <c r="B260" i="116"/>
  <c r="J295" i="116"/>
  <c r="B245" i="116"/>
  <c r="J228" i="116"/>
  <c r="B232" i="116"/>
  <c r="B246" i="116"/>
  <c r="E325" i="116" l="1"/>
  <c r="J8" i="117" l="1"/>
  <c r="M340" i="88"/>
  <c r="P340" i="88"/>
  <c r="J340" i="88"/>
  <c r="Z339" i="88" l="1"/>
  <c r="Z338" i="88"/>
  <c r="M339" i="88"/>
  <c r="M338" i="88"/>
  <c r="J339" i="88"/>
  <c r="J338" i="88"/>
  <c r="Z337" i="88"/>
  <c r="Z336" i="88"/>
  <c r="J337" i="88"/>
  <c r="J336" i="88"/>
  <c r="M337" i="88"/>
  <c r="M336" i="88"/>
  <c r="Z335" i="88"/>
  <c r="Z334" i="88"/>
  <c r="J335" i="88"/>
  <c r="J334" i="88"/>
  <c r="M335" i="88"/>
  <c r="M334" i="88"/>
  <c r="Z333" i="88"/>
  <c r="Z332" i="88"/>
  <c r="M333" i="88"/>
  <c r="M332" i="88"/>
  <c r="J333" i="88"/>
  <c r="J332" i="88"/>
  <c r="Z328" i="88"/>
  <c r="R331" i="88"/>
  <c r="Q331" i="88"/>
  <c r="M331" i="88"/>
  <c r="J331" i="88"/>
  <c r="R330" i="88"/>
  <c r="Q330" i="88"/>
  <c r="M330" i="88"/>
  <c r="J330" i="88"/>
  <c r="R329" i="88"/>
  <c r="Q329" i="88"/>
  <c r="M329" i="88"/>
  <c r="J329" i="88"/>
  <c r="R328" i="88"/>
  <c r="Q328" i="88"/>
  <c r="M328" i="88"/>
  <c r="J328" i="88"/>
  <c r="AA328" i="88" l="1"/>
  <c r="F29" i="117" l="1"/>
  <c r="F51" i="117"/>
  <c r="F26" i="117" l="1"/>
  <c r="F48" i="117"/>
  <c r="M81" i="88"/>
  <c r="J325" i="88" l="1"/>
  <c r="J324" i="88"/>
  <c r="L326" i="88" l="1"/>
  <c r="R326" i="88" s="1"/>
  <c r="L327" i="88"/>
  <c r="M327" i="88" s="1"/>
  <c r="Z327" i="88"/>
  <c r="Q327" i="88"/>
  <c r="P327" i="88"/>
  <c r="J327" i="88"/>
  <c r="Z326" i="88"/>
  <c r="Q326" i="88"/>
  <c r="P326" i="88"/>
  <c r="J326" i="88"/>
  <c r="AA326" i="88" l="1"/>
  <c r="AA327" i="88"/>
  <c r="M326" i="88"/>
  <c r="S326" i="88"/>
  <c r="T326" i="88"/>
  <c r="R327" i="88"/>
  <c r="T327" i="88" s="1"/>
  <c r="S327" i="88" l="1"/>
  <c r="Z325" i="88" l="1"/>
  <c r="Z324" i="88"/>
  <c r="M325" i="88"/>
  <c r="M324" i="88"/>
  <c r="J323" i="88" l="1"/>
  <c r="J322" i="88"/>
  <c r="J321" i="88"/>
  <c r="J320" i="88"/>
  <c r="J319" i="88"/>
  <c r="J318" i="88"/>
  <c r="Z323" i="88" l="1"/>
  <c r="Z322" i="88"/>
  <c r="M323" i="88"/>
  <c r="M322" i="88"/>
  <c r="Z321" i="88"/>
  <c r="Z320" i="88"/>
  <c r="Z317" i="88"/>
  <c r="Z316" i="88"/>
  <c r="M319" i="88"/>
  <c r="M318" i="88"/>
  <c r="M317" i="88" l="1"/>
  <c r="M316" i="88"/>
  <c r="J317" i="88"/>
  <c r="J316" i="88"/>
  <c r="Z315" i="88"/>
  <c r="Q315" i="88"/>
  <c r="R315" i="88"/>
  <c r="M315" i="88"/>
  <c r="Q314" i="88"/>
  <c r="R314" i="88"/>
  <c r="M314" i="88"/>
  <c r="J315" i="88"/>
  <c r="J314" i="88"/>
  <c r="AA315" i="88" l="1"/>
  <c r="P315" i="88"/>
  <c r="Z314" i="88"/>
  <c r="AA314" i="88" s="1"/>
  <c r="S315" i="88"/>
  <c r="T315" i="88"/>
  <c r="T314" i="88"/>
  <c r="S314" i="88"/>
  <c r="P314" i="88"/>
  <c r="J313" i="88" l="1"/>
  <c r="J312" i="88"/>
  <c r="Z313" i="88"/>
  <c r="M313" i="88"/>
  <c r="Z312" i="88"/>
  <c r="M312" i="88"/>
  <c r="J311" i="88" l="1"/>
  <c r="J310" i="88"/>
  <c r="J309" i="88"/>
  <c r="J308" i="88"/>
  <c r="J307" i="88"/>
  <c r="J306" i="88"/>
  <c r="Q311" i="88"/>
  <c r="R311" i="88"/>
  <c r="M311" i="88"/>
  <c r="Q310" i="88"/>
  <c r="R310" i="88"/>
  <c r="M310" i="88"/>
  <c r="Q309" i="88"/>
  <c r="Z309" i="88"/>
  <c r="M309" i="88"/>
  <c r="Q308" i="88"/>
  <c r="R308" i="88"/>
  <c r="M308" i="88"/>
  <c r="Q307" i="88"/>
  <c r="R307" i="88"/>
  <c r="M307" i="88"/>
  <c r="Q306" i="88"/>
  <c r="R306" i="88"/>
  <c r="M306" i="88"/>
  <c r="AA309" i="88" l="1"/>
  <c r="F25" i="117"/>
  <c r="F36" i="117" s="1"/>
  <c r="F47" i="117"/>
  <c r="F58" i="117" s="1"/>
  <c r="R309" i="88"/>
  <c r="S309" i="88" s="1"/>
  <c r="Z306" i="88"/>
  <c r="AA306" i="88" s="1"/>
  <c r="Z307" i="88"/>
  <c r="AA307" i="88" s="1"/>
  <c r="Z308" i="88"/>
  <c r="AA308" i="88" s="1"/>
  <c r="Z310" i="88"/>
  <c r="AA310" i="88" s="1"/>
  <c r="Z311" i="88"/>
  <c r="AA311" i="88" s="1"/>
  <c r="S310" i="88"/>
  <c r="T310" i="88"/>
  <c r="S306" i="88"/>
  <c r="T306" i="88"/>
  <c r="T308" i="88"/>
  <c r="S308" i="88"/>
  <c r="S311" i="88"/>
  <c r="S307" i="88"/>
  <c r="T307" i="88"/>
  <c r="T311" i="88"/>
  <c r="T309" i="88" l="1"/>
  <c r="N279" i="88" l="1"/>
  <c r="N278" i="88"/>
  <c r="N277" i="88"/>
  <c r="N243" i="88"/>
  <c r="P243" i="88" s="1"/>
  <c r="N242" i="88"/>
  <c r="P242" i="88" s="1"/>
  <c r="N241" i="88"/>
  <c r="P241" i="88" s="1"/>
  <c r="N240" i="88"/>
  <c r="P240" i="88" s="1"/>
  <c r="N239" i="88"/>
  <c r="P239" i="88" s="1"/>
  <c r="N200" i="88"/>
  <c r="N199" i="88"/>
  <c r="M305" i="88" l="1"/>
  <c r="L304" i="88"/>
  <c r="K304" i="88"/>
  <c r="M304" i="88" l="1"/>
  <c r="J303" i="88"/>
  <c r="J302" i="88"/>
  <c r="J301" i="88"/>
  <c r="J300" i="88"/>
  <c r="J299" i="88"/>
  <c r="J298" i="88"/>
  <c r="J297" i="88"/>
  <c r="M303" i="88" l="1"/>
  <c r="M302" i="88"/>
  <c r="M301" i="88"/>
  <c r="M300" i="88"/>
  <c r="J305" i="88"/>
  <c r="J304" i="88"/>
  <c r="Z299" i="88" l="1"/>
  <c r="M299" i="88"/>
  <c r="Z298" i="88"/>
  <c r="Z297" i="88"/>
  <c r="M298" i="88"/>
  <c r="M297" i="88"/>
  <c r="Z296" i="88" l="1"/>
  <c r="Z295" i="88"/>
  <c r="Z294" i="88"/>
  <c r="Z293" i="88"/>
  <c r="Z292" i="88"/>
  <c r="Z291" i="88"/>
  <c r="J296" i="88"/>
  <c r="J295" i="88"/>
  <c r="J294" i="88"/>
  <c r="J293" i="88"/>
  <c r="J292" i="88"/>
  <c r="J291" i="88"/>
  <c r="J290" i="88"/>
  <c r="J289" i="88"/>
  <c r="J288" i="88"/>
  <c r="J287" i="88"/>
  <c r="J286" i="88"/>
  <c r="M296" i="88"/>
  <c r="M295" i="88"/>
  <c r="M294" i="88"/>
  <c r="M293" i="88"/>
  <c r="R292" i="88" l="1"/>
  <c r="Q292" i="88"/>
  <c r="AA292" i="88" s="1"/>
  <c r="P292" i="88"/>
  <c r="M292" i="88"/>
  <c r="R291" i="88"/>
  <c r="Q291" i="88"/>
  <c r="AA291" i="88" s="1"/>
  <c r="P291" i="88"/>
  <c r="M291" i="88"/>
  <c r="Z290" i="88"/>
  <c r="R290" i="88"/>
  <c r="Q290" i="88"/>
  <c r="P290" i="88"/>
  <c r="M290" i="88"/>
  <c r="Z289" i="88"/>
  <c r="R289" i="88"/>
  <c r="Q289" i="88"/>
  <c r="P289" i="88"/>
  <c r="M289" i="88"/>
  <c r="Z288" i="88"/>
  <c r="R288" i="88"/>
  <c r="Q288" i="88"/>
  <c r="P288" i="88"/>
  <c r="M288" i="88"/>
  <c r="Z287" i="88"/>
  <c r="R287" i="88"/>
  <c r="Q287" i="88"/>
  <c r="P287" i="88"/>
  <c r="M287" i="88"/>
  <c r="Z286" i="88"/>
  <c r="R286" i="88"/>
  <c r="Q286" i="88"/>
  <c r="P286" i="88"/>
  <c r="M286" i="88"/>
  <c r="AA287" i="88" l="1"/>
  <c r="AA286" i="88"/>
  <c r="AA288" i="88"/>
  <c r="AA289" i="88"/>
  <c r="AA290" i="88"/>
  <c r="T289" i="88"/>
  <c r="S290" i="88"/>
  <c r="T290" i="88"/>
  <c r="T291" i="88"/>
  <c r="S289" i="88"/>
  <c r="T288" i="88"/>
  <c r="S287" i="88"/>
  <c r="S292" i="88"/>
  <c r="T292" i="88"/>
  <c r="S288" i="88"/>
  <c r="S291" i="88"/>
  <c r="T286" i="88"/>
  <c r="T287" i="88"/>
  <c r="S286" i="88"/>
  <c r="Z285" i="88" l="1"/>
  <c r="Z284" i="88"/>
  <c r="J272" i="88"/>
  <c r="J271" i="88"/>
  <c r="M285" i="88"/>
  <c r="M284" i="88"/>
  <c r="J285" i="88"/>
  <c r="J284" i="88"/>
  <c r="Z283" i="88" l="1"/>
  <c r="Z282" i="88"/>
  <c r="Z281" i="88"/>
  <c r="Z280" i="88"/>
  <c r="M283" i="88"/>
  <c r="M282" i="88"/>
  <c r="M281" i="88"/>
  <c r="M280" i="88"/>
  <c r="J283" i="88"/>
  <c r="J282" i="88"/>
  <c r="J281" i="88"/>
  <c r="J280" i="88"/>
  <c r="J279" i="88"/>
  <c r="J278" i="88"/>
  <c r="J277" i="88"/>
  <c r="Z277" i="88" l="1"/>
  <c r="M279" i="88"/>
  <c r="M278" i="88"/>
  <c r="M277" i="88"/>
  <c r="Q276" i="88"/>
  <c r="R276" i="88"/>
  <c r="M276" i="88"/>
  <c r="Q275" i="88"/>
  <c r="R275" i="88"/>
  <c r="M275" i="88"/>
  <c r="R274" i="88"/>
  <c r="Q274" i="88"/>
  <c r="M274" i="88"/>
  <c r="R273" i="88"/>
  <c r="Q273" i="88"/>
  <c r="M273" i="88"/>
  <c r="J276" i="88"/>
  <c r="J275" i="88"/>
  <c r="J274" i="88"/>
  <c r="J273" i="88"/>
  <c r="M272" i="88"/>
  <c r="M271" i="88"/>
  <c r="J270" i="88"/>
  <c r="J269" i="88"/>
  <c r="J268" i="88"/>
  <c r="J267" i="88"/>
  <c r="S273" i="88" l="1"/>
  <c r="T274" i="88"/>
  <c r="T275" i="88"/>
  <c r="S275" i="88"/>
  <c r="T276" i="88"/>
  <c r="S276" i="88"/>
  <c r="T273" i="88"/>
  <c r="S274" i="88"/>
  <c r="M270" i="88" l="1"/>
  <c r="M269" i="88"/>
  <c r="M268" i="88"/>
  <c r="M267" i="88" l="1"/>
  <c r="M266" i="88"/>
  <c r="M265" i="88"/>
  <c r="M264" i="88"/>
  <c r="J266" i="88"/>
  <c r="J265" i="88"/>
  <c r="J264" i="88"/>
  <c r="M263" i="88"/>
  <c r="M262" i="88"/>
  <c r="J263" i="88"/>
  <c r="M261" i="88"/>
  <c r="M260" i="88"/>
  <c r="J262" i="88"/>
  <c r="J261" i="88"/>
  <c r="J260" i="88"/>
  <c r="Z259" i="88"/>
  <c r="J259" i="88"/>
  <c r="M259" i="88"/>
  <c r="J258" i="88" l="1"/>
  <c r="J257" i="88"/>
  <c r="R260" i="88" l="1"/>
  <c r="R261" i="88"/>
  <c r="Q260" i="88"/>
  <c r="Q261" i="88"/>
  <c r="Q262" i="88"/>
  <c r="Q263" i="88"/>
  <c r="O257" i="88" l="1"/>
  <c r="O258" i="88" s="1"/>
  <c r="P256" i="88"/>
  <c r="Z256" i="88"/>
  <c r="M257" i="88" l="1"/>
  <c r="M258" i="88"/>
  <c r="Q256" i="88"/>
  <c r="AA256" i="88" s="1"/>
  <c r="R256" i="88"/>
  <c r="M256" i="88"/>
  <c r="J256" i="88"/>
  <c r="T256" i="88" l="1"/>
  <c r="S256" i="88"/>
  <c r="J255" i="88" l="1"/>
  <c r="J254" i="88"/>
  <c r="Z255" i="88"/>
  <c r="Z254" i="88"/>
  <c r="M255" i="88"/>
  <c r="M254" i="88"/>
  <c r="Z253" i="88" l="1"/>
  <c r="M253" i="88"/>
  <c r="J253" i="88"/>
  <c r="J252" i="88"/>
  <c r="J251" i="88"/>
  <c r="Z249" i="88" l="1"/>
  <c r="Z252" i="88"/>
  <c r="Z251" i="88"/>
  <c r="Z250" i="88"/>
  <c r="M252" i="88"/>
  <c r="M251" i="88"/>
  <c r="J250" i="88"/>
  <c r="J249" i="88"/>
  <c r="J248" i="88"/>
  <c r="J247" i="88"/>
  <c r="J246" i="88"/>
  <c r="M250" i="88"/>
  <c r="M249" i="88"/>
  <c r="Z248" i="88" l="1"/>
  <c r="R248" i="88"/>
  <c r="Q248" i="88"/>
  <c r="M248" i="88"/>
  <c r="AA248" i="88" l="1"/>
  <c r="S248" i="88"/>
  <c r="T248" i="88"/>
  <c r="Z247" i="88" l="1"/>
  <c r="Z246" i="88"/>
  <c r="Z245" i="88"/>
  <c r="Z244" i="88"/>
  <c r="M247" i="88"/>
  <c r="M246" i="88"/>
  <c r="M245" i="88"/>
  <c r="M244" i="88"/>
  <c r="J240" i="88"/>
  <c r="J239" i="88"/>
  <c r="J238" i="88"/>
  <c r="J245" i="88"/>
  <c r="J244" i="88"/>
  <c r="J243" i="88"/>
  <c r="J237" i="88" l="1"/>
  <c r="J236" i="88"/>
  <c r="J242" i="88"/>
  <c r="R243" i="88"/>
  <c r="Q243" i="88"/>
  <c r="M243" i="88"/>
  <c r="R242" i="88"/>
  <c r="Q242" i="88"/>
  <c r="M242" i="88"/>
  <c r="R241" i="88"/>
  <c r="Q241" i="88"/>
  <c r="M241" i="88"/>
  <c r="R240" i="88"/>
  <c r="Q240" i="88"/>
  <c r="M240" i="88"/>
  <c r="R239" i="88"/>
  <c r="Q239" i="88"/>
  <c r="M239" i="88"/>
  <c r="S243" i="88" l="1"/>
  <c r="T243" i="88"/>
  <c r="T242" i="88"/>
  <c r="T241" i="88"/>
  <c r="T239" i="88"/>
  <c r="T240" i="88"/>
  <c r="S242" i="88"/>
  <c r="S241" i="88"/>
  <c r="S239" i="88"/>
  <c r="S240" i="88"/>
  <c r="M238" i="88" l="1"/>
  <c r="M237" i="88"/>
  <c r="Z236" i="88"/>
  <c r="Z235" i="88"/>
  <c r="R236" i="88"/>
  <c r="Q236" i="88"/>
  <c r="M236" i="88"/>
  <c r="R235" i="88"/>
  <c r="Q235" i="88"/>
  <c r="M235" i="88"/>
  <c r="J241" i="88"/>
  <c r="J235" i="88"/>
  <c r="Z234" i="88"/>
  <c r="Z233" i="88"/>
  <c r="R234" i="88"/>
  <c r="Q234" i="88"/>
  <c r="M234" i="88"/>
  <c r="R233" i="88"/>
  <c r="Q233" i="88"/>
  <c r="M233" i="88"/>
  <c r="AA236" i="88" l="1"/>
  <c r="AA235" i="88"/>
  <c r="AA233" i="88"/>
  <c r="AA234" i="88"/>
  <c r="T233" i="88"/>
  <c r="T236" i="88"/>
  <c r="T235" i="88"/>
  <c r="S234" i="88"/>
  <c r="T234" i="88"/>
  <c r="S233" i="88"/>
  <c r="S236" i="88"/>
  <c r="S235" i="88"/>
  <c r="Z232" i="88" l="1"/>
  <c r="R232" i="88"/>
  <c r="M232" i="88"/>
  <c r="J234" i="88"/>
  <c r="J233" i="88"/>
  <c r="J232" i="88"/>
  <c r="J231" i="88"/>
  <c r="J230" i="88"/>
  <c r="Z231" i="88" l="1"/>
  <c r="Z230" i="88"/>
  <c r="M231" i="88"/>
  <c r="M230" i="88"/>
  <c r="Z229" i="88" l="1"/>
  <c r="Z228" i="88"/>
  <c r="Q229" i="88"/>
  <c r="L229" i="88"/>
  <c r="M229" i="88" s="1"/>
  <c r="R228" i="88"/>
  <c r="Q228" i="88"/>
  <c r="M228" i="88"/>
  <c r="J229" i="88"/>
  <c r="J228" i="88"/>
  <c r="AA228" i="88" l="1"/>
  <c r="AA229" i="88"/>
  <c r="R229" i="88"/>
  <c r="S229" i="88" s="1"/>
  <c r="S228" i="88"/>
  <c r="T228" i="88"/>
  <c r="T229" i="88" l="1"/>
  <c r="Z227" i="88" l="1"/>
  <c r="Z226" i="88"/>
  <c r="M227" i="88"/>
  <c r="M226" i="88"/>
  <c r="J227" i="88"/>
  <c r="J226" i="88"/>
  <c r="Z225" i="88" l="1"/>
  <c r="M225" i="88"/>
  <c r="J225" i="88"/>
  <c r="J224" i="88" l="1"/>
  <c r="Z224" i="88" l="1"/>
  <c r="M224" i="88"/>
  <c r="Z223" i="88" l="1"/>
  <c r="M223" i="88"/>
  <c r="J223" i="88"/>
  <c r="M222" i="88" l="1"/>
  <c r="M221" i="88"/>
  <c r="M220" i="88"/>
  <c r="M219" i="88"/>
  <c r="M218" i="88"/>
  <c r="J222" i="88"/>
  <c r="J221" i="88"/>
  <c r="J220" i="88"/>
  <c r="J219" i="88"/>
  <c r="J218" i="88"/>
  <c r="J217" i="88"/>
  <c r="J216" i="88"/>
  <c r="J215" i="88"/>
  <c r="J214" i="88"/>
  <c r="J213" i="88"/>
  <c r="J212" i="88"/>
  <c r="J211" i="88"/>
  <c r="J210" i="88"/>
  <c r="Z217" i="88" l="1"/>
  <c r="Z216" i="88"/>
  <c r="M217" i="88"/>
  <c r="M216" i="88"/>
  <c r="Z215" i="88" l="1"/>
  <c r="Z214" i="88"/>
  <c r="M215" i="88"/>
  <c r="M214" i="88"/>
  <c r="Z213" i="88" l="1"/>
  <c r="Z212" i="88"/>
  <c r="Z211" i="88"/>
  <c r="Z210" i="88"/>
  <c r="M213" i="88"/>
  <c r="M212" i="88"/>
  <c r="M211" i="88"/>
  <c r="M210" i="88"/>
  <c r="J209" i="88"/>
  <c r="Z209" i="88" l="1"/>
  <c r="Z208" i="88"/>
  <c r="M208" i="88"/>
  <c r="M209" i="88"/>
  <c r="J208" i="88" l="1"/>
  <c r="J207" i="88"/>
  <c r="J206" i="88"/>
  <c r="J205" i="88"/>
  <c r="J204" i="88"/>
  <c r="J203" i="88"/>
  <c r="J202" i="88"/>
  <c r="J201" i="88"/>
  <c r="J200" i="88"/>
  <c r="J199" i="88"/>
  <c r="J198" i="88"/>
  <c r="J197" i="88"/>
  <c r="J196" i="88"/>
  <c r="Z207" i="88"/>
  <c r="Z206" i="88"/>
  <c r="Z205" i="88"/>
  <c r="Z204" i="88"/>
  <c r="Z203" i="88"/>
  <c r="Z202" i="88"/>
  <c r="M207" i="88"/>
  <c r="M206" i="88"/>
  <c r="M205" i="88"/>
  <c r="M204" i="88"/>
  <c r="M203" i="88"/>
  <c r="M202" i="88"/>
  <c r="L201" i="88"/>
  <c r="K201" i="88"/>
  <c r="Z201" i="88" s="1"/>
  <c r="M201" i="88" l="1"/>
  <c r="Z200" i="88" l="1"/>
  <c r="Z199" i="88"/>
  <c r="M200" i="88"/>
  <c r="M199" i="88"/>
  <c r="Z198" i="88"/>
  <c r="Z197" i="88"/>
  <c r="M198" i="88"/>
  <c r="M197" i="88"/>
  <c r="J195" i="88" l="1"/>
  <c r="J194" i="88"/>
  <c r="Z196" i="88" l="1"/>
  <c r="Z195" i="88"/>
  <c r="M196" i="88"/>
  <c r="M195" i="88"/>
  <c r="M194" i="88"/>
  <c r="Z193" i="88" l="1"/>
  <c r="Z192" i="88"/>
  <c r="M193" i="88"/>
  <c r="M192" i="88"/>
  <c r="J193" i="88"/>
  <c r="J192" i="88"/>
  <c r="Z191" i="88" l="1"/>
  <c r="Z190" i="88"/>
  <c r="M191" i="88"/>
  <c r="M190" i="88"/>
  <c r="J191" i="88"/>
  <c r="J190" i="88"/>
  <c r="Z189" i="88"/>
  <c r="Z188" i="88"/>
  <c r="M189" i="88"/>
  <c r="M188" i="88"/>
  <c r="J189" i="88"/>
  <c r="J188" i="88"/>
  <c r="Z187" i="88"/>
  <c r="Z186" i="88"/>
  <c r="M187" i="88"/>
  <c r="M186" i="88"/>
  <c r="J187" i="88"/>
  <c r="J186" i="88"/>
  <c r="Z185" i="88" l="1"/>
  <c r="R185" i="88"/>
  <c r="Q185" i="88"/>
  <c r="M185" i="88"/>
  <c r="J185" i="88"/>
  <c r="AA185" i="88" l="1"/>
  <c r="Z184" i="88" l="1"/>
  <c r="M184" i="88"/>
  <c r="J184" i="88"/>
  <c r="Z183" i="88" l="1"/>
  <c r="Z182" i="88"/>
  <c r="J183" i="88"/>
  <c r="J182" i="88"/>
  <c r="J181" i="88"/>
  <c r="L183" i="88"/>
  <c r="M183" i="88" s="1"/>
  <c r="L182" i="88"/>
  <c r="M182" i="88" s="1"/>
  <c r="Z181" i="88" l="1"/>
  <c r="Z180" i="88"/>
  <c r="M181" i="88" l="1"/>
  <c r="M180" i="88"/>
  <c r="J180" i="88"/>
  <c r="J179" i="88" l="1"/>
  <c r="Z179" i="88"/>
  <c r="R179" i="88"/>
  <c r="Q179" i="88"/>
  <c r="P179" i="88"/>
  <c r="M179" i="88"/>
  <c r="Z178" i="88"/>
  <c r="J178" i="88"/>
  <c r="J177" i="88"/>
  <c r="M178" i="88"/>
  <c r="AA179" i="88" l="1"/>
  <c r="T179" i="88"/>
  <c r="S179" i="88"/>
  <c r="Z177" i="88" l="1"/>
  <c r="M177" i="88"/>
  <c r="Z176" i="88" l="1"/>
  <c r="J176" i="88"/>
  <c r="J175" i="88"/>
  <c r="J174" i="88"/>
  <c r="J173" i="88"/>
  <c r="J172" i="88"/>
  <c r="M176" i="88"/>
  <c r="R175" i="88" l="1"/>
  <c r="P175" i="88"/>
  <c r="K175" i="88"/>
  <c r="Z175" i="88" s="1"/>
  <c r="K174" i="88"/>
  <c r="M174" i="88" s="1"/>
  <c r="M175" i="88" l="1"/>
  <c r="Q175" i="88"/>
  <c r="AA175" i="88" s="1"/>
  <c r="Z174" i="88"/>
  <c r="S175" i="88" l="1"/>
  <c r="T175" i="88"/>
  <c r="Z173" i="88" l="1"/>
  <c r="R173" i="88"/>
  <c r="Q173" i="88"/>
  <c r="P173" i="88"/>
  <c r="M173" i="88"/>
  <c r="Z172" i="88"/>
  <c r="M171" i="88"/>
  <c r="M172" i="88"/>
  <c r="AA173" i="88" l="1"/>
  <c r="T173" i="88"/>
  <c r="S173" i="88"/>
  <c r="Z171" i="88" l="1"/>
  <c r="J171" i="88" l="1"/>
  <c r="Z170" i="88"/>
  <c r="Z169" i="88"/>
  <c r="Z168" i="88"/>
  <c r="R171" i="88"/>
  <c r="Q171" i="88"/>
  <c r="AA171" i="88" s="1"/>
  <c r="P171" i="88"/>
  <c r="R170" i="88"/>
  <c r="Q170" i="88"/>
  <c r="P170" i="88"/>
  <c r="M170" i="88"/>
  <c r="J170" i="88"/>
  <c r="J169" i="88"/>
  <c r="J168" i="88"/>
  <c r="J167" i="88"/>
  <c r="J166" i="88"/>
  <c r="J165" i="88"/>
  <c r="J164" i="88"/>
  <c r="M169" i="88"/>
  <c r="M168" i="88"/>
  <c r="AA170" i="88" l="1"/>
  <c r="S171" i="88"/>
  <c r="S170" i="88"/>
  <c r="T171" i="88"/>
  <c r="T170" i="88"/>
  <c r="K167" i="88" l="1"/>
  <c r="Z167" i="88" s="1"/>
  <c r="Z166" i="88"/>
  <c r="M166" i="88"/>
  <c r="Z165" i="88"/>
  <c r="Z164" i="88"/>
  <c r="M165" i="88"/>
  <c r="M164" i="88"/>
  <c r="M167" i="88" l="1"/>
  <c r="Z163" i="88"/>
  <c r="M163" i="88"/>
  <c r="J163" i="88"/>
  <c r="Z162" i="88" l="1"/>
  <c r="M162" i="88"/>
  <c r="J162" i="88"/>
  <c r="Z161" i="88"/>
  <c r="M161" i="88"/>
  <c r="J161" i="88"/>
  <c r="J160" i="88"/>
  <c r="J159" i="88"/>
  <c r="Q160" i="88" l="1"/>
  <c r="R160" i="88"/>
  <c r="M160" i="88"/>
  <c r="Z160" i="88" l="1"/>
  <c r="AA160" i="88" s="1"/>
  <c r="T160" i="88"/>
  <c r="S160" i="88"/>
  <c r="P160" i="88"/>
  <c r="Z159" i="88" l="1"/>
  <c r="M159" i="88"/>
  <c r="E60" i="116" l="1"/>
  <c r="M158" i="88"/>
  <c r="J158" i="88"/>
  <c r="J157" i="88"/>
  <c r="J156" i="88"/>
  <c r="J155" i="88"/>
  <c r="J154" i="88"/>
  <c r="F71" i="117" l="1"/>
  <c r="G60" i="116"/>
  <c r="G110" i="116" s="1"/>
  <c r="E59" i="116"/>
  <c r="Z157" i="88" l="1"/>
  <c r="M157" i="88"/>
  <c r="F70" i="117" l="1"/>
  <c r="E4" i="116"/>
  <c r="E110" i="116" l="1"/>
  <c r="E327" i="116" s="1"/>
  <c r="G84" i="117"/>
  <c r="F69" i="117"/>
  <c r="F112" i="117" s="1"/>
  <c r="F114" i="117" s="1"/>
  <c r="F140" i="117" s="1"/>
  <c r="G72" i="117"/>
  <c r="G86" i="117" s="1"/>
  <c r="E328" i="116" l="1"/>
  <c r="I70" i="117"/>
  <c r="I69" i="117" s="1"/>
  <c r="I112" i="117" s="1"/>
  <c r="I115" i="117" s="1"/>
  <c r="I141" i="117" s="1"/>
  <c r="M70" i="117" s="1"/>
  <c r="M69" i="117" s="1"/>
  <c r="M109" i="117" s="1"/>
  <c r="M112" i="117" s="1"/>
  <c r="M138" i="117" s="1"/>
  <c r="Z156" i="88"/>
  <c r="M156" i="88"/>
  <c r="K155" i="88" l="1"/>
  <c r="M155" i="88" l="1"/>
  <c r="Z155" i="88"/>
  <c r="Z154" i="88" l="1"/>
  <c r="M154" i="88"/>
  <c r="J153" i="88" l="1"/>
  <c r="Z153" i="88"/>
  <c r="Z152" i="88"/>
  <c r="M153" i="88"/>
  <c r="Z151" i="88" l="1"/>
  <c r="M151" i="88"/>
  <c r="M152" i="88" l="1"/>
  <c r="J152" i="88"/>
  <c r="J151" i="88"/>
  <c r="Z150" i="88" l="1"/>
  <c r="M150" i="88"/>
  <c r="J150" i="88"/>
  <c r="J149" i="88" l="1"/>
  <c r="Z149" i="88"/>
  <c r="Z148" i="88"/>
  <c r="M149" i="88"/>
  <c r="M148" i="88"/>
  <c r="J148" i="88"/>
  <c r="J147" i="88" l="1"/>
  <c r="J146" i="88"/>
  <c r="M147" i="88"/>
  <c r="M146" i="88"/>
  <c r="Z145" i="88" l="1"/>
  <c r="R145" i="88"/>
  <c r="Q145" i="88"/>
  <c r="J144" i="88"/>
  <c r="M145" i="88"/>
  <c r="J145" i="88"/>
  <c r="Z144" i="88"/>
  <c r="M144" i="88"/>
  <c r="AA145" i="88" l="1"/>
  <c r="T145" i="88"/>
  <c r="S145" i="88"/>
  <c r="Z143" i="88"/>
  <c r="M143" i="88"/>
  <c r="J143" i="88"/>
  <c r="J142" i="88" l="1"/>
  <c r="J141" i="88"/>
  <c r="Z142" i="88"/>
  <c r="Z141" i="88"/>
  <c r="M142" i="88"/>
  <c r="M141" i="88"/>
  <c r="M140" i="88" l="1"/>
  <c r="J140" i="88"/>
  <c r="J139" i="88"/>
  <c r="Z139" i="88" l="1"/>
  <c r="M139" i="88"/>
  <c r="Z138" i="88" l="1"/>
  <c r="M138" i="88"/>
  <c r="J138" i="88"/>
  <c r="Z137" i="88"/>
  <c r="M137" i="88"/>
  <c r="J137" i="88"/>
  <c r="J136" i="88"/>
  <c r="Z136" i="88"/>
  <c r="M136" i="88"/>
  <c r="Z135" i="88"/>
  <c r="M135" i="88"/>
  <c r="J135" i="88"/>
  <c r="Z134" i="88"/>
  <c r="Z133" i="88"/>
  <c r="M134" i="88"/>
  <c r="M133" i="88"/>
  <c r="J134" i="88"/>
  <c r="J133" i="88"/>
  <c r="Z132" i="88" l="1"/>
  <c r="Z131" i="88"/>
  <c r="M132" i="88"/>
  <c r="M131" i="88"/>
  <c r="J132" i="88"/>
  <c r="J131" i="88"/>
  <c r="Z130" i="88" l="1"/>
  <c r="Z129" i="88"/>
  <c r="Z128" i="88"/>
  <c r="M130" i="88"/>
  <c r="M129" i="88"/>
  <c r="M128" i="88"/>
  <c r="J130" i="88"/>
  <c r="J129" i="88"/>
  <c r="J128" i="88"/>
  <c r="J127" i="88"/>
  <c r="J126" i="88"/>
  <c r="Z127" i="88"/>
  <c r="Z126" i="88"/>
  <c r="M127" i="88"/>
  <c r="M126" i="88"/>
  <c r="Z125" i="88"/>
  <c r="R125" i="88"/>
  <c r="Q125" i="88"/>
  <c r="M125" i="88"/>
  <c r="J125" i="88"/>
  <c r="AA125" i="88" l="1"/>
  <c r="T125" i="88"/>
  <c r="S125" i="88"/>
  <c r="J124" i="88" l="1"/>
  <c r="J123" i="88"/>
  <c r="J122" i="88"/>
  <c r="J121" i="88"/>
  <c r="J120" i="88"/>
  <c r="J119" i="88"/>
  <c r="M124" i="88"/>
  <c r="P123" i="88" l="1"/>
  <c r="P122" i="88"/>
  <c r="P121" i="88"/>
  <c r="M123" i="88"/>
  <c r="M122" i="88"/>
  <c r="M121" i="88"/>
  <c r="Z120" i="88"/>
  <c r="M120" i="88"/>
  <c r="P120" i="88" l="1"/>
  <c r="M119" i="88" l="1"/>
  <c r="Q119" i="88"/>
  <c r="Z119" i="88"/>
  <c r="M118" i="88"/>
  <c r="J118" i="88"/>
  <c r="AA119" i="88" l="1"/>
  <c r="R119" i="88"/>
  <c r="Q117" i="88"/>
  <c r="R117" i="88"/>
  <c r="M117" i="88"/>
  <c r="J117" i="88"/>
  <c r="J116" i="88"/>
  <c r="J115" i="88"/>
  <c r="T117" i="88" l="1"/>
  <c r="S119" i="88"/>
  <c r="T119" i="88"/>
  <c r="P117" i="88"/>
  <c r="Z117" i="88"/>
  <c r="AA117" i="88" s="1"/>
  <c r="S117" i="88"/>
  <c r="Z116" i="88" l="1"/>
  <c r="Z115" i="88"/>
  <c r="M115" i="88"/>
  <c r="M116" i="88"/>
  <c r="Z114" i="88" l="1"/>
  <c r="M114" i="88"/>
  <c r="H10" i="106" l="1"/>
  <c r="Q113" i="88" l="1"/>
  <c r="Q112" i="88"/>
  <c r="R112" i="88"/>
  <c r="M113" i="88"/>
  <c r="M112" i="88"/>
  <c r="J114" i="88"/>
  <c r="J113" i="88"/>
  <c r="J112" i="88"/>
  <c r="T112" i="88" l="1"/>
  <c r="S112" i="88"/>
  <c r="R113" i="88"/>
  <c r="Z112" i="88"/>
  <c r="AA112" i="88" s="1"/>
  <c r="Z113" i="88"/>
  <c r="AA113" i="88" s="1"/>
  <c r="P113" i="88"/>
  <c r="P112" i="88"/>
  <c r="S113" i="88" l="1"/>
  <c r="T113" i="88"/>
  <c r="Z111" i="88" l="1"/>
  <c r="Z110" i="88"/>
  <c r="M111" i="88"/>
  <c r="J111" i="88"/>
  <c r="J110" i="88"/>
  <c r="J109" i="88"/>
  <c r="M110" i="88"/>
  <c r="Z109" i="88" l="1"/>
  <c r="Q109" i="88"/>
  <c r="R109" i="88"/>
  <c r="M109" i="88"/>
  <c r="AA109" i="88" l="1"/>
  <c r="T109" i="88"/>
  <c r="S109" i="88"/>
  <c r="P109" i="88"/>
  <c r="M28" i="92"/>
  <c r="M30" i="92" s="1"/>
  <c r="T20" i="92"/>
  <c r="Q20" i="92"/>
  <c r="P20" i="92"/>
  <c r="G20" i="92"/>
  <c r="H20" i="92" s="1"/>
  <c r="T19" i="92"/>
  <c r="Q19" i="92"/>
  <c r="P19" i="92"/>
  <c r="G19" i="92"/>
  <c r="H19" i="92" s="1"/>
  <c r="T18" i="92"/>
  <c r="P18" i="92"/>
  <c r="J18" i="92"/>
  <c r="Q18" i="92" s="1"/>
  <c r="G18" i="92"/>
  <c r="H18" i="92" s="1"/>
  <c r="T17" i="92"/>
  <c r="P17" i="92"/>
  <c r="J17" i="92"/>
  <c r="G17" i="92"/>
  <c r="H17" i="92" s="1"/>
  <c r="T16" i="92"/>
  <c r="Q16" i="92"/>
  <c r="P16" i="92"/>
  <c r="G16" i="92"/>
  <c r="H16" i="92" s="1"/>
  <c r="T15" i="92"/>
  <c r="Q15" i="92"/>
  <c r="P15" i="92"/>
  <c r="G15" i="92"/>
  <c r="H15" i="92" s="1"/>
  <c r="T14" i="92"/>
  <c r="Q14" i="92"/>
  <c r="P14" i="92"/>
  <c r="G14" i="92"/>
  <c r="H14" i="92" s="1"/>
  <c r="T13" i="92"/>
  <c r="Q13" i="92"/>
  <c r="P13" i="92"/>
  <c r="G13" i="92"/>
  <c r="H13" i="92" s="1"/>
  <c r="T12" i="92"/>
  <c r="Q12" i="92"/>
  <c r="P12" i="92"/>
  <c r="G12" i="92"/>
  <c r="H12" i="92" s="1"/>
  <c r="T11" i="92"/>
  <c r="Q11" i="92"/>
  <c r="P11" i="92"/>
  <c r="G11" i="92"/>
  <c r="H11" i="92" s="1"/>
  <c r="T10" i="92"/>
  <c r="Q10" i="92"/>
  <c r="P10" i="92"/>
  <c r="G10" i="92"/>
  <c r="H10" i="92" s="1"/>
  <c r="T9" i="92"/>
  <c r="Q9" i="92"/>
  <c r="P9" i="92"/>
  <c r="G9" i="92"/>
  <c r="H9" i="92" s="1"/>
  <c r="T8" i="92"/>
  <c r="Q8" i="92"/>
  <c r="P8" i="92"/>
  <c r="G8" i="92"/>
  <c r="H8" i="92" s="1"/>
  <c r="T7" i="92"/>
  <c r="Q7" i="92"/>
  <c r="P7" i="92"/>
  <c r="G7" i="92"/>
  <c r="H7" i="92" s="1"/>
  <c r="T6" i="92"/>
  <c r="Q6" i="92"/>
  <c r="P6" i="92"/>
  <c r="G6" i="92"/>
  <c r="H6" i="92" s="1"/>
  <c r="T5" i="92"/>
  <c r="Q5" i="92"/>
  <c r="P5" i="92"/>
  <c r="G5" i="92"/>
  <c r="H5" i="92" s="1"/>
  <c r="T4" i="92"/>
  <c r="Q4" i="92"/>
  <c r="P4" i="92"/>
  <c r="G4" i="92"/>
  <c r="H4" i="92" s="1"/>
  <c r="T3" i="92"/>
  <c r="Q3" i="92"/>
  <c r="P3" i="92"/>
  <c r="G3" i="92"/>
  <c r="H3" i="92" s="1"/>
  <c r="G43" i="98"/>
  <c r="I43" i="98" s="1"/>
  <c r="G13" i="98"/>
  <c r="H13" i="98" s="1"/>
  <c r="G12" i="98"/>
  <c r="H12" i="98" s="1"/>
  <c r="C9" i="98"/>
  <c r="F7" i="98"/>
  <c r="G7" i="98" s="1"/>
  <c r="K5" i="98"/>
  <c r="L4" i="98" s="1"/>
  <c r="I16" i="104"/>
  <c r="M15" i="104" s="1"/>
  <c r="K15" i="104"/>
  <c r="F14" i="104"/>
  <c r="F7" i="104"/>
  <c r="F7" i="108"/>
  <c r="C7" i="108"/>
  <c r="P10" i="106"/>
  <c r="O10" i="106"/>
  <c r="N10" i="106"/>
  <c r="M10" i="106"/>
  <c r="L10" i="106"/>
  <c r="K10" i="106"/>
  <c r="J10" i="106"/>
  <c r="I10" i="106"/>
  <c r="G10" i="106"/>
  <c r="F10" i="106"/>
  <c r="E10" i="106"/>
  <c r="Q9" i="106"/>
  <c r="Q8" i="106"/>
  <c r="P6" i="106"/>
  <c r="O6" i="106"/>
  <c r="N6" i="106"/>
  <c r="M6" i="106"/>
  <c r="L6" i="106"/>
  <c r="K6" i="106"/>
  <c r="J6" i="106"/>
  <c r="I6" i="106"/>
  <c r="G6" i="106"/>
  <c r="F6" i="106"/>
  <c r="E6" i="106"/>
  <c r="Q5" i="106"/>
  <c r="P547" i="88"/>
  <c r="P546" i="88"/>
  <c r="R342" i="88"/>
  <c r="Q342" i="88"/>
  <c r="AA342" i="88" s="1"/>
  <c r="P342" i="88"/>
  <c r="R341" i="88"/>
  <c r="Q341" i="88"/>
  <c r="AA341" i="88" s="1"/>
  <c r="P341" i="88"/>
  <c r="Z340" i="88"/>
  <c r="R340" i="88"/>
  <c r="Q340" i="88"/>
  <c r="R339" i="88"/>
  <c r="Q339" i="88"/>
  <c r="AA339" i="88" s="1"/>
  <c r="P339" i="88"/>
  <c r="R338" i="88"/>
  <c r="Q338" i="88"/>
  <c r="AA338" i="88" s="1"/>
  <c r="P338" i="88"/>
  <c r="R337" i="88"/>
  <c r="Q337" i="88"/>
  <c r="AA337" i="88" s="1"/>
  <c r="P337" i="88"/>
  <c r="R336" i="88"/>
  <c r="Q336" i="88"/>
  <c r="AA336" i="88" s="1"/>
  <c r="P336" i="88"/>
  <c r="R335" i="88"/>
  <c r="Q335" i="88"/>
  <c r="AA335" i="88" s="1"/>
  <c r="P335" i="88"/>
  <c r="R334" i="88"/>
  <c r="Q334" i="88"/>
  <c r="AA334" i="88" s="1"/>
  <c r="P334" i="88"/>
  <c r="R333" i="88"/>
  <c r="Q333" i="88"/>
  <c r="AA333" i="88" s="1"/>
  <c r="P333" i="88"/>
  <c r="R332" i="88"/>
  <c r="Q332" i="88"/>
  <c r="AA332" i="88" s="1"/>
  <c r="P332" i="88"/>
  <c r="Z331" i="88"/>
  <c r="AA331" i="88" s="1"/>
  <c r="Z330" i="88"/>
  <c r="AA330" i="88" s="1"/>
  <c r="Z329" i="88"/>
  <c r="AA329" i="88" s="1"/>
  <c r="R325" i="88"/>
  <c r="Q325" i="88"/>
  <c r="AA325" i="88" s="1"/>
  <c r="P325" i="88"/>
  <c r="R324" i="88"/>
  <c r="Q324" i="88"/>
  <c r="AA324" i="88" s="1"/>
  <c r="P324" i="88"/>
  <c r="R323" i="88"/>
  <c r="Q323" i="88"/>
  <c r="AA323" i="88" s="1"/>
  <c r="P323" i="88"/>
  <c r="R322" i="88"/>
  <c r="Q322" i="88"/>
  <c r="AA322" i="88" s="1"/>
  <c r="P322" i="88"/>
  <c r="R321" i="88"/>
  <c r="Q321" i="88"/>
  <c r="AA321" i="88" s="1"/>
  <c r="P321" i="88"/>
  <c r="R320" i="88"/>
  <c r="Q320" i="88"/>
  <c r="AA320" i="88" s="1"/>
  <c r="P320" i="88"/>
  <c r="Z319" i="88"/>
  <c r="R319" i="88"/>
  <c r="Q319" i="88"/>
  <c r="P319" i="88"/>
  <c r="Z318" i="88"/>
  <c r="R318" i="88"/>
  <c r="Q318" i="88"/>
  <c r="P318" i="88"/>
  <c r="R317" i="88"/>
  <c r="Q317" i="88"/>
  <c r="AA317" i="88" s="1"/>
  <c r="P317" i="88"/>
  <c r="R316" i="88"/>
  <c r="Q316" i="88"/>
  <c r="AA316" i="88" s="1"/>
  <c r="P316" i="88"/>
  <c r="R313" i="88"/>
  <c r="Q313" i="88"/>
  <c r="AA313" i="88" s="1"/>
  <c r="P313" i="88"/>
  <c r="R312" i="88"/>
  <c r="Q312" i="88"/>
  <c r="AA312" i="88" s="1"/>
  <c r="P312" i="88"/>
  <c r="Z305" i="88"/>
  <c r="R305" i="88"/>
  <c r="Q305" i="88"/>
  <c r="P305" i="88"/>
  <c r="Z304" i="88"/>
  <c r="R304" i="88"/>
  <c r="Q304" i="88"/>
  <c r="P304" i="88"/>
  <c r="Z303" i="88"/>
  <c r="R303" i="88"/>
  <c r="Q303" i="88"/>
  <c r="P303" i="88"/>
  <c r="Z302" i="88"/>
  <c r="R302" i="88"/>
  <c r="Q302" i="88"/>
  <c r="P302" i="88"/>
  <c r="Z301" i="88"/>
  <c r="R301" i="88"/>
  <c r="Q301" i="88"/>
  <c r="P301" i="88"/>
  <c r="Z300" i="88"/>
  <c r="R300" i="88"/>
  <c r="Q300" i="88"/>
  <c r="P300" i="88"/>
  <c r="R299" i="88"/>
  <c r="Q299" i="88"/>
  <c r="AA299" i="88" s="1"/>
  <c r="P299" i="88"/>
  <c r="R298" i="88"/>
  <c r="Q298" i="88"/>
  <c r="AA298" i="88" s="1"/>
  <c r="P298" i="88"/>
  <c r="R297" i="88"/>
  <c r="Q297" i="88"/>
  <c r="AA297" i="88" s="1"/>
  <c r="P297" i="88"/>
  <c r="R296" i="88"/>
  <c r="Q296" i="88"/>
  <c r="AA296" i="88" s="1"/>
  <c r="P296" i="88"/>
  <c r="R295" i="88"/>
  <c r="Q295" i="88"/>
  <c r="AA295" i="88" s="1"/>
  <c r="P295" i="88"/>
  <c r="R294" i="88"/>
  <c r="Q294" i="88"/>
  <c r="AA294" i="88" s="1"/>
  <c r="P294" i="88"/>
  <c r="R293" i="88"/>
  <c r="Q293" i="88"/>
  <c r="AA293" i="88" s="1"/>
  <c r="P293" i="88"/>
  <c r="R285" i="88"/>
  <c r="Q285" i="88"/>
  <c r="AA285" i="88" s="1"/>
  <c r="P285" i="88"/>
  <c r="R284" i="88"/>
  <c r="Q284" i="88"/>
  <c r="AA284" i="88" s="1"/>
  <c r="P284" i="88"/>
  <c r="R283" i="88"/>
  <c r="Q283" i="88"/>
  <c r="AA283" i="88" s="1"/>
  <c r="P283" i="88"/>
  <c r="R282" i="88"/>
  <c r="Q282" i="88"/>
  <c r="AA282" i="88" s="1"/>
  <c r="P282" i="88"/>
  <c r="R281" i="88"/>
  <c r="Q281" i="88"/>
  <c r="AA281" i="88" s="1"/>
  <c r="P281" i="88"/>
  <c r="R280" i="88"/>
  <c r="Q280" i="88"/>
  <c r="AA280" i="88" s="1"/>
  <c r="P280" i="88"/>
  <c r="Z279" i="88"/>
  <c r="R279" i="88"/>
  <c r="Q279" i="88"/>
  <c r="P279" i="88"/>
  <c r="Z278" i="88"/>
  <c r="R278" i="88"/>
  <c r="Q278" i="88"/>
  <c r="P278" i="88"/>
  <c r="R277" i="88"/>
  <c r="Q277" i="88"/>
  <c r="AA277" i="88" s="1"/>
  <c r="P277" i="88"/>
  <c r="Z276" i="88"/>
  <c r="AA276" i="88" s="1"/>
  <c r="Z275" i="88"/>
  <c r="AA275" i="88" s="1"/>
  <c r="Z274" i="88"/>
  <c r="AA274" i="88" s="1"/>
  <c r="Z273" i="88"/>
  <c r="AA273" i="88" s="1"/>
  <c r="Z272" i="88"/>
  <c r="R272" i="88"/>
  <c r="Q272" i="88"/>
  <c r="P272" i="88"/>
  <c r="Z271" i="88"/>
  <c r="R271" i="88"/>
  <c r="Q271" i="88"/>
  <c r="P271" i="88"/>
  <c r="Z270" i="88"/>
  <c r="R270" i="88"/>
  <c r="Q270" i="88"/>
  <c r="P270" i="88"/>
  <c r="Z269" i="88"/>
  <c r="R269" i="88"/>
  <c r="Q269" i="88"/>
  <c r="P269" i="88"/>
  <c r="Z268" i="88"/>
  <c r="R268" i="88"/>
  <c r="Q268" i="88"/>
  <c r="P268" i="88"/>
  <c r="Z267" i="88"/>
  <c r="R267" i="88"/>
  <c r="Q267" i="88"/>
  <c r="P267" i="88"/>
  <c r="Z266" i="88"/>
  <c r="R266" i="88"/>
  <c r="Q266" i="88"/>
  <c r="P266" i="88"/>
  <c r="Z265" i="88"/>
  <c r="R265" i="88"/>
  <c r="Q265" i="88"/>
  <c r="P265" i="88"/>
  <c r="Z264" i="88"/>
  <c r="R264" i="88"/>
  <c r="Q264" i="88"/>
  <c r="P264" i="88"/>
  <c r="Z263" i="88"/>
  <c r="AA263" i="88" s="1"/>
  <c r="R263" i="88"/>
  <c r="P263" i="88"/>
  <c r="Z262" i="88"/>
  <c r="AA262" i="88" s="1"/>
  <c r="R262" i="88"/>
  <c r="P262" i="88"/>
  <c r="Z261" i="88"/>
  <c r="AA261" i="88" s="1"/>
  <c r="P261" i="88"/>
  <c r="Z260" i="88"/>
  <c r="AA260" i="88" s="1"/>
  <c r="P260" i="88"/>
  <c r="R259" i="88"/>
  <c r="Q259" i="88"/>
  <c r="AA259" i="88" s="1"/>
  <c r="P259" i="88"/>
  <c r="Z258" i="88"/>
  <c r="R258" i="88"/>
  <c r="Q258" i="88"/>
  <c r="P258" i="88"/>
  <c r="Z257" i="88"/>
  <c r="R257" i="88"/>
  <c r="Q257" i="88"/>
  <c r="P257" i="88"/>
  <c r="R255" i="88"/>
  <c r="Q255" i="88"/>
  <c r="AA255" i="88" s="1"/>
  <c r="P255" i="88"/>
  <c r="R254" i="88"/>
  <c r="Q254" i="88"/>
  <c r="AA254" i="88" s="1"/>
  <c r="P254" i="88"/>
  <c r="R253" i="88"/>
  <c r="Q253" i="88"/>
  <c r="AA253" i="88" s="1"/>
  <c r="P253" i="88"/>
  <c r="R252" i="88"/>
  <c r="Q252" i="88"/>
  <c r="AA252" i="88" s="1"/>
  <c r="P252" i="88"/>
  <c r="R251" i="88"/>
  <c r="Q251" i="88"/>
  <c r="AA251" i="88" s="1"/>
  <c r="P251" i="88"/>
  <c r="R250" i="88"/>
  <c r="Q250" i="88"/>
  <c r="AA250" i="88" s="1"/>
  <c r="P250" i="88"/>
  <c r="R249" i="88"/>
  <c r="Q249" i="88"/>
  <c r="AA249" i="88" s="1"/>
  <c r="P249" i="88"/>
  <c r="R247" i="88"/>
  <c r="Q247" i="88"/>
  <c r="AA247" i="88" s="1"/>
  <c r="P247" i="88"/>
  <c r="R246" i="88"/>
  <c r="Q246" i="88"/>
  <c r="AA246" i="88" s="1"/>
  <c r="P246" i="88"/>
  <c r="R245" i="88"/>
  <c r="Q245" i="88"/>
  <c r="AA245" i="88" s="1"/>
  <c r="P245" i="88"/>
  <c r="R244" i="88"/>
  <c r="Q244" i="88"/>
  <c r="AA244" i="88" s="1"/>
  <c r="P244" i="88"/>
  <c r="Z243" i="88"/>
  <c r="AA243" i="88" s="1"/>
  <c r="Z242" i="88"/>
  <c r="AA242" i="88" s="1"/>
  <c r="Z241" i="88"/>
  <c r="AA241" i="88" s="1"/>
  <c r="Z240" i="88"/>
  <c r="AA240" i="88" s="1"/>
  <c r="Z239" i="88"/>
  <c r="AA239" i="88" s="1"/>
  <c r="Z238" i="88"/>
  <c r="R238" i="88"/>
  <c r="Q238" i="88"/>
  <c r="Z237" i="88"/>
  <c r="R237" i="88"/>
  <c r="Q237" i="88"/>
  <c r="Q232" i="88"/>
  <c r="AA232" i="88" s="1"/>
  <c r="R231" i="88"/>
  <c r="Q231" i="88"/>
  <c r="AA231" i="88" s="1"/>
  <c r="R230" i="88"/>
  <c r="Q230" i="88"/>
  <c r="AA230" i="88" s="1"/>
  <c r="R227" i="88"/>
  <c r="Q227" i="88"/>
  <c r="AA227" i="88" s="1"/>
  <c r="P227" i="88"/>
  <c r="R226" i="88"/>
  <c r="Q226" i="88"/>
  <c r="AA226" i="88" s="1"/>
  <c r="P226" i="88"/>
  <c r="R225" i="88"/>
  <c r="Q225" i="88"/>
  <c r="AA225" i="88" s="1"/>
  <c r="P225" i="88"/>
  <c r="R224" i="88"/>
  <c r="Q224" i="88"/>
  <c r="AA224" i="88" s="1"/>
  <c r="P224" i="88"/>
  <c r="R223" i="88"/>
  <c r="Q223" i="88"/>
  <c r="AA223" i="88" s="1"/>
  <c r="P223" i="88"/>
  <c r="Z222" i="88"/>
  <c r="R222" i="88"/>
  <c r="Q222" i="88"/>
  <c r="P222" i="88"/>
  <c r="Z221" i="88"/>
  <c r="R221" i="88"/>
  <c r="Q221" i="88"/>
  <c r="P221" i="88"/>
  <c r="Z220" i="88"/>
  <c r="R220" i="88"/>
  <c r="Q220" i="88"/>
  <c r="P220" i="88"/>
  <c r="Z219" i="88"/>
  <c r="R219" i="88"/>
  <c r="Q219" i="88"/>
  <c r="P219" i="88"/>
  <c r="Z218" i="88"/>
  <c r="R218" i="88"/>
  <c r="Q218" i="88"/>
  <c r="P218" i="88"/>
  <c r="R217" i="88"/>
  <c r="Q217" i="88"/>
  <c r="AA217" i="88" s="1"/>
  <c r="P217" i="88"/>
  <c r="R216" i="88"/>
  <c r="Q216" i="88"/>
  <c r="AA216" i="88" s="1"/>
  <c r="P216" i="88"/>
  <c r="R215" i="88"/>
  <c r="Q215" i="88"/>
  <c r="AA215" i="88" s="1"/>
  <c r="P215" i="88"/>
  <c r="R214" i="88"/>
  <c r="Q214" i="88"/>
  <c r="AA214" i="88" s="1"/>
  <c r="P214" i="88"/>
  <c r="R213" i="88"/>
  <c r="Q213" i="88"/>
  <c r="AA213" i="88" s="1"/>
  <c r="P213" i="88"/>
  <c r="R212" i="88"/>
  <c r="Q212" i="88"/>
  <c r="AA212" i="88" s="1"/>
  <c r="P212" i="88"/>
  <c r="R211" i="88"/>
  <c r="Q211" i="88"/>
  <c r="AA211" i="88" s="1"/>
  <c r="P211" i="88"/>
  <c r="R210" i="88"/>
  <c r="Q210" i="88"/>
  <c r="AA210" i="88" s="1"/>
  <c r="P210" i="88"/>
  <c r="R209" i="88"/>
  <c r="Q209" i="88"/>
  <c r="AA209" i="88" s="1"/>
  <c r="P209" i="88"/>
  <c r="R208" i="88"/>
  <c r="Q208" i="88"/>
  <c r="AA208" i="88" s="1"/>
  <c r="P208" i="88"/>
  <c r="R207" i="88"/>
  <c r="Q207" i="88"/>
  <c r="AA207" i="88" s="1"/>
  <c r="P207" i="88"/>
  <c r="R206" i="88"/>
  <c r="Q206" i="88"/>
  <c r="AA206" i="88" s="1"/>
  <c r="P206" i="88"/>
  <c r="R205" i="88"/>
  <c r="Q205" i="88"/>
  <c r="AA205" i="88" s="1"/>
  <c r="P205" i="88"/>
  <c r="R204" i="88"/>
  <c r="Q204" i="88"/>
  <c r="AA204" i="88" s="1"/>
  <c r="P204" i="88"/>
  <c r="R203" i="88"/>
  <c r="Q203" i="88"/>
  <c r="AA203" i="88" s="1"/>
  <c r="P203" i="88"/>
  <c r="R202" i="88"/>
  <c r="Q202" i="88"/>
  <c r="AA202" i="88" s="1"/>
  <c r="P202" i="88"/>
  <c r="R201" i="88"/>
  <c r="Q201" i="88"/>
  <c r="AA201" i="88" s="1"/>
  <c r="P201" i="88"/>
  <c r="Q200" i="88"/>
  <c r="AA200" i="88" s="1"/>
  <c r="P200" i="88"/>
  <c r="Q199" i="88"/>
  <c r="AA199" i="88" s="1"/>
  <c r="P199" i="88"/>
  <c r="R198" i="88"/>
  <c r="Q198" i="88"/>
  <c r="AA198" i="88" s="1"/>
  <c r="P198" i="88"/>
  <c r="R197" i="88"/>
  <c r="Q197" i="88"/>
  <c r="AA197" i="88" s="1"/>
  <c r="P197" i="88"/>
  <c r="R196" i="88"/>
  <c r="Q196" i="88"/>
  <c r="AA196" i="88" s="1"/>
  <c r="P196" i="88"/>
  <c r="R195" i="88"/>
  <c r="Q195" i="88"/>
  <c r="AA195" i="88" s="1"/>
  <c r="P195" i="88"/>
  <c r="Z194" i="88"/>
  <c r="R194" i="88"/>
  <c r="Q194" i="88"/>
  <c r="P194" i="88"/>
  <c r="R193" i="88"/>
  <c r="Q193" i="88"/>
  <c r="AA193" i="88" s="1"/>
  <c r="P193" i="88"/>
  <c r="R192" i="88"/>
  <c r="Q192" i="88"/>
  <c r="AA192" i="88" s="1"/>
  <c r="P192" i="88"/>
  <c r="R191" i="88"/>
  <c r="Q191" i="88"/>
  <c r="AA191" i="88" s="1"/>
  <c r="P191" i="88"/>
  <c r="R190" i="88"/>
  <c r="Q190" i="88"/>
  <c r="AA190" i="88" s="1"/>
  <c r="P190" i="88"/>
  <c r="R189" i="88"/>
  <c r="Q189" i="88"/>
  <c r="AA189" i="88" s="1"/>
  <c r="P189" i="88"/>
  <c r="R188" i="88"/>
  <c r="Q188" i="88"/>
  <c r="AA188" i="88" s="1"/>
  <c r="P188" i="88"/>
  <c r="R187" i="88"/>
  <c r="Q187" i="88"/>
  <c r="AA187" i="88" s="1"/>
  <c r="P187" i="88"/>
  <c r="R186" i="88"/>
  <c r="Q186" i="88"/>
  <c r="AA186" i="88" s="1"/>
  <c r="P186" i="88"/>
  <c r="R184" i="88"/>
  <c r="Q184" i="88"/>
  <c r="AA184" i="88" s="1"/>
  <c r="P184" i="88"/>
  <c r="R183" i="88"/>
  <c r="Q183" i="88"/>
  <c r="AA183" i="88" s="1"/>
  <c r="P183" i="88"/>
  <c r="R182" i="88"/>
  <c r="Q182" i="88"/>
  <c r="AA182" i="88" s="1"/>
  <c r="P182" i="88"/>
  <c r="R181" i="88"/>
  <c r="Q181" i="88"/>
  <c r="AA181" i="88" s="1"/>
  <c r="P181" i="88"/>
  <c r="R180" i="88"/>
  <c r="Q180" i="88"/>
  <c r="AA180" i="88" s="1"/>
  <c r="P180" i="88"/>
  <c r="R178" i="88"/>
  <c r="Q178" i="88"/>
  <c r="AA178" i="88" s="1"/>
  <c r="P178" i="88"/>
  <c r="R177" i="88"/>
  <c r="Q177" i="88"/>
  <c r="AA177" i="88" s="1"/>
  <c r="P177" i="88"/>
  <c r="R176" i="88"/>
  <c r="Q176" i="88"/>
  <c r="AA176" i="88" s="1"/>
  <c r="P176" i="88"/>
  <c r="R174" i="88"/>
  <c r="Q174" i="88"/>
  <c r="AA174" i="88" s="1"/>
  <c r="P174" i="88"/>
  <c r="R172" i="88"/>
  <c r="Q172" i="88"/>
  <c r="AA172" i="88" s="1"/>
  <c r="P172" i="88"/>
  <c r="R169" i="88"/>
  <c r="Q169" i="88"/>
  <c r="AA169" i="88" s="1"/>
  <c r="P169" i="88"/>
  <c r="R168" i="88"/>
  <c r="Q168" i="88"/>
  <c r="AA168" i="88" s="1"/>
  <c r="P168" i="88"/>
  <c r="R167" i="88"/>
  <c r="Q167" i="88"/>
  <c r="AA167" i="88" s="1"/>
  <c r="P167" i="88"/>
  <c r="R166" i="88"/>
  <c r="Q166" i="88"/>
  <c r="AA166" i="88" s="1"/>
  <c r="P166" i="88"/>
  <c r="R165" i="88"/>
  <c r="Q165" i="88"/>
  <c r="AA165" i="88" s="1"/>
  <c r="P165" i="88"/>
  <c r="R164" i="88"/>
  <c r="Q164" i="88"/>
  <c r="AA164" i="88" s="1"/>
  <c r="P164" i="88"/>
  <c r="R163" i="88"/>
  <c r="Q163" i="88"/>
  <c r="AA163" i="88" s="1"/>
  <c r="P163" i="88"/>
  <c r="R162" i="88"/>
  <c r="Q162" i="88"/>
  <c r="AA162" i="88" s="1"/>
  <c r="P162" i="88"/>
  <c r="R161" i="88"/>
  <c r="Q161" i="88"/>
  <c r="AA161" i="88" s="1"/>
  <c r="P161" i="88"/>
  <c r="R159" i="88"/>
  <c r="Q159" i="88"/>
  <c r="AA159" i="88" s="1"/>
  <c r="P159" i="88"/>
  <c r="Z158" i="88"/>
  <c r="R158" i="88"/>
  <c r="Q158" i="88"/>
  <c r="P158" i="88"/>
  <c r="R157" i="88"/>
  <c r="Q157" i="88"/>
  <c r="AA157" i="88" s="1"/>
  <c r="P157" i="88"/>
  <c r="R156" i="88"/>
  <c r="Q156" i="88"/>
  <c r="AA156" i="88" s="1"/>
  <c r="P156" i="88"/>
  <c r="R155" i="88"/>
  <c r="Q155" i="88"/>
  <c r="AA155" i="88" s="1"/>
  <c r="P155" i="88"/>
  <c r="R154" i="88"/>
  <c r="Q154" i="88"/>
  <c r="AA154" i="88" s="1"/>
  <c r="P154" i="88"/>
  <c r="R153" i="88"/>
  <c r="Q153" i="88"/>
  <c r="AA153" i="88" s="1"/>
  <c r="P153" i="88"/>
  <c r="R152" i="88"/>
  <c r="Q152" i="88"/>
  <c r="AA152" i="88" s="1"/>
  <c r="P152" i="88"/>
  <c r="R151" i="88"/>
  <c r="Q151" i="88"/>
  <c r="AA151" i="88" s="1"/>
  <c r="P151" i="88"/>
  <c r="R150" i="88"/>
  <c r="Q150" i="88"/>
  <c r="AA150" i="88" s="1"/>
  <c r="P150" i="88"/>
  <c r="R149" i="88"/>
  <c r="Q149" i="88"/>
  <c r="AA149" i="88" s="1"/>
  <c r="P149" i="88"/>
  <c r="R148" i="88"/>
  <c r="Q148" i="88"/>
  <c r="AA148" i="88" s="1"/>
  <c r="P148" i="88"/>
  <c r="Z147" i="88"/>
  <c r="R147" i="88"/>
  <c r="Q147" i="88"/>
  <c r="P147" i="88"/>
  <c r="Z146" i="88"/>
  <c r="R146" i="88"/>
  <c r="Q146" i="88"/>
  <c r="P146" i="88"/>
  <c r="P145" i="88"/>
  <c r="R144" i="88"/>
  <c r="Q144" i="88"/>
  <c r="AA144" i="88" s="1"/>
  <c r="P144" i="88"/>
  <c r="R143" i="88"/>
  <c r="Q143" i="88"/>
  <c r="AA143" i="88" s="1"/>
  <c r="P143" i="88"/>
  <c r="R142" i="88"/>
  <c r="Q142" i="88"/>
  <c r="AA142" i="88" s="1"/>
  <c r="P142" i="88"/>
  <c r="R141" i="88"/>
  <c r="Q141" i="88"/>
  <c r="AA141" i="88" s="1"/>
  <c r="P141" i="88"/>
  <c r="Z140" i="88"/>
  <c r="R140" i="88"/>
  <c r="Q140" i="88"/>
  <c r="P140" i="88"/>
  <c r="R139" i="88"/>
  <c r="Q139" i="88"/>
  <c r="AA139" i="88" s="1"/>
  <c r="P139" i="88"/>
  <c r="R138" i="88"/>
  <c r="Q138" i="88"/>
  <c r="AA138" i="88" s="1"/>
  <c r="P138" i="88"/>
  <c r="R137" i="88"/>
  <c r="Q137" i="88"/>
  <c r="AA137" i="88" s="1"/>
  <c r="P137" i="88"/>
  <c r="R136" i="88"/>
  <c r="Q136" i="88"/>
  <c r="AA136" i="88" s="1"/>
  <c r="P136" i="88"/>
  <c r="R135" i="88"/>
  <c r="Q135" i="88"/>
  <c r="AA135" i="88" s="1"/>
  <c r="P135" i="88"/>
  <c r="R134" i="88"/>
  <c r="Q134" i="88"/>
  <c r="AA134" i="88" s="1"/>
  <c r="P134" i="88"/>
  <c r="R133" i="88"/>
  <c r="Q133" i="88"/>
  <c r="AA133" i="88" s="1"/>
  <c r="P133" i="88"/>
  <c r="R132" i="88"/>
  <c r="Q132" i="88"/>
  <c r="AA132" i="88" s="1"/>
  <c r="P132" i="88"/>
  <c r="R131" i="88"/>
  <c r="Q131" i="88"/>
  <c r="AA131" i="88" s="1"/>
  <c r="P131" i="88"/>
  <c r="R130" i="88"/>
  <c r="Q130" i="88"/>
  <c r="AA130" i="88" s="1"/>
  <c r="P130" i="88"/>
  <c r="R129" i="88"/>
  <c r="Q129" i="88"/>
  <c r="AA129" i="88" s="1"/>
  <c r="P129" i="88"/>
  <c r="R128" i="88"/>
  <c r="Q128" i="88"/>
  <c r="AA128" i="88" s="1"/>
  <c r="P128" i="88"/>
  <c r="R127" i="88"/>
  <c r="Q127" i="88"/>
  <c r="AA127" i="88" s="1"/>
  <c r="P127" i="88"/>
  <c r="R126" i="88"/>
  <c r="Q126" i="88"/>
  <c r="AA126" i="88" s="1"/>
  <c r="P126" i="88"/>
  <c r="P125" i="88"/>
  <c r="Z124" i="88"/>
  <c r="R124" i="88"/>
  <c r="Q124" i="88"/>
  <c r="P124" i="88"/>
  <c r="Z123" i="88"/>
  <c r="R123" i="88"/>
  <c r="Q123" i="88"/>
  <c r="Z122" i="88"/>
  <c r="R122" i="88"/>
  <c r="Q122" i="88"/>
  <c r="Z121" i="88"/>
  <c r="R121" i="88"/>
  <c r="Q121" i="88"/>
  <c r="R120" i="88"/>
  <c r="Q120" i="88"/>
  <c r="AA120" i="88" s="1"/>
  <c r="P119" i="88"/>
  <c r="Z118" i="88"/>
  <c r="R118" i="88"/>
  <c r="Q118" i="88"/>
  <c r="P118" i="88"/>
  <c r="R116" i="88"/>
  <c r="Q116" i="88"/>
  <c r="AA116" i="88" s="1"/>
  <c r="P116" i="88"/>
  <c r="R115" i="88"/>
  <c r="Q115" i="88"/>
  <c r="AA115" i="88" s="1"/>
  <c r="P115" i="88"/>
  <c r="R114" i="88"/>
  <c r="Q114" i="88"/>
  <c r="AA114" i="88" s="1"/>
  <c r="P114" i="88"/>
  <c r="R111" i="88"/>
  <c r="Q111" i="88"/>
  <c r="AA111" i="88" s="1"/>
  <c r="P111" i="88"/>
  <c r="R110" i="88"/>
  <c r="Q110" i="88"/>
  <c r="AA110" i="88" s="1"/>
  <c r="P110" i="88"/>
  <c r="Z108" i="88"/>
  <c r="R108" i="88"/>
  <c r="Q108" i="88"/>
  <c r="P108" i="88"/>
  <c r="M108" i="88"/>
  <c r="J108" i="88"/>
  <c r="Z107" i="88"/>
  <c r="R107" i="88"/>
  <c r="Q107" i="88"/>
  <c r="P107" i="88"/>
  <c r="M107" i="88"/>
  <c r="J107" i="88"/>
  <c r="Z106" i="88"/>
  <c r="R106" i="88"/>
  <c r="Q106" i="88"/>
  <c r="P106" i="88"/>
  <c r="M106" i="88"/>
  <c r="J106" i="88"/>
  <c r="Z105" i="88"/>
  <c r="R105" i="88"/>
  <c r="Q105" i="88"/>
  <c r="P105" i="88"/>
  <c r="M105" i="88"/>
  <c r="J105" i="88"/>
  <c r="Z104" i="88"/>
  <c r="R104" i="88"/>
  <c r="Q104" i="88"/>
  <c r="P104" i="88"/>
  <c r="M104" i="88"/>
  <c r="J104" i="88"/>
  <c r="Z103" i="88"/>
  <c r="R103" i="88"/>
  <c r="Q103" i="88"/>
  <c r="P103" i="88"/>
  <c r="M103" i="88"/>
  <c r="J103" i="88"/>
  <c r="R102" i="88"/>
  <c r="P102" i="88"/>
  <c r="K102" i="88"/>
  <c r="M102" i="88" s="1"/>
  <c r="J102" i="88"/>
  <c r="Z101" i="88"/>
  <c r="R101" i="88"/>
  <c r="Q101" i="88"/>
  <c r="P101" i="88"/>
  <c r="M101" i="88"/>
  <c r="J101" i="88"/>
  <c r="Z100" i="88"/>
  <c r="R100" i="88"/>
  <c r="Q100" i="88"/>
  <c r="P100" i="88"/>
  <c r="M100" i="88"/>
  <c r="J100" i="88"/>
  <c r="Z99" i="88"/>
  <c r="R99" i="88"/>
  <c r="Q99" i="88"/>
  <c r="P99" i="88"/>
  <c r="M99" i="88"/>
  <c r="J99" i="88"/>
  <c r="Z98" i="88"/>
  <c r="R98" i="88"/>
  <c r="Q98" i="88"/>
  <c r="P98" i="88"/>
  <c r="M98" i="88"/>
  <c r="J98" i="88"/>
  <c r="Z97" i="88"/>
  <c r="R97" i="88"/>
  <c r="Q97" i="88"/>
  <c r="P97" i="88"/>
  <c r="M97" i="88"/>
  <c r="J97" i="88"/>
  <c r="Z96" i="88"/>
  <c r="R96" i="88"/>
  <c r="Q96" i="88"/>
  <c r="P96" i="88"/>
  <c r="M96" i="88"/>
  <c r="J96" i="88"/>
  <c r="Z95" i="88"/>
  <c r="R95" i="88"/>
  <c r="Q95" i="88"/>
  <c r="P95" i="88"/>
  <c r="M95" i="88"/>
  <c r="J95" i="88"/>
  <c r="Z94" i="88"/>
  <c r="R94" i="88"/>
  <c r="Q94" i="88"/>
  <c r="P94" i="88"/>
  <c r="M94" i="88"/>
  <c r="J94" i="88"/>
  <c r="Z93" i="88"/>
  <c r="R93" i="88"/>
  <c r="Q93" i="88"/>
  <c r="P93" i="88"/>
  <c r="M93" i="88"/>
  <c r="J93" i="88"/>
  <c r="Q92" i="88"/>
  <c r="O92" i="88"/>
  <c r="P92" i="88" s="1"/>
  <c r="L92" i="88"/>
  <c r="M92" i="88" s="1"/>
  <c r="J92" i="88"/>
  <c r="Z91" i="88"/>
  <c r="Q91" i="88"/>
  <c r="P91" i="88"/>
  <c r="L91" i="88"/>
  <c r="M91" i="88" s="1"/>
  <c r="J91" i="88"/>
  <c r="Z90" i="88"/>
  <c r="R90" i="88"/>
  <c r="Q90" i="88"/>
  <c r="P90" i="88"/>
  <c r="M90" i="88"/>
  <c r="J90" i="88"/>
  <c r="Z89" i="88"/>
  <c r="R89" i="88"/>
  <c r="Q89" i="88"/>
  <c r="P89" i="88"/>
  <c r="M89" i="88"/>
  <c r="J89" i="88"/>
  <c r="Z88" i="88"/>
  <c r="Q88" i="88"/>
  <c r="P88" i="88"/>
  <c r="L88" i="88"/>
  <c r="R88" i="88" s="1"/>
  <c r="J88" i="88"/>
  <c r="Q87" i="88"/>
  <c r="O87" i="88"/>
  <c r="M87" i="88"/>
  <c r="J87" i="88"/>
  <c r="Z86" i="88"/>
  <c r="R86" i="88"/>
  <c r="Q86" i="88"/>
  <c r="P86" i="88"/>
  <c r="M86" i="88"/>
  <c r="J86" i="88"/>
  <c r="Z85" i="88"/>
  <c r="R85" i="88"/>
  <c r="Q85" i="88"/>
  <c r="P85" i="88"/>
  <c r="M85" i="88"/>
  <c r="J85" i="88"/>
  <c r="Z84" i="88"/>
  <c r="R84" i="88"/>
  <c r="Q84" i="88"/>
  <c r="P84" i="88"/>
  <c r="M84" i="88"/>
  <c r="J84" i="88"/>
  <c r="Z83" i="88"/>
  <c r="R83" i="88"/>
  <c r="Q83" i="88"/>
  <c r="P83" i="88"/>
  <c r="M83" i="88"/>
  <c r="J83" i="88"/>
  <c r="Z82" i="88"/>
  <c r="R82" i="88"/>
  <c r="Q82" i="88"/>
  <c r="P82" i="88"/>
  <c r="M82" i="88"/>
  <c r="J82" i="88"/>
  <c r="Z81" i="88"/>
  <c r="R81" i="88"/>
  <c r="Q81" i="88"/>
  <c r="P81" i="88"/>
  <c r="J81" i="88"/>
  <c r="Z80" i="88"/>
  <c r="R80" i="88"/>
  <c r="Q80" i="88"/>
  <c r="P80" i="88"/>
  <c r="M80" i="88"/>
  <c r="J80" i="88"/>
  <c r="Z79" i="88"/>
  <c r="R79" i="88"/>
  <c r="Q79" i="88"/>
  <c r="P79" i="88"/>
  <c r="M79" i="88"/>
  <c r="J79" i="88"/>
  <c r="Q78" i="88"/>
  <c r="M78" i="88"/>
  <c r="J78" i="88"/>
  <c r="Q77" i="88"/>
  <c r="O77" i="88"/>
  <c r="O78" i="88" s="1"/>
  <c r="P78" i="88" s="1"/>
  <c r="L77" i="88"/>
  <c r="J77" i="88"/>
  <c r="Z76" i="88"/>
  <c r="R76" i="88"/>
  <c r="Q76" i="88"/>
  <c r="P76" i="88"/>
  <c r="M76" i="88"/>
  <c r="J76" i="88"/>
  <c r="Z75" i="88"/>
  <c r="R75" i="88"/>
  <c r="Q75" i="88"/>
  <c r="P75" i="88"/>
  <c r="M75" i="88"/>
  <c r="J75" i="88"/>
  <c r="Z74" i="88"/>
  <c r="R74" i="88"/>
  <c r="Q74" i="88"/>
  <c r="P74" i="88"/>
  <c r="M74" i="88"/>
  <c r="J74" i="88"/>
  <c r="Z73" i="88"/>
  <c r="R73" i="88"/>
  <c r="Q73" i="88"/>
  <c r="P73" i="88"/>
  <c r="M73" i="88"/>
  <c r="J73" i="88"/>
  <c r="Z72" i="88"/>
  <c r="R72" i="88"/>
  <c r="Q72" i="88"/>
  <c r="P72" i="88"/>
  <c r="M72" i="88"/>
  <c r="J72" i="88"/>
  <c r="Z71" i="88"/>
  <c r="R71" i="88"/>
  <c r="Q71" i="88"/>
  <c r="P71" i="88"/>
  <c r="M71" i="88"/>
  <c r="J71" i="88"/>
  <c r="Q70" i="88"/>
  <c r="M70" i="88"/>
  <c r="J70" i="88"/>
  <c r="Q69" i="88"/>
  <c r="O69" i="88"/>
  <c r="M69" i="88"/>
  <c r="J69" i="88"/>
  <c r="R68" i="88"/>
  <c r="P68" i="88"/>
  <c r="K68" i="88"/>
  <c r="J68" i="88"/>
  <c r="Z67" i="88"/>
  <c r="R67" i="88"/>
  <c r="Q67" i="88"/>
  <c r="P67" i="88"/>
  <c r="M67" i="88"/>
  <c r="J67" i="88"/>
  <c r="Z66" i="88"/>
  <c r="R66" i="88"/>
  <c r="Q66" i="88"/>
  <c r="P66" i="88"/>
  <c r="M66" i="88"/>
  <c r="J66" i="88"/>
  <c r="Z65" i="88"/>
  <c r="R65" i="88"/>
  <c r="Q65" i="88"/>
  <c r="P65" i="88"/>
  <c r="M65" i="88"/>
  <c r="J65" i="88"/>
  <c r="Z64" i="88"/>
  <c r="R64" i="88"/>
  <c r="Q64" i="88"/>
  <c r="P64" i="88"/>
  <c r="M64" i="88"/>
  <c r="J64" i="88"/>
  <c r="Z63" i="88"/>
  <c r="R63" i="88"/>
  <c r="Q63" i="88"/>
  <c r="P63" i="88"/>
  <c r="M63" i="88"/>
  <c r="J63" i="88"/>
  <c r="Z62" i="88"/>
  <c r="R62" i="88"/>
  <c r="Q62" i="88"/>
  <c r="P62" i="88"/>
  <c r="M62" i="88"/>
  <c r="J62" i="88"/>
  <c r="Z61" i="88"/>
  <c r="R61" i="88"/>
  <c r="Q61" i="88"/>
  <c r="P61" i="88"/>
  <c r="M61" i="88"/>
  <c r="J61" i="88"/>
  <c r="Z60" i="88"/>
  <c r="R60" i="88"/>
  <c r="Q60" i="88"/>
  <c r="P60" i="88"/>
  <c r="M60" i="88"/>
  <c r="J60" i="88"/>
  <c r="Z59" i="88"/>
  <c r="R59" i="88"/>
  <c r="Q59" i="88"/>
  <c r="P59" i="88"/>
  <c r="M59" i="88"/>
  <c r="J59" i="88"/>
  <c r="Z58" i="88"/>
  <c r="R58" i="88"/>
  <c r="Q58" i="88"/>
  <c r="P58" i="88"/>
  <c r="M58" i="88"/>
  <c r="J58" i="88"/>
  <c r="Z57" i="88"/>
  <c r="R57" i="88"/>
  <c r="Q57" i="88"/>
  <c r="P57" i="88"/>
  <c r="M57" i="88"/>
  <c r="J57" i="88"/>
  <c r="Z56" i="88"/>
  <c r="R56" i="88"/>
  <c r="Q56" i="88"/>
  <c r="P56" i="88"/>
  <c r="M56" i="88"/>
  <c r="J56" i="88"/>
  <c r="Z55" i="88"/>
  <c r="R55" i="88"/>
  <c r="Q55" i="88"/>
  <c r="P55" i="88"/>
  <c r="M55" i="88"/>
  <c r="J55" i="88"/>
  <c r="Z54" i="88"/>
  <c r="R54" i="88"/>
  <c r="Q54" i="88"/>
  <c r="P54" i="88"/>
  <c r="M54" i="88"/>
  <c r="J54" i="88"/>
  <c r="Z53" i="88"/>
  <c r="R53" i="88"/>
  <c r="Q53" i="88"/>
  <c r="P53" i="88"/>
  <c r="M53" i="88"/>
  <c r="J53" i="88"/>
  <c r="Z52" i="88"/>
  <c r="R52" i="88"/>
  <c r="Q52" i="88"/>
  <c r="P52" i="88"/>
  <c r="M52" i="88"/>
  <c r="J52" i="88"/>
  <c r="Q51" i="88"/>
  <c r="O51" i="88"/>
  <c r="M51" i="88"/>
  <c r="J51" i="88"/>
  <c r="Z50" i="88"/>
  <c r="R50" i="88"/>
  <c r="Q50" i="88"/>
  <c r="P50" i="88"/>
  <c r="M50" i="88"/>
  <c r="J50" i="88"/>
  <c r="Z49" i="88"/>
  <c r="R49" i="88"/>
  <c r="Q49" i="88"/>
  <c r="P49" i="88"/>
  <c r="M49" i="88"/>
  <c r="J49" i="88"/>
  <c r="Z48" i="88"/>
  <c r="R48" i="88"/>
  <c r="Q48" i="88"/>
  <c r="P48" i="88"/>
  <c r="M48" i="88"/>
  <c r="J48" i="88"/>
  <c r="Z47" i="88"/>
  <c r="R47" i="88"/>
  <c r="Q47" i="88"/>
  <c r="P47" i="88"/>
  <c r="M47" i="88"/>
  <c r="J47" i="88"/>
  <c r="Z46" i="88"/>
  <c r="R46" i="88"/>
  <c r="Q46" i="88"/>
  <c r="P46" i="88"/>
  <c r="M46" i="88"/>
  <c r="J46" i="88"/>
  <c r="Z45" i="88"/>
  <c r="R45" i="88"/>
  <c r="Q45" i="88"/>
  <c r="P45" i="88"/>
  <c r="M45" i="88"/>
  <c r="J45" i="88"/>
  <c r="Z44" i="88"/>
  <c r="R44" i="88"/>
  <c r="Q44" i="88"/>
  <c r="P44" i="88"/>
  <c r="M44" i="88"/>
  <c r="J44" i="88"/>
  <c r="Z43" i="88"/>
  <c r="R43" i="88"/>
  <c r="Q43" i="88"/>
  <c r="P43" i="88"/>
  <c r="M43" i="88"/>
  <c r="J43" i="88"/>
  <c r="Z42" i="88"/>
  <c r="R42" i="88"/>
  <c r="Q42" i="88"/>
  <c r="P42" i="88"/>
  <c r="M42" i="88"/>
  <c r="J42" i="88"/>
  <c r="Z41" i="88"/>
  <c r="R41" i="88"/>
  <c r="Q41" i="88"/>
  <c r="P41" i="88"/>
  <c r="M41" i="88"/>
  <c r="J41" i="88"/>
  <c r="Z40" i="88"/>
  <c r="R40" i="88"/>
  <c r="Q40" i="88"/>
  <c r="P40" i="88"/>
  <c r="M40" i="88"/>
  <c r="J40" i="88"/>
  <c r="Z39" i="88"/>
  <c r="R39" i="88"/>
  <c r="Q39" i="88"/>
  <c r="P39" i="88"/>
  <c r="M39" i="88"/>
  <c r="J39" i="88"/>
  <c r="Z38" i="88"/>
  <c r="R38" i="88"/>
  <c r="Q38" i="88"/>
  <c r="P38" i="88"/>
  <c r="M38" i="88"/>
  <c r="J38" i="88"/>
  <c r="Z37" i="88"/>
  <c r="R37" i="88"/>
  <c r="Q37" i="88"/>
  <c r="P37" i="88"/>
  <c r="M37" i="88"/>
  <c r="J37" i="88"/>
  <c r="Z36" i="88"/>
  <c r="R36" i="88"/>
  <c r="Q36" i="88"/>
  <c r="P36" i="88"/>
  <c r="M36" i="88"/>
  <c r="J36" i="88"/>
  <c r="Z35" i="88"/>
  <c r="R35" i="88"/>
  <c r="Q35" i="88"/>
  <c r="P35" i="88"/>
  <c r="M35" i="88"/>
  <c r="J35" i="88"/>
  <c r="Z34" i="88"/>
  <c r="R34" i="88"/>
  <c r="Q34" i="88"/>
  <c r="P34" i="88"/>
  <c r="M34" i="88"/>
  <c r="J34" i="88"/>
  <c r="Z33" i="88"/>
  <c r="R33" i="88"/>
  <c r="Q33" i="88"/>
  <c r="P33" i="88"/>
  <c r="M33" i="88"/>
  <c r="J33" i="88"/>
  <c r="Z32" i="88"/>
  <c r="R32" i="88"/>
  <c r="Q32" i="88"/>
  <c r="P32" i="88"/>
  <c r="M32" i="88"/>
  <c r="J32" i="88"/>
  <c r="F12" i="104"/>
  <c r="F15" i="104"/>
  <c r="K548" i="88" l="1"/>
  <c r="AA121" i="88"/>
  <c r="AA158" i="88"/>
  <c r="AA194" i="88"/>
  <c r="AA257" i="88"/>
  <c r="AA278" i="88"/>
  <c r="T335" i="88"/>
  <c r="AA83" i="88"/>
  <c r="AA35" i="88"/>
  <c r="AA39" i="88"/>
  <c r="AA43" i="88"/>
  <c r="AA47" i="88"/>
  <c r="AA54" i="88"/>
  <c r="AA58" i="88"/>
  <c r="AA62" i="88"/>
  <c r="AA66" i="88"/>
  <c r="AA80" i="88"/>
  <c r="AA90" i="88"/>
  <c r="AA106" i="88"/>
  <c r="AA219" i="88"/>
  <c r="AA301" i="88"/>
  <c r="AA303" i="88"/>
  <c r="AA305" i="88"/>
  <c r="AA318" i="88"/>
  <c r="AA95" i="88"/>
  <c r="AA122" i="88"/>
  <c r="AA101" i="88"/>
  <c r="AA104" i="88"/>
  <c r="AA218" i="88"/>
  <c r="AA220" i="88"/>
  <c r="AA300" i="88"/>
  <c r="AA302" i="88"/>
  <c r="AA304" i="88"/>
  <c r="AA319" i="88"/>
  <c r="AA340" i="88"/>
  <c r="AA74" i="88"/>
  <c r="AA140" i="88"/>
  <c r="AA258" i="88"/>
  <c r="AA97" i="88"/>
  <c r="AA108" i="88"/>
  <c r="AA222" i="88"/>
  <c r="AA265" i="88"/>
  <c r="AA279" i="88"/>
  <c r="AA72" i="88"/>
  <c r="AA76" i="88"/>
  <c r="AA264" i="88"/>
  <c r="AA266" i="88"/>
  <c r="AA268" i="88"/>
  <c r="AA36" i="88"/>
  <c r="AA40" i="88"/>
  <c r="AA44" i="88"/>
  <c r="AA48" i="88"/>
  <c r="AA55" i="88"/>
  <c r="AA59" i="88"/>
  <c r="AA63" i="88"/>
  <c r="AA67" i="88"/>
  <c r="AA123" i="88"/>
  <c r="AA147" i="88"/>
  <c r="AA238" i="88"/>
  <c r="AA96" i="88"/>
  <c r="AA100" i="88"/>
  <c r="AA103" i="88"/>
  <c r="AA107" i="88"/>
  <c r="AA267" i="88"/>
  <c r="AA269" i="88"/>
  <c r="AA271" i="88"/>
  <c r="AA34" i="88"/>
  <c r="AA38" i="88"/>
  <c r="AA42" i="88"/>
  <c r="AA46" i="88"/>
  <c r="AA50" i="88"/>
  <c r="AA53" i="88"/>
  <c r="AA57" i="88"/>
  <c r="AA61" i="88"/>
  <c r="AA65" i="88"/>
  <c r="AA79" i="88"/>
  <c r="AA89" i="88"/>
  <c r="AA118" i="88"/>
  <c r="AA124" i="88"/>
  <c r="AA146" i="88"/>
  <c r="AA237" i="88"/>
  <c r="AA73" i="88"/>
  <c r="AA82" i="88"/>
  <c r="AA86" i="88"/>
  <c r="AA99" i="88"/>
  <c r="AA221" i="88"/>
  <c r="AA37" i="88"/>
  <c r="AA41" i="88"/>
  <c r="AA45" i="88"/>
  <c r="AA49" i="88"/>
  <c r="AA52" i="88"/>
  <c r="AA56" i="88"/>
  <c r="AA60" i="88"/>
  <c r="AA64" i="88"/>
  <c r="AA88" i="88"/>
  <c r="AA81" i="88"/>
  <c r="AA85" i="88"/>
  <c r="AA91" i="88"/>
  <c r="AA94" i="88"/>
  <c r="AA98" i="88"/>
  <c r="AA105" i="88"/>
  <c r="AA270" i="88"/>
  <c r="AA272" i="88"/>
  <c r="AA71" i="88"/>
  <c r="AA75" i="88"/>
  <c r="AA84" i="88"/>
  <c r="AA93" i="88"/>
  <c r="T334" i="88"/>
  <c r="T232" i="88"/>
  <c r="S232" i="88"/>
  <c r="T166" i="88"/>
  <c r="T176" i="88"/>
  <c r="T192" i="88"/>
  <c r="T200" i="88"/>
  <c r="T208" i="88"/>
  <c r="T216" i="88"/>
  <c r="T224" i="88"/>
  <c r="T264" i="88"/>
  <c r="T272" i="88"/>
  <c r="T280" i="88"/>
  <c r="T297" i="88"/>
  <c r="T305" i="88"/>
  <c r="T318" i="88"/>
  <c r="T328" i="88"/>
  <c r="T336" i="88"/>
  <c r="T295" i="88"/>
  <c r="T316" i="88"/>
  <c r="T324" i="88"/>
  <c r="T184" i="88"/>
  <c r="T72" i="88"/>
  <c r="T162" i="88"/>
  <c r="T174" i="88"/>
  <c r="T182" i="88"/>
  <c r="T190" i="88"/>
  <c r="T198" i="88"/>
  <c r="T206" i="88"/>
  <c r="T214" i="88"/>
  <c r="T222" i="88"/>
  <c r="T230" i="88"/>
  <c r="T238" i="88"/>
  <c r="T246" i="88"/>
  <c r="T254" i="88"/>
  <c r="T262" i="88"/>
  <c r="T270" i="88"/>
  <c r="T278" i="88"/>
  <c r="T303" i="88"/>
  <c r="T118" i="88"/>
  <c r="T124" i="88"/>
  <c r="T127" i="88"/>
  <c r="T135" i="88"/>
  <c r="T146" i="88"/>
  <c r="T148" i="88"/>
  <c r="T82" i="88"/>
  <c r="T164" i="88"/>
  <c r="T73" i="88"/>
  <c r="T79" i="88"/>
  <c r="T83" i="88"/>
  <c r="T84" i="88"/>
  <c r="T74" i="88"/>
  <c r="T80" i="88"/>
  <c r="T96" i="88"/>
  <c r="T88" i="88"/>
  <c r="T94" i="88"/>
  <c r="T342" i="88"/>
  <c r="T98" i="88"/>
  <c r="T163" i="88"/>
  <c r="T183" i="88"/>
  <c r="T191" i="88"/>
  <c r="T199" i="88"/>
  <c r="T207" i="88"/>
  <c r="T215" i="88"/>
  <c r="T223" i="88"/>
  <c r="T231" i="88"/>
  <c r="T247" i="88"/>
  <c r="T255" i="88"/>
  <c r="T263" i="88"/>
  <c r="T271" i="88"/>
  <c r="T279" i="88"/>
  <c r="T296" i="88"/>
  <c r="T304" i="88"/>
  <c r="T317" i="88"/>
  <c r="T325" i="88"/>
  <c r="T105" i="88"/>
  <c r="T128" i="88"/>
  <c r="T136" i="88"/>
  <c r="T141" i="88"/>
  <c r="T149" i="88"/>
  <c r="T121" i="88"/>
  <c r="T129" i="88"/>
  <c r="T137" i="88"/>
  <c r="T142" i="88"/>
  <c r="T150" i="88"/>
  <c r="T155" i="88"/>
  <c r="T76" i="88"/>
  <c r="T37" i="88"/>
  <c r="T89" i="88"/>
  <c r="T33" i="88"/>
  <c r="T45" i="88"/>
  <c r="T32" i="88"/>
  <c r="T36" i="88"/>
  <c r="T40" i="88"/>
  <c r="T55" i="88"/>
  <c r="T63" i="88"/>
  <c r="T86" i="88"/>
  <c r="T41" i="88"/>
  <c r="T44" i="88"/>
  <c r="T48" i="88"/>
  <c r="T59" i="88"/>
  <c r="T67" i="88"/>
  <c r="T93" i="88"/>
  <c r="T49" i="88"/>
  <c r="T100" i="88"/>
  <c r="T71" i="88"/>
  <c r="T81" i="88"/>
  <c r="T85" i="88"/>
  <c r="T99" i="88"/>
  <c r="T106" i="88"/>
  <c r="T110" i="88"/>
  <c r="T122" i="88"/>
  <c r="T130" i="88"/>
  <c r="T143" i="88"/>
  <c r="T151" i="88"/>
  <c r="T197" i="88"/>
  <c r="T205" i="88"/>
  <c r="T213" i="88"/>
  <c r="T221" i="88"/>
  <c r="T237" i="88"/>
  <c r="T245" i="88"/>
  <c r="T253" i="88"/>
  <c r="T261" i="88"/>
  <c r="T269" i="88"/>
  <c r="T277" i="88"/>
  <c r="T285" i="88"/>
  <c r="T294" i="88"/>
  <c r="T302" i="88"/>
  <c r="T323" i="88"/>
  <c r="T341" i="88"/>
  <c r="T75" i="88"/>
  <c r="T95" i="88"/>
  <c r="T138" i="88"/>
  <c r="T161" i="88"/>
  <c r="T169" i="88"/>
  <c r="T181" i="88"/>
  <c r="T189" i="88"/>
  <c r="T333" i="88"/>
  <c r="T35" i="88"/>
  <c r="T39" i="88"/>
  <c r="T43" i="88"/>
  <c r="T47" i="88"/>
  <c r="T54" i="88"/>
  <c r="T58" i="88"/>
  <c r="T62" i="88"/>
  <c r="T66" i="88"/>
  <c r="T115" i="88"/>
  <c r="T133" i="88"/>
  <c r="T154" i="88"/>
  <c r="T158" i="88"/>
  <c r="T178" i="88"/>
  <c r="T186" i="88"/>
  <c r="T194" i="88"/>
  <c r="T202" i="88"/>
  <c r="T210" i="88"/>
  <c r="T218" i="88"/>
  <c r="T226" i="88"/>
  <c r="T250" i="88"/>
  <c r="T258" i="88"/>
  <c r="T266" i="88"/>
  <c r="T282" i="88"/>
  <c r="T299" i="88"/>
  <c r="T312" i="88"/>
  <c r="T320" i="88"/>
  <c r="T330" i="88"/>
  <c r="T338" i="88"/>
  <c r="T34" i="88"/>
  <c r="T38" i="88"/>
  <c r="T42" i="88"/>
  <c r="T46" i="88"/>
  <c r="T50" i="88"/>
  <c r="T53" i="88"/>
  <c r="T57" i="88"/>
  <c r="T61" i="88"/>
  <c r="T65" i="88"/>
  <c r="T111" i="88"/>
  <c r="T120" i="88"/>
  <c r="T123" i="88"/>
  <c r="T131" i="88"/>
  <c r="T139" i="88"/>
  <c r="T144" i="88"/>
  <c r="T147" i="88"/>
  <c r="T152" i="88"/>
  <c r="T168" i="88"/>
  <c r="T172" i="88"/>
  <c r="T180" i="88"/>
  <c r="T188" i="88"/>
  <c r="T196" i="88"/>
  <c r="T204" i="88"/>
  <c r="T212" i="88"/>
  <c r="T220" i="88"/>
  <c r="T244" i="88"/>
  <c r="T252" i="88"/>
  <c r="T260" i="88"/>
  <c r="T268" i="88"/>
  <c r="T284" i="88"/>
  <c r="T293" i="88"/>
  <c r="T301" i="88"/>
  <c r="T322" i="88"/>
  <c r="T332" i="88"/>
  <c r="T340" i="88"/>
  <c r="T97" i="88"/>
  <c r="T101" i="88"/>
  <c r="T104" i="88"/>
  <c r="T108" i="88"/>
  <c r="T116" i="88"/>
  <c r="T126" i="88"/>
  <c r="T134" i="88"/>
  <c r="T157" i="88"/>
  <c r="T165" i="88"/>
  <c r="T177" i="88"/>
  <c r="T185" i="88"/>
  <c r="T193" i="88"/>
  <c r="T201" i="88"/>
  <c r="T209" i="88"/>
  <c r="T217" i="88"/>
  <c r="T225" i="88"/>
  <c r="T249" i="88"/>
  <c r="T257" i="88"/>
  <c r="T265" i="88"/>
  <c r="T281" i="88"/>
  <c r="T298" i="88"/>
  <c r="T319" i="88"/>
  <c r="T329" i="88"/>
  <c r="T337" i="88"/>
  <c r="T52" i="88"/>
  <c r="T56" i="88"/>
  <c r="T60" i="88"/>
  <c r="T64" i="88"/>
  <c r="T90" i="88"/>
  <c r="T103" i="88"/>
  <c r="T107" i="88"/>
  <c r="T114" i="88"/>
  <c r="T132" i="88"/>
  <c r="T140" i="88"/>
  <c r="T153" i="88"/>
  <c r="T159" i="88"/>
  <c r="T167" i="88"/>
  <c r="T187" i="88"/>
  <c r="T195" i="88"/>
  <c r="T203" i="88"/>
  <c r="T211" i="88"/>
  <c r="T219" i="88"/>
  <c r="T227" i="88"/>
  <c r="T251" i="88"/>
  <c r="T259" i="88"/>
  <c r="T267" i="88"/>
  <c r="T283" i="88"/>
  <c r="T300" i="88"/>
  <c r="T313" i="88"/>
  <c r="T321" i="88"/>
  <c r="T331" i="88"/>
  <c r="T339" i="88"/>
  <c r="T156" i="88"/>
  <c r="S181" i="88"/>
  <c r="Q10" i="106"/>
  <c r="J23" i="92"/>
  <c r="K15" i="92" s="1"/>
  <c r="M15" i="92" s="1"/>
  <c r="L15" i="92" s="1"/>
  <c r="R15" i="92" s="1"/>
  <c r="S15" i="92" s="1"/>
  <c r="S52" i="88"/>
  <c r="G45" i="98"/>
  <c r="S55" i="88"/>
  <c r="S204" i="88"/>
  <c r="S208" i="88"/>
  <c r="S190" i="88"/>
  <c r="S205" i="88"/>
  <c r="S152" i="88"/>
  <c r="S168" i="88"/>
  <c r="S172" i="88"/>
  <c r="S176" i="88"/>
  <c r="S180" i="88"/>
  <c r="M4" i="98"/>
  <c r="J21" i="92"/>
  <c r="S103" i="88"/>
  <c r="K13" i="104"/>
  <c r="K18" i="104" s="1"/>
  <c r="S96" i="88"/>
  <c r="F8" i="104"/>
  <c r="F9" i="104" s="1"/>
  <c r="L3" i="98"/>
  <c r="M3" i="98" s="1"/>
  <c r="S38" i="88"/>
  <c r="S141" i="88"/>
  <c r="S151" i="88"/>
  <c r="S155" i="88"/>
  <c r="S159" i="88"/>
  <c r="S163" i="88"/>
  <c r="S183" i="88"/>
  <c r="S203" i="88"/>
  <c r="S207" i="88"/>
  <c r="Q17" i="92"/>
  <c r="Q21" i="92" s="1"/>
  <c r="S154" i="88"/>
  <c r="S166" i="88"/>
  <c r="S85" i="88"/>
  <c r="S54" i="88"/>
  <c r="S62" i="88"/>
  <c r="Z77" i="88"/>
  <c r="AA77" i="88" s="1"/>
  <c r="S111" i="88"/>
  <c r="S115" i="88"/>
  <c r="S187" i="88"/>
  <c r="S277" i="88"/>
  <c r="S283" i="88"/>
  <c r="P77" i="88"/>
  <c r="Z78" i="88"/>
  <c r="AA78" i="88" s="1"/>
  <c r="S213" i="88"/>
  <c r="S321" i="88"/>
  <c r="S40" i="88"/>
  <c r="S124" i="88"/>
  <c r="S128" i="88"/>
  <c r="S136" i="88"/>
  <c r="S60" i="88"/>
  <c r="S149" i="88"/>
  <c r="S174" i="88"/>
  <c r="S178" i="88"/>
  <c r="S313" i="88"/>
  <c r="S89" i="88"/>
  <c r="S132" i="88"/>
  <c r="S140" i="88"/>
  <c r="S56" i="88"/>
  <c r="S157" i="88"/>
  <c r="S161" i="88"/>
  <c r="S165" i="88"/>
  <c r="S202" i="88"/>
  <c r="S206" i="88"/>
  <c r="S164" i="88"/>
  <c r="S127" i="88"/>
  <c r="S131" i="88"/>
  <c r="S150" i="88"/>
  <c r="S95" i="88"/>
  <c r="S110" i="88"/>
  <c r="S195" i="88"/>
  <c r="S199" i="88"/>
  <c r="S94" i="88"/>
  <c r="S134" i="88"/>
  <c r="S185" i="88"/>
  <c r="S302" i="88"/>
  <c r="S59" i="88"/>
  <c r="S189" i="88"/>
  <c r="S194" i="88"/>
  <c r="S198" i="88"/>
  <c r="S35" i="88"/>
  <c r="S45" i="88"/>
  <c r="S121" i="88"/>
  <c r="S129" i="88"/>
  <c r="S184" i="88"/>
  <c r="S217" i="88"/>
  <c r="S123" i="88"/>
  <c r="S135" i="88"/>
  <c r="S139" i="88"/>
  <c r="S47" i="88"/>
  <c r="S61" i="88"/>
  <c r="S114" i="88"/>
  <c r="S118" i="88"/>
  <c r="S122" i="88"/>
  <c r="S126" i="88"/>
  <c r="S130" i="88"/>
  <c r="S46" i="88"/>
  <c r="S76" i="88"/>
  <c r="S34" i="88"/>
  <c r="S66" i="88"/>
  <c r="S73" i="88"/>
  <c r="S156" i="88"/>
  <c r="S169" i="88"/>
  <c r="S251" i="88"/>
  <c r="S259" i="88"/>
  <c r="S267" i="88"/>
  <c r="S342" i="88"/>
  <c r="S33" i="88"/>
  <c r="S80" i="88"/>
  <c r="S138" i="88"/>
  <c r="S188" i="88"/>
  <c r="S193" i="88"/>
  <c r="S211" i="88"/>
  <c r="S32" i="88"/>
  <c r="S64" i="88"/>
  <c r="S79" i="88"/>
  <c r="S116" i="88"/>
  <c r="S120" i="88"/>
  <c r="S133" i="88"/>
  <c r="S142" i="88"/>
  <c r="S148" i="88"/>
  <c r="S153" i="88"/>
  <c r="S158" i="88"/>
  <c r="S182" i="88"/>
  <c r="S192" i="88"/>
  <c r="S197" i="88"/>
  <c r="S201" i="88"/>
  <c r="S224" i="88"/>
  <c r="S249" i="88"/>
  <c r="S257" i="88"/>
  <c r="AA33" i="88"/>
  <c r="S39" i="88"/>
  <c r="R78" i="88"/>
  <c r="S137" i="88"/>
  <c r="S162" i="88"/>
  <c r="S167" i="88"/>
  <c r="S177" i="88"/>
  <c r="S186" i="88"/>
  <c r="S191" i="88"/>
  <c r="S196" i="88"/>
  <c r="S200" i="88"/>
  <c r="S331" i="88"/>
  <c r="S42" i="88"/>
  <c r="Q68" i="88"/>
  <c r="S68" i="88" s="1"/>
  <c r="Z68" i="88"/>
  <c r="M68" i="88"/>
  <c r="S261" i="88"/>
  <c r="S83" i="88"/>
  <c r="S106" i="88"/>
  <c r="S144" i="88"/>
  <c r="S146" i="88"/>
  <c r="S300" i="88"/>
  <c r="Z69" i="88"/>
  <c r="AA69" i="88" s="1"/>
  <c r="R69" i="88"/>
  <c r="S63" i="88"/>
  <c r="P69" i="88"/>
  <c r="S58" i="88"/>
  <c r="S86" i="88"/>
  <c r="S265" i="88"/>
  <c r="S37" i="88"/>
  <c r="S49" i="88"/>
  <c r="O70" i="88"/>
  <c r="Z70" i="88" s="1"/>
  <c r="AA70" i="88" s="1"/>
  <c r="S97" i="88"/>
  <c r="Q102" i="88"/>
  <c r="S102" i="88" s="1"/>
  <c r="Z102" i="88"/>
  <c r="S221" i="88"/>
  <c r="S319" i="88"/>
  <c r="S82" i="88"/>
  <c r="S36" i="88"/>
  <c r="S41" i="88"/>
  <c r="S53" i="88"/>
  <c r="S81" i="88"/>
  <c r="M88" i="88"/>
  <c r="S104" i="88"/>
  <c r="S335" i="88"/>
  <c r="S105" i="88"/>
  <c r="S143" i="88"/>
  <c r="S65" i="88"/>
  <c r="S74" i="88"/>
  <c r="S90" i="88"/>
  <c r="R91" i="88"/>
  <c r="S227" i="88"/>
  <c r="S245" i="88"/>
  <c r="S281" i="88"/>
  <c r="S329" i="88"/>
  <c r="S237" i="88"/>
  <c r="S253" i="88"/>
  <c r="S269" i="88"/>
  <c r="S285" i="88"/>
  <c r="S294" i="88"/>
  <c r="S323" i="88"/>
  <c r="S333" i="88"/>
  <c r="S209" i="88"/>
  <c r="S219" i="88"/>
  <c r="S225" i="88"/>
  <c r="S298" i="88"/>
  <c r="S337" i="88"/>
  <c r="S264" i="88"/>
  <c r="S305" i="88"/>
  <c r="S318" i="88"/>
  <c r="P51" i="88"/>
  <c r="S57" i="88"/>
  <c r="S50" i="88"/>
  <c r="R77" i="88"/>
  <c r="M77" i="88"/>
  <c r="Z92" i="88"/>
  <c r="AA92" i="88" s="1"/>
  <c r="S272" i="88"/>
  <c r="S297" i="88"/>
  <c r="L548" i="88"/>
  <c r="S216" i="88"/>
  <c r="S280" i="88"/>
  <c r="S328" i="88"/>
  <c r="R92" i="88"/>
  <c r="AA32" i="88"/>
  <c r="R51" i="88"/>
  <c r="Z51" i="88"/>
  <c r="AA51" i="88" s="1"/>
  <c r="Z87" i="88"/>
  <c r="AA87" i="88" s="1"/>
  <c r="R87" i="88"/>
  <c r="P87" i="88"/>
  <c r="S48" i="88"/>
  <c r="S67" i="88"/>
  <c r="S72" i="88"/>
  <c r="S93" i="88"/>
  <c r="S99" i="88"/>
  <c r="S215" i="88"/>
  <c r="S223" i="88"/>
  <c r="S231" i="88"/>
  <c r="S247" i="88"/>
  <c r="S255" i="88"/>
  <c r="S263" i="88"/>
  <c r="S271" i="88"/>
  <c r="S279" i="88"/>
  <c r="S296" i="88"/>
  <c r="S304" i="88"/>
  <c r="S317" i="88"/>
  <c r="S325" i="88"/>
  <c r="S334" i="88"/>
  <c r="S341" i="88"/>
  <c r="S71" i="88"/>
  <c r="S75" i="88"/>
  <c r="S88" i="88"/>
  <c r="S98" i="88"/>
  <c r="S214" i="88"/>
  <c r="S222" i="88"/>
  <c r="S230" i="88"/>
  <c r="S238" i="88"/>
  <c r="S246" i="88"/>
  <c r="S254" i="88"/>
  <c r="S262" i="88"/>
  <c r="S270" i="88"/>
  <c r="S278" i="88"/>
  <c r="S295" i="88"/>
  <c r="S303" i="88"/>
  <c r="S316" i="88"/>
  <c r="S324" i="88"/>
  <c r="S340" i="88"/>
  <c r="S84" i="88"/>
  <c r="S107" i="88"/>
  <c r="S108" i="88"/>
  <c r="S212" i="88"/>
  <c r="S220" i="88"/>
  <c r="S244" i="88"/>
  <c r="S252" i="88"/>
  <c r="S260" i="88"/>
  <c r="S268" i="88"/>
  <c r="S284" i="88"/>
  <c r="S293" i="88"/>
  <c r="S301" i="88"/>
  <c r="S322" i="88"/>
  <c r="S332" i="88"/>
  <c r="S43" i="88"/>
  <c r="S44" i="88"/>
  <c r="S210" i="88"/>
  <c r="S218" i="88"/>
  <c r="S226" i="88"/>
  <c r="S250" i="88"/>
  <c r="S258" i="88"/>
  <c r="S266" i="88"/>
  <c r="S282" i="88"/>
  <c r="S299" i="88"/>
  <c r="S312" i="88"/>
  <c r="S320" i="88"/>
  <c r="S330" i="88"/>
  <c r="S336" i="88"/>
  <c r="S339" i="88"/>
  <c r="S100" i="88"/>
  <c r="S101" i="88"/>
  <c r="S147" i="88"/>
  <c r="S338" i="88"/>
  <c r="K16" i="104"/>
  <c r="N15" i="104" s="1"/>
  <c r="Q548" i="88" l="1"/>
  <c r="AA68" i="88"/>
  <c r="AA102" i="88"/>
  <c r="K14" i="92"/>
  <c r="M14" i="92" s="1"/>
  <c r="L14" i="92" s="1"/>
  <c r="R14" i="92" s="1"/>
  <c r="S14" i="92" s="1"/>
  <c r="T102" i="88"/>
  <c r="S51" i="88"/>
  <c r="T51" i="88"/>
  <c r="S69" i="88"/>
  <c r="T69" i="88"/>
  <c r="S92" i="88"/>
  <c r="T92" i="88"/>
  <c r="S77" i="88"/>
  <c r="T77" i="88"/>
  <c r="S78" i="88"/>
  <c r="T78" i="88"/>
  <c r="S87" i="88"/>
  <c r="T87" i="88"/>
  <c r="S91" i="88"/>
  <c r="T91" i="88"/>
  <c r="T68" i="88"/>
  <c r="K12" i="92"/>
  <c r="M12" i="92" s="1"/>
  <c r="L12" i="92" s="1"/>
  <c r="R12" i="92" s="1"/>
  <c r="S12" i="92" s="1"/>
  <c r="K20" i="92"/>
  <c r="M20" i="92" s="1"/>
  <c r="L20" i="92" s="1"/>
  <c r="R20" i="92" s="1"/>
  <c r="S20" i="92" s="1"/>
  <c r="K6" i="92"/>
  <c r="M6" i="92" s="1"/>
  <c r="L6" i="92" s="1"/>
  <c r="R6" i="92" s="1"/>
  <c r="S6" i="92" s="1"/>
  <c r="K4" i="92"/>
  <c r="M4" i="92" s="1"/>
  <c r="L4" i="92" s="1"/>
  <c r="R4" i="92" s="1"/>
  <c r="S4" i="92" s="1"/>
  <c r="K18" i="92"/>
  <c r="M18" i="92" s="1"/>
  <c r="L18" i="92" s="1"/>
  <c r="R18" i="92" s="1"/>
  <c r="S18" i="92" s="1"/>
  <c r="K17" i="92"/>
  <c r="M17" i="92" s="1"/>
  <c r="L17" i="92" s="1"/>
  <c r="R17" i="92" s="1"/>
  <c r="S17" i="92" s="1"/>
  <c r="K10" i="92"/>
  <c r="M10" i="92" s="1"/>
  <c r="L10" i="92" s="1"/>
  <c r="R10" i="92" s="1"/>
  <c r="S10" i="92" s="1"/>
  <c r="K8" i="92"/>
  <c r="M8" i="92" s="1"/>
  <c r="L8" i="92" s="1"/>
  <c r="R8" i="92" s="1"/>
  <c r="S8" i="92" s="1"/>
  <c r="K3" i="92"/>
  <c r="M3" i="92" s="1"/>
  <c r="L3" i="92" s="1"/>
  <c r="K16" i="92"/>
  <c r="M16" i="92" s="1"/>
  <c r="L16" i="92" s="1"/>
  <c r="R16" i="92" s="1"/>
  <c r="S16" i="92" s="1"/>
  <c r="K5" i="92"/>
  <c r="M5" i="92" s="1"/>
  <c r="L5" i="92" s="1"/>
  <c r="R5" i="92" s="1"/>
  <c r="S5" i="92" s="1"/>
  <c r="K7" i="92"/>
  <c r="M7" i="92" s="1"/>
  <c r="L7" i="92" s="1"/>
  <c r="R7" i="92" s="1"/>
  <c r="S7" i="92" s="1"/>
  <c r="K19" i="92"/>
  <c r="M19" i="92" s="1"/>
  <c r="L19" i="92" s="1"/>
  <c r="R19" i="92" s="1"/>
  <c r="S19" i="92" s="1"/>
  <c r="K9" i="92"/>
  <c r="M9" i="92" s="1"/>
  <c r="L9" i="92" s="1"/>
  <c r="R9" i="92" s="1"/>
  <c r="S9" i="92" s="1"/>
  <c r="K11" i="92"/>
  <c r="M11" i="92" s="1"/>
  <c r="L11" i="92" s="1"/>
  <c r="R11" i="92" s="1"/>
  <c r="S11" i="92" s="1"/>
  <c r="K13" i="92"/>
  <c r="M13" i="92" s="1"/>
  <c r="L13" i="92" s="1"/>
  <c r="R13" i="92" s="1"/>
  <c r="S13" i="92" s="1"/>
  <c r="F11" i="104"/>
  <c r="H4" i="106"/>
  <c r="R70" i="88"/>
  <c r="R548" i="88" s="1"/>
  <c r="M548" i="88"/>
  <c r="P70" i="88"/>
  <c r="P548" i="88" s="1"/>
  <c r="Z548" i="88"/>
  <c r="AA548" i="88" l="1"/>
  <c r="S70" i="88"/>
  <c r="S548" i="88" s="1"/>
  <c r="T70" i="88"/>
  <c r="M21" i="92"/>
  <c r="F13" i="104"/>
  <c r="M13" i="104" s="1"/>
  <c r="M18" i="104" s="1"/>
  <c r="L21" i="92"/>
  <c r="R3" i="92"/>
  <c r="H6" i="106"/>
  <c r="Q4" i="106"/>
  <c r="Q6" i="106" s="1"/>
  <c r="N13" i="104" l="1"/>
  <c r="N18" i="104" s="1"/>
  <c r="N19" i="104" s="1"/>
  <c r="F16" i="104"/>
  <c r="F18" i="104" s="1"/>
  <c r="R21" i="92"/>
  <c r="S3" i="92"/>
  <c r="S21" i="92" s="1"/>
  <c r="T21" i="92" l="1"/>
  <c r="M29" i="92"/>
  <c r="H6" i="117" l="1"/>
  <c r="F5" i="117"/>
  <c r="F13" i="117"/>
  <c r="F7" i="117"/>
  <c r="F15" i="117"/>
  <c r="F14" i="117"/>
  <c r="F9" i="117"/>
  <c r="F8" i="117"/>
  <c r="F10" i="117"/>
  <c r="F6" i="117"/>
  <c r="F11" i="117"/>
  <c r="F12" i="117"/>
  <c r="I6" i="117"/>
  <c r="F16" i="117" l="1"/>
  <c r="J6" i="117"/>
  <c r="L6" i="117" s="1"/>
  <c r="F19" i="117"/>
  <c r="F41" i="117"/>
  <c r="F20" i="117" l="1"/>
  <c r="F21" i="117" s="1"/>
  <c r="F37" i="117" s="1"/>
  <c r="F42" i="117"/>
  <c r="F43" i="117" s="1"/>
  <c r="F59" i="117" s="1"/>
  <c r="E330" i="119" l="1"/>
  <c r="E5" i="120" s="1"/>
  <c r="E4" i="120" s="1"/>
  <c r="E331" i="119" l="1"/>
  <c r="F14" i="94"/>
  <c r="E215" i="121" s="1"/>
  <c r="E216" i="121" s="1"/>
  <c r="E223" i="121" s="1"/>
  <c r="E96" i="120" l="1"/>
  <c r="E294" i="120" s="1"/>
  <c r="E5" i="121" s="1"/>
  <c r="J6" i="94"/>
  <c r="E325" i="118"/>
  <c r="E326" i="118" s="1"/>
  <c r="E333" i="118" s="1"/>
  <c r="E336" i="116"/>
  <c r="E4" i="121" l="1"/>
  <c r="E87" i="121" s="1"/>
  <c r="E205" i="121" s="1"/>
  <c r="F30" i="94"/>
  <c r="L6" i="94"/>
  <c r="J10" i="94"/>
  <c r="E295" i="120"/>
  <c r="F18" i="94"/>
  <c r="F19" i="94" s="1"/>
  <c r="E337" i="116"/>
  <c r="E338" i="116" s="1"/>
  <c r="E345" i="116" s="1"/>
  <c r="E5" i="118" s="1"/>
  <c r="E4" i="118" s="1"/>
  <c r="E111" i="118" s="1"/>
  <c r="E340" i="119"/>
  <c r="E341" i="119" s="1"/>
  <c r="E348" i="119" s="1"/>
  <c r="E304" i="120"/>
  <c r="E305" i="120" s="1"/>
  <c r="E312" i="120" s="1"/>
  <c r="F42" i="94" l="1"/>
  <c r="F41" i="94" s="1"/>
  <c r="F83" i="94" s="1"/>
  <c r="F86" i="94" s="1"/>
  <c r="F111" i="94" s="1"/>
  <c r="I42" i="94" s="1"/>
  <c r="I41" i="94" s="1"/>
  <c r="I80" i="94" s="1"/>
  <c r="I83" i="94" s="1"/>
  <c r="I107" i="94" s="1"/>
  <c r="L206" i="121"/>
  <c r="L208" i="121" s="1"/>
  <c r="F31" i="94"/>
  <c r="E206" i="121"/>
  <c r="E315" i="118"/>
  <c r="E316" i="1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Alfonso Fonseca</author>
    <author>Julieth Bonilla</author>
  </authors>
  <commentList>
    <comment ref="D65" authorId="0" shapeId="0" xr:uid="{10059294-A49E-4EAC-8E15-E680936FFD00}">
      <text>
        <r>
          <rPr>
            <b/>
            <sz val="9"/>
            <color indexed="81"/>
            <rFont val="Tahoma"/>
            <family val="2"/>
          </rPr>
          <t xml:space="preserve">Tiene nota credito Nro 176 por valor de USD 16,62 </t>
        </r>
        <r>
          <rPr>
            <sz val="9"/>
            <color indexed="81"/>
            <rFont val="Tahoma"/>
            <family val="2"/>
          </rPr>
          <t xml:space="preserve">
</t>
        </r>
      </text>
    </comment>
    <comment ref="D67" authorId="0" shapeId="0" xr:uid="{47AAC5E1-E812-472E-945B-18197B9438A5}">
      <text>
        <r>
          <rPr>
            <b/>
            <sz val="9"/>
            <color indexed="81"/>
            <rFont val="Tahoma"/>
            <family val="2"/>
          </rPr>
          <t xml:space="preserve">Tiene nota credito Nro 176 por valor de USD 16,62 </t>
        </r>
        <r>
          <rPr>
            <sz val="9"/>
            <color indexed="81"/>
            <rFont val="Tahoma"/>
            <family val="2"/>
          </rPr>
          <t xml:space="preserve">
</t>
        </r>
      </text>
    </comment>
    <comment ref="E104" authorId="0" shapeId="0" xr:uid="{7DBC5274-7F2B-4E1A-9384-99F181C7DA2C}">
      <text>
        <r>
          <rPr>
            <b/>
            <sz val="9"/>
            <color indexed="81"/>
            <rFont val="Tahoma"/>
            <family val="2"/>
          </rPr>
          <t>Alfonso Fonseca:</t>
        </r>
        <r>
          <rPr>
            <sz val="9"/>
            <color indexed="81"/>
            <rFont val="Tahoma"/>
            <family val="2"/>
          </rPr>
          <t xml:space="preserve">
Se recibe mayor ingreso de lo facturado por valor de USD 501,11 debido a que se le genero una nota credito al cliente pero no la tuvo en cuenta en el pago. Por lo que este valor se tomará como anticipo</t>
        </r>
      </text>
    </comment>
    <comment ref="E105" authorId="0" shapeId="0" xr:uid="{05539CFC-EA73-4C95-A909-B2A3DDBA7C42}">
      <text>
        <r>
          <rPr>
            <b/>
            <sz val="9"/>
            <color indexed="81"/>
            <rFont val="Tahoma"/>
            <family val="2"/>
          </rPr>
          <t>Alfonso Fonseca:</t>
        </r>
        <r>
          <rPr>
            <sz val="9"/>
            <color indexed="81"/>
            <rFont val="Tahoma"/>
            <family val="2"/>
          </rPr>
          <t xml:space="preserve">
Se recibe mayor ingreso de lo facturado por valor de USD 501,11 debido a que se le genero una nota credito al cliente pero no la tuvo en cuenta en el pago. Por lo que este valor se tomará como anticipo</t>
        </r>
      </text>
    </comment>
    <comment ref="E243" authorId="1" shapeId="0" xr:uid="{54CB21A9-0CD9-459B-9205-13115100FC6D}">
      <text>
        <r>
          <rPr>
            <sz val="11"/>
            <color theme="1"/>
            <rFont val="Calibri"/>
            <family val="2"/>
            <scheme val="minor"/>
          </rPr>
          <t>Julieth Bonilla:
Se descuentan 102,500 por pago duplicado de la factura 6735</t>
        </r>
      </text>
    </comment>
    <comment ref="E268" authorId="0" shapeId="0" xr:uid="{8FF56B48-CC69-4AA6-B0A1-C2AB5AB3B40E}">
      <text>
        <r>
          <rPr>
            <b/>
            <sz val="9"/>
            <color indexed="81"/>
            <rFont val="Tahoma"/>
            <family val="2"/>
          </rPr>
          <t xml:space="preserve">Alfonso Fonseca: </t>
        </r>
        <r>
          <rPr>
            <sz val="9"/>
            <color indexed="81"/>
            <rFont val="Tahoma"/>
            <family val="2"/>
          </rPr>
          <t>Incluido impuestos</t>
        </r>
      </text>
    </comment>
    <comment ref="E286" authorId="0" shapeId="0" xr:uid="{9DE121CA-8E30-4276-BC7F-BBA94A1CC12D}">
      <text>
        <r>
          <rPr>
            <b/>
            <sz val="9"/>
            <color indexed="81"/>
            <rFont val="Tahoma"/>
            <family val="2"/>
          </rPr>
          <t xml:space="preserve">Alfonso Fonseca: </t>
        </r>
        <r>
          <rPr>
            <sz val="9"/>
            <color indexed="81"/>
            <rFont val="Tahoma"/>
            <family val="2"/>
          </rPr>
          <t>Incluido impuestos</t>
        </r>
      </text>
    </comment>
    <comment ref="D323" authorId="0" shapeId="0" xr:uid="{B698060F-8ED7-496D-A42D-AF993C4BE0E9}">
      <text>
        <r>
          <rPr>
            <b/>
            <sz val="9"/>
            <color indexed="81"/>
            <rFont val="Tahoma"/>
            <family val="2"/>
          </rPr>
          <t>Syohuo Marume $ 48.512.000 feb/23 ,
valentina Penagos $ 41.000.000 mes sep/23</t>
        </r>
        <r>
          <rPr>
            <sz val="9"/>
            <color indexed="81"/>
            <rFont val="Tahoma"/>
            <family val="2"/>
          </rPr>
          <t xml:space="preserve">
</t>
        </r>
      </text>
    </comment>
    <comment ref="D362" authorId="0" shapeId="0" xr:uid="{6EA75F54-0C38-48EF-A81B-1C70C2BD0817}">
      <text>
        <r>
          <rPr>
            <b/>
            <sz val="9"/>
            <color indexed="81"/>
            <rFont val="Tahoma"/>
            <family val="2"/>
          </rPr>
          <t>Incluido Global y PM</t>
        </r>
        <r>
          <rPr>
            <sz val="9"/>
            <color indexed="81"/>
            <rFont val="Tahoma"/>
            <family val="2"/>
          </rPr>
          <t xml:space="preserve">
</t>
        </r>
      </text>
    </comment>
    <comment ref="D363" authorId="0" shapeId="0" xr:uid="{2F6143B3-6EA8-4CD3-9136-4327B69573B8}">
      <text>
        <r>
          <rPr>
            <b/>
            <sz val="9"/>
            <color indexed="81"/>
            <rFont val="Tahoma"/>
            <family val="2"/>
          </rPr>
          <t>Incluido Global y PM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E275" authorId="0" shapeId="0" xr:uid="{083F3DB8-E106-40B1-B66F-ABF0A45FADDF}">
      <text>
        <r>
          <rPr>
            <b/>
            <sz val="9"/>
            <color indexed="81"/>
            <rFont val="Tahoma"/>
            <family val="2"/>
          </rPr>
          <t xml:space="preserve">Alfonso Fonseca: </t>
        </r>
        <r>
          <rPr>
            <sz val="9"/>
            <color indexed="81"/>
            <rFont val="Tahoma"/>
            <family val="2"/>
          </rPr>
          <t>Incluido impuestos</t>
        </r>
      </text>
    </comment>
    <comment ref="E276" authorId="0" shapeId="0" xr:uid="{DB383289-242B-4C33-913E-C2B8D90F3A60}">
      <text>
        <r>
          <rPr>
            <b/>
            <sz val="9"/>
            <color indexed="81"/>
            <rFont val="Tahoma"/>
            <family val="2"/>
          </rPr>
          <t xml:space="preserve">Alfonso Fonseca: </t>
        </r>
        <r>
          <rPr>
            <sz val="9"/>
            <color indexed="81"/>
            <rFont val="Tahoma"/>
            <family val="2"/>
          </rPr>
          <t>Incluido impuestos</t>
        </r>
      </text>
    </comment>
    <comment ref="E347" authorId="0" shapeId="0" xr:uid="{BA9B9C38-3851-4E22-B6C7-E48DA2C28FB4}">
      <text>
        <r>
          <rPr>
            <b/>
            <sz val="9"/>
            <color indexed="81"/>
            <rFont val="Tahoma"/>
            <family val="2"/>
          </rPr>
          <t>Cuenta cerrada por el banco el 13 enero</t>
        </r>
        <r>
          <rPr>
            <sz val="9"/>
            <color indexed="81"/>
            <rFont val="Tahoma"/>
            <family val="2"/>
          </rPr>
          <t xml:space="preserve">
</t>
        </r>
      </text>
    </comment>
    <comment ref="D350" authorId="0" shapeId="0" xr:uid="{9F0E9029-64CD-4195-8A13-61D74AECA38B}">
      <text>
        <r>
          <rPr>
            <b/>
            <sz val="9"/>
            <color indexed="81"/>
            <rFont val="Tahoma"/>
            <family val="2"/>
          </rPr>
          <t>Incluido Global y PM</t>
        </r>
        <r>
          <rPr>
            <sz val="9"/>
            <color indexed="81"/>
            <rFont val="Tahoma"/>
            <family val="2"/>
          </rPr>
          <t xml:space="preserve">
</t>
        </r>
      </text>
    </comment>
    <comment ref="D351" authorId="0" shapeId="0" xr:uid="{63BF59B4-5670-4C7C-8C64-D7971B843AC3}">
      <text>
        <r>
          <rPr>
            <b/>
            <sz val="9"/>
            <color indexed="81"/>
            <rFont val="Tahoma"/>
            <family val="2"/>
          </rPr>
          <t>Incluido Global y PM</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E273" authorId="0" shapeId="0" xr:uid="{FC56C3A1-0231-4EB8-AEFF-42B23F3BE23A}">
      <text>
        <r>
          <rPr>
            <b/>
            <sz val="9"/>
            <color indexed="81"/>
            <rFont val="Tahoma"/>
            <family val="2"/>
          </rPr>
          <t xml:space="preserve">Alfonso Fonseca: </t>
        </r>
        <r>
          <rPr>
            <sz val="9"/>
            <color indexed="81"/>
            <rFont val="Tahoma"/>
            <family val="2"/>
          </rPr>
          <t>Incluido impuestos</t>
        </r>
      </text>
    </comment>
    <comment ref="E274" authorId="0" shapeId="0" xr:uid="{94C0C4C2-2CC8-4830-9256-32DD03F866F1}">
      <text>
        <r>
          <rPr>
            <b/>
            <sz val="9"/>
            <color indexed="81"/>
            <rFont val="Tahoma"/>
            <family val="2"/>
          </rPr>
          <t xml:space="preserve">Alfonso Fonseca: </t>
        </r>
        <r>
          <rPr>
            <sz val="9"/>
            <color indexed="81"/>
            <rFont val="Tahoma"/>
            <family val="2"/>
          </rPr>
          <t>Incluido impuestos</t>
        </r>
      </text>
    </comment>
    <comment ref="E297" authorId="0" shapeId="0" xr:uid="{2949542E-65DD-4185-B258-B6C1069F5455}">
      <text>
        <r>
          <rPr>
            <b/>
            <sz val="9"/>
            <color indexed="81"/>
            <rFont val="Tahoma"/>
            <family val="2"/>
          </rPr>
          <t xml:space="preserve">Alfonso Fonseca: </t>
        </r>
        <r>
          <rPr>
            <sz val="9"/>
            <color indexed="81"/>
            <rFont val="Tahoma"/>
            <family val="2"/>
          </rPr>
          <t>Incluido impuestos</t>
        </r>
      </text>
    </comment>
    <comment ref="E363" authorId="0" shapeId="0" xr:uid="{1D1EB901-54B3-4E56-B907-7191DDD23AC3}">
      <text>
        <r>
          <rPr>
            <b/>
            <sz val="9"/>
            <color indexed="81"/>
            <rFont val="Tahoma"/>
            <family val="2"/>
          </rPr>
          <t>Cuenta cerrada por el banco el 13 enero</t>
        </r>
        <r>
          <rPr>
            <sz val="9"/>
            <color indexed="81"/>
            <rFont val="Tahoma"/>
            <family val="2"/>
          </rPr>
          <t xml:space="preserve">
</t>
        </r>
      </text>
    </comment>
    <comment ref="D366" authorId="0" shapeId="0" xr:uid="{DA99ADBF-FAEB-4BB7-A72D-16F4A9E0133B}">
      <text>
        <r>
          <rPr>
            <b/>
            <sz val="9"/>
            <color indexed="81"/>
            <rFont val="Tahoma"/>
            <family val="2"/>
          </rPr>
          <t>Incluido Global y PM</t>
        </r>
        <r>
          <rPr>
            <sz val="9"/>
            <color indexed="81"/>
            <rFont val="Tahoma"/>
            <family val="2"/>
          </rPr>
          <t xml:space="preserve">
</t>
        </r>
      </text>
    </comment>
    <comment ref="D367" authorId="0" shapeId="0" xr:uid="{A5F2DD85-5263-4706-A2D8-1AB81DFA2C90}">
      <text>
        <r>
          <rPr>
            <b/>
            <sz val="9"/>
            <color indexed="81"/>
            <rFont val="Tahoma"/>
            <family val="2"/>
          </rPr>
          <t>Incluido Global y PM</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E272" authorId="0" shapeId="0" xr:uid="{748B5D10-9A39-489F-B652-BB9D77E7699B}">
      <text>
        <r>
          <rPr>
            <b/>
            <sz val="9"/>
            <color indexed="81"/>
            <rFont val="Tahoma"/>
            <family val="2"/>
          </rPr>
          <t xml:space="preserve">Alfonso Fonseca: </t>
        </r>
        <r>
          <rPr>
            <sz val="9"/>
            <color indexed="81"/>
            <rFont val="Tahoma"/>
            <family val="2"/>
          </rPr>
          <t>Incluido impuestos</t>
        </r>
      </text>
    </comment>
    <comment ref="E327" authorId="0" shapeId="0" xr:uid="{3928CACE-790E-475E-BB28-9D93562CF0A1}">
      <text>
        <r>
          <rPr>
            <b/>
            <sz val="9"/>
            <color indexed="81"/>
            <rFont val="Tahoma"/>
            <family val="2"/>
          </rPr>
          <t>Cuenta cerrada por el banco el 13 enero</t>
        </r>
        <r>
          <rPr>
            <sz val="9"/>
            <color indexed="81"/>
            <rFont val="Tahoma"/>
            <family val="2"/>
          </rPr>
          <t xml:space="preserve">
</t>
        </r>
      </text>
    </comment>
    <comment ref="D330" authorId="0" shapeId="0" xr:uid="{27C698CD-C3AB-461C-A1D2-ECA65BE9BDCB}">
      <text>
        <r>
          <rPr>
            <b/>
            <sz val="9"/>
            <color indexed="81"/>
            <rFont val="Tahoma"/>
            <family val="2"/>
          </rPr>
          <t>Incluido Global y PM</t>
        </r>
        <r>
          <rPr>
            <sz val="9"/>
            <color indexed="81"/>
            <rFont val="Tahoma"/>
            <family val="2"/>
          </rPr>
          <t xml:space="preserve">
</t>
        </r>
      </text>
    </comment>
    <comment ref="D331" authorId="0" shapeId="0" xr:uid="{B11C8353-8A3E-4836-8896-AE14A768CD0F}">
      <text>
        <r>
          <rPr>
            <b/>
            <sz val="9"/>
            <color indexed="81"/>
            <rFont val="Tahoma"/>
            <family val="2"/>
          </rPr>
          <t>Incluido Global y PM</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E187" authorId="0" shapeId="0" xr:uid="{DEDF9222-EB26-4CDA-B1E8-F773FB7EAE6E}">
      <text>
        <r>
          <rPr>
            <b/>
            <sz val="9"/>
            <color indexed="81"/>
            <rFont val="Tahoma"/>
            <family val="2"/>
          </rPr>
          <t xml:space="preserve">Alfonso Fonseca: </t>
        </r>
        <r>
          <rPr>
            <sz val="9"/>
            <color indexed="81"/>
            <rFont val="Tahoma"/>
            <family val="2"/>
          </rPr>
          <t>Incluido impuestos</t>
        </r>
      </text>
    </comment>
    <comment ref="E238" authorId="0" shapeId="0" xr:uid="{496A1634-A8A4-47E1-BB0E-2DD14C50D726}">
      <text>
        <r>
          <rPr>
            <b/>
            <sz val="9"/>
            <color indexed="81"/>
            <rFont val="Tahoma"/>
            <family val="2"/>
          </rPr>
          <t>Cuenta cerrada por el banco el 13 enero</t>
        </r>
        <r>
          <rPr>
            <sz val="9"/>
            <color indexed="81"/>
            <rFont val="Tahoma"/>
            <family val="2"/>
          </rPr>
          <t xml:space="preserve">
</t>
        </r>
      </text>
    </comment>
    <comment ref="D241" authorId="0" shapeId="0" xr:uid="{ACF8230E-65FF-4647-9BA4-8E486700315F}">
      <text>
        <r>
          <rPr>
            <b/>
            <sz val="9"/>
            <color indexed="81"/>
            <rFont val="Tahoma"/>
            <family val="2"/>
          </rPr>
          <t>Incluido Global y PM</t>
        </r>
        <r>
          <rPr>
            <sz val="9"/>
            <color indexed="81"/>
            <rFont val="Tahoma"/>
            <family val="2"/>
          </rPr>
          <t xml:space="preserve">
</t>
        </r>
      </text>
    </comment>
    <comment ref="D242" authorId="0" shapeId="0" xr:uid="{80AA14F7-F349-4DE6-BBB5-B4D70959EC2C}">
      <text>
        <r>
          <rPr>
            <b/>
            <sz val="9"/>
            <color indexed="81"/>
            <rFont val="Tahoma"/>
            <family val="2"/>
          </rPr>
          <t>Incluido Global y PM</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I97" authorId="0" shapeId="0" xr:uid="{AED23CA6-58B4-44ED-A483-90049F4229E0}">
      <text>
        <r>
          <rPr>
            <b/>
            <sz val="9"/>
            <color indexed="81"/>
            <rFont val="Tahoma"/>
            <family val="2"/>
          </rPr>
          <t>Alfonso Fonseca:</t>
        </r>
        <r>
          <rPr>
            <sz val="9"/>
            <color indexed="81"/>
            <rFont val="Tahoma"/>
            <family val="2"/>
          </rPr>
          <t xml:space="preserve">
Incluido impuestos</t>
        </r>
      </text>
    </comment>
    <comment ref="F100" authorId="0" shapeId="0" xr:uid="{3A6E9D10-29BE-4BF2-B680-3BB8FD70396D}">
      <text>
        <r>
          <rPr>
            <b/>
            <sz val="9"/>
            <color indexed="81"/>
            <rFont val="Tahoma"/>
            <family val="2"/>
          </rPr>
          <t>Alfonso Fonseca:</t>
        </r>
        <r>
          <rPr>
            <sz val="9"/>
            <color indexed="81"/>
            <rFont val="Tahoma"/>
            <family val="2"/>
          </rPr>
          <t xml:space="preserve">
Incluido impuestos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C64" authorId="0" shapeId="0" xr:uid="{42C7E345-06EB-4BEA-A72F-31AE2056C6DF}">
      <text>
        <r>
          <rPr>
            <b/>
            <sz val="9"/>
            <color indexed="81"/>
            <rFont val="Tahoma"/>
            <family val="2"/>
          </rPr>
          <t>Tener en cuenta que el cliente envio USD 236,12 de los que se le facturo. Se toma este mayor valor como anticipo para ser cruzado con las futuras facturas.</t>
        </r>
        <r>
          <rPr>
            <sz val="9"/>
            <color indexed="81"/>
            <rFont val="Tahoma"/>
            <family val="2"/>
          </rPr>
          <t xml:space="preserve">
</t>
        </r>
      </text>
    </comment>
    <comment ref="K102" authorId="0" shapeId="0" xr:uid="{DC16C489-77DE-48FF-A692-3DD414E05FA0}">
      <text>
        <r>
          <rPr>
            <b/>
            <sz val="9"/>
            <color indexed="81"/>
            <rFont val="Tahoma"/>
            <family val="2"/>
          </rPr>
          <t>Nota crédito Nro 150 por valor de USD 827,72. el día 31/03/2025.</t>
        </r>
        <r>
          <rPr>
            <sz val="9"/>
            <color indexed="81"/>
            <rFont val="Tahoma"/>
            <family val="2"/>
          </rPr>
          <t xml:space="preserve">
</t>
        </r>
      </text>
    </comment>
    <comment ref="C148" authorId="0" shapeId="0" xr:uid="{3001DF75-F640-4650-83B0-9700CAB5051D}">
      <text>
        <r>
          <rPr>
            <b/>
            <sz val="9"/>
            <color indexed="81"/>
            <rFont val="Tahoma"/>
            <family val="2"/>
          </rPr>
          <t xml:space="preserve">Favor tener en cuenta que al pago de este dinero le aplicaron la NC 149 por valor de USD 1.357,06.
Las notas créditos emitidas para la factura 6015 que fue la Nro. 160 y 162 por valor de USD 1.801,05 no las aplicó el cliente. 
</t>
        </r>
        <r>
          <rPr>
            <sz val="9"/>
            <color indexed="81"/>
            <rFont val="Tahoma"/>
            <family val="2"/>
          </rPr>
          <t xml:space="preserve">
</t>
        </r>
      </text>
    </comment>
    <comment ref="K167" authorId="0" shapeId="0" xr:uid="{EE5B013F-7E60-4D0B-A8F0-9109497AD668}">
      <text>
        <r>
          <rPr>
            <b/>
            <sz val="9"/>
            <color indexed="81"/>
            <rFont val="Tahoma"/>
            <family val="2"/>
          </rPr>
          <t>Tiene NC 167 Se aplica nota crédito a la factura 6114 por ajuste en TRM por modificación en política de manejo</t>
        </r>
        <r>
          <rPr>
            <sz val="9"/>
            <color indexed="81"/>
            <rFont val="Tahoma"/>
            <family val="2"/>
          </rPr>
          <t xml:space="preserve">
</t>
        </r>
      </text>
    </comment>
    <comment ref="K174" authorId="0" shapeId="0" xr:uid="{301F0073-A6E1-49F4-A35B-B60A629253F2}">
      <text>
        <r>
          <rPr>
            <b/>
            <sz val="9"/>
            <color indexed="81"/>
            <rFont val="Tahoma"/>
            <family val="2"/>
          </rPr>
          <t>El cliente aplica al pago la NC 162 por valor de USD 1.658,25</t>
        </r>
        <r>
          <rPr>
            <sz val="9"/>
            <color indexed="81"/>
            <rFont val="Tahoma"/>
            <family val="2"/>
          </rPr>
          <t xml:space="preserve">
</t>
        </r>
      </text>
    </comment>
    <comment ref="K175" authorId="0" shapeId="0" xr:uid="{5D6AD908-50FF-4940-B18B-3038EB0BD9A0}">
      <text>
        <r>
          <rPr>
            <b/>
            <sz val="9"/>
            <color indexed="81"/>
            <rFont val="Tahoma"/>
            <family val="2"/>
          </rPr>
          <t>El cliente aplica al pago la NC 161 por valor de USD 292.46</t>
        </r>
        <r>
          <rPr>
            <sz val="9"/>
            <color indexed="81"/>
            <rFont val="Tahoma"/>
            <family val="2"/>
          </rPr>
          <t xml:space="preserve">
</t>
        </r>
      </text>
    </comment>
    <comment ref="K201" authorId="0" shapeId="0" xr:uid="{49690E18-4F94-4D9F-9F55-ACE365896ED9}">
      <text>
        <r>
          <rPr>
            <b/>
            <sz val="9"/>
            <color indexed="81"/>
            <rFont val="Tahoma"/>
            <family val="2"/>
          </rPr>
          <t>Alfonso Fonseca:</t>
        </r>
        <r>
          <rPr>
            <sz val="9"/>
            <color indexed="81"/>
            <rFont val="Tahoma"/>
            <family val="2"/>
          </rPr>
          <t xml:space="preserve">
1) Nota crédito 170 por devolución de dinero que no se le pago a Max Turner USD 19.391,52
2) Nota crédito 169 etiro de empleado  USD 502,91</t>
        </r>
      </text>
    </comment>
    <comment ref="L201" authorId="0" shapeId="0" xr:uid="{A27B8685-AB7B-4648-AC97-5B3D49BC1344}">
      <text>
        <r>
          <rPr>
            <b/>
            <sz val="9"/>
            <color indexed="81"/>
            <rFont val="Tahoma"/>
            <family val="2"/>
          </rPr>
          <t>Alfonso Fonseca:</t>
        </r>
        <r>
          <rPr>
            <sz val="9"/>
            <color indexed="81"/>
            <rFont val="Tahoma"/>
            <family val="2"/>
          </rPr>
          <t xml:space="preserve">
1) Nota crédito 170 por devolución de dinero que no se le pago a Max Turner USD 19.391,52
2) Nota crédito 169 etiro de empleado  USD 502,91</t>
        </r>
      </text>
    </comment>
    <comment ref="C340" authorId="0" shapeId="0" xr:uid="{EE280CAB-BF14-4FC8-82A1-EE7AC6184E83}">
      <text>
        <r>
          <rPr>
            <b/>
            <sz val="9"/>
            <color indexed="81"/>
            <rFont val="Tahoma"/>
            <family val="2"/>
          </rPr>
          <t>Perú</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M126" authorId="0" shapeId="0" xr:uid="{834D34CF-C652-4B4E-9CFA-1A2AD606D463}">
      <text>
        <r>
          <rPr>
            <b/>
            <sz val="9"/>
            <color indexed="81"/>
            <rFont val="Tahoma"/>
            <family val="2"/>
          </rPr>
          <t>Alfonso Fonseca:</t>
        </r>
        <r>
          <rPr>
            <sz val="9"/>
            <color indexed="81"/>
            <rFont val="Tahoma"/>
            <family val="2"/>
          </rPr>
          <t xml:space="preserve">
Incluido impuestos</t>
        </r>
      </text>
    </comment>
    <comment ref="F128" authorId="0" shapeId="0" xr:uid="{8C301548-C8B5-4909-B399-720CFED354FD}">
      <text>
        <r>
          <rPr>
            <b/>
            <sz val="9"/>
            <color indexed="81"/>
            <rFont val="Tahoma"/>
            <family val="2"/>
          </rPr>
          <t>Alfonso Fonseca:</t>
        </r>
        <r>
          <rPr>
            <sz val="9"/>
            <color indexed="81"/>
            <rFont val="Tahoma"/>
            <family val="2"/>
          </rPr>
          <t xml:space="preserve">
Incluido impuestos</t>
        </r>
      </text>
    </comment>
    <comment ref="I129" authorId="0" shapeId="0" xr:uid="{7279064F-D017-4470-B440-72A35173102C}">
      <text>
        <r>
          <rPr>
            <b/>
            <sz val="9"/>
            <color indexed="81"/>
            <rFont val="Tahoma"/>
            <family val="2"/>
          </rPr>
          <t>Alfonso Fonseca:</t>
        </r>
        <r>
          <rPr>
            <sz val="9"/>
            <color indexed="81"/>
            <rFont val="Tahoma"/>
            <family val="2"/>
          </rPr>
          <t xml:space="preserve">
Incluido impuestos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Alfonso Fonseca</author>
  </authors>
  <commentList>
    <comment ref="K23" authorId="0" shapeId="0" xr:uid="{B0EFE6D3-189C-48A3-8EE7-29A909CB7431}">
      <text>
        <r>
          <rPr>
            <b/>
            <sz val="9"/>
            <color indexed="81"/>
            <rFont val="Tahoma"/>
            <family val="2"/>
          </rPr>
          <t>Banking Taxes</t>
        </r>
        <r>
          <rPr>
            <sz val="9"/>
            <color indexed="81"/>
            <rFont val="Tahoma"/>
            <family val="2"/>
          </rPr>
          <t xml:space="preserve">
</t>
        </r>
      </text>
    </comment>
  </commentList>
</comments>
</file>

<file path=xl/sharedStrings.xml><?xml version="1.0" encoding="utf-8"?>
<sst xmlns="http://schemas.openxmlformats.org/spreadsheetml/2006/main" count="6214" uniqueCount="1776">
  <si>
    <t>FESTIVOS COLOMBIA</t>
  </si>
  <si>
    <t>BANCOS</t>
  </si>
  <si>
    <t>Bancos</t>
  </si>
  <si>
    <t>CLIENTES</t>
  </si>
  <si>
    <t>Pagado</t>
  </si>
  <si>
    <t>Sin Pagar</t>
  </si>
  <si>
    <t>PE</t>
  </si>
  <si>
    <t>Advancio Factura # 5461 EO Third parties service ADVANCIO - (November)</t>
  </si>
  <si>
    <t>TOTAL INGRESOS</t>
  </si>
  <si>
    <t xml:space="preserve">CUENTAS X PAGAR MES </t>
  </si>
  <si>
    <t>Fecha de Elaboración:</t>
  </si>
  <si>
    <t>Factura</t>
  </si>
  <si>
    <t>PROVEEDOR</t>
  </si>
  <si>
    <t>VALOR</t>
  </si>
  <si>
    <t>Fecha vencimiento</t>
  </si>
  <si>
    <t>Estado</t>
  </si>
  <si>
    <t>KPI</t>
  </si>
  <si>
    <t>Objeto</t>
  </si>
  <si>
    <t>PAGOS ANTICIPADOS</t>
  </si>
  <si>
    <t>Anticipo nómina Nazdar</t>
  </si>
  <si>
    <t>Cancelado</t>
  </si>
  <si>
    <t xml:space="preserve">SEGURIDAD SOCIAL   </t>
  </si>
  <si>
    <t xml:space="preserve">Seguridad social </t>
  </si>
  <si>
    <t>AFC´S</t>
  </si>
  <si>
    <t xml:space="preserve">AFC OER electronico </t>
  </si>
  <si>
    <t xml:space="preserve">AFC Edward Forero </t>
  </si>
  <si>
    <t xml:space="preserve">IMPUESTOS </t>
  </si>
  <si>
    <t>IVA</t>
  </si>
  <si>
    <t xml:space="preserve">RETENCIÓN EN LA FUENTE </t>
  </si>
  <si>
    <t>Retención de IVA</t>
  </si>
  <si>
    <t>RTE ICA ( cada dos meses)</t>
  </si>
  <si>
    <t>ARRIENDO, INTERNET, TELEFONIA Y GASTOS DE OFICINA</t>
  </si>
  <si>
    <t>WORKPLACE SOLUTIONS GROUP SAS (SPACIO)</t>
  </si>
  <si>
    <t>Movistar Office 365</t>
  </si>
  <si>
    <t>Rafael Mier (arriendo Bodega para S&amp;P)</t>
  </si>
  <si>
    <t>Claro Office 365</t>
  </si>
  <si>
    <t xml:space="preserve">Claro-Telefonia </t>
  </si>
  <si>
    <t>Movistar telefonía</t>
  </si>
  <si>
    <t>S/N</t>
  </si>
  <si>
    <t>PLANES COMPLEMENTARIOS Y PREPAGADAS</t>
  </si>
  <si>
    <t>Plan complementario Ricardo Arambulo</t>
  </si>
  <si>
    <t>PÓLIZAS Y SEGUROS</t>
  </si>
  <si>
    <r>
      <t xml:space="preserve">Poliza Suramericana Póliza </t>
    </r>
    <r>
      <rPr>
        <b/>
        <sz val="11"/>
        <color rgb="FF0000CC"/>
        <rFont val="Calibri"/>
        <family val="2"/>
        <scheme val="minor"/>
      </rPr>
      <t>#  083004098664</t>
    </r>
  </si>
  <si>
    <r>
      <t xml:space="preserve">Poliza Suramericana Póliza </t>
    </r>
    <r>
      <rPr>
        <b/>
        <sz val="11"/>
        <color rgb="FF0000CC"/>
        <rFont val="Calibri"/>
        <family val="2"/>
        <scheme val="minor"/>
      </rPr>
      <t>#  091000808492</t>
    </r>
  </si>
  <si>
    <t>Sin radicar</t>
  </si>
  <si>
    <t>SERVICIOS DE MENSAJERÍA</t>
  </si>
  <si>
    <t>Yecid Martin</t>
  </si>
  <si>
    <t>REEMBOLSO SAIPEM</t>
  </si>
  <si>
    <t>ASESORÍAS</t>
  </si>
  <si>
    <t>Nixcom Servicio técnico mensual</t>
  </si>
  <si>
    <t>Barrera Palacios</t>
  </si>
  <si>
    <t>Simbolo Group</t>
  </si>
  <si>
    <t xml:space="preserve">Edward Felipe Forero Osorio </t>
  </si>
  <si>
    <t xml:space="preserve">Analia Lorena Di Nicola </t>
  </si>
  <si>
    <t>Yoana Forero Servicios profesionales -Costa Rica</t>
  </si>
  <si>
    <t>Carvajal</t>
  </si>
  <si>
    <t>ACT&amp;J Consultores  S&amp;P</t>
  </si>
  <si>
    <t xml:space="preserve">COSTOS FINANCIEROS </t>
  </si>
  <si>
    <t>Costos financieros (Cuentas S&amp;P)</t>
  </si>
  <si>
    <t>CRÉDITOS-LIBRANZAS</t>
  </si>
  <si>
    <t>Libranza Compensar</t>
  </si>
  <si>
    <t>TARJETAS DE CRÉDITO</t>
  </si>
  <si>
    <r>
      <t xml:space="preserve">TC Bancolombia-Ramon Esteban Cardona Salazar </t>
    </r>
    <r>
      <rPr>
        <b/>
        <i/>
        <sz val="11"/>
        <color rgb="FF3333FF"/>
        <rFont val="Calibri"/>
        <family val="2"/>
        <scheme val="minor"/>
      </rPr>
      <t>TC 5996</t>
    </r>
  </si>
  <si>
    <t>ESTUDIOS DE SEGURIDAD Y EXAMENES OCUPACIONALES</t>
  </si>
  <si>
    <t xml:space="preserve">EMASOC </t>
  </si>
  <si>
    <t>SOFTWARE NÓMINA</t>
  </si>
  <si>
    <t>Práxedes nómina electronica-Transmisión nómina eléctronica Noviembre</t>
  </si>
  <si>
    <t>NÓMINAS Y ABONO A TARJETAS PEOPLE PASS</t>
  </si>
  <si>
    <t>Nomina S&amp;P</t>
  </si>
  <si>
    <t xml:space="preserve">Embargo Daniel Fernando Salamanca-Neo- Banco Agrario </t>
  </si>
  <si>
    <t>People Pass bienestar, medios de transporte y alimentación</t>
  </si>
  <si>
    <t xml:space="preserve">LIQUIDACIONES </t>
  </si>
  <si>
    <t>IMPREVISTO</t>
  </si>
  <si>
    <t>TOTAL EGRESOS</t>
  </si>
  <si>
    <t>SALDO</t>
  </si>
  <si>
    <t xml:space="preserve">% </t>
  </si>
  <si>
    <t>Nombre</t>
  </si>
  <si>
    <r>
      <t>Jerson Porras -</t>
    </r>
    <r>
      <rPr>
        <b/>
        <sz val="11"/>
        <color rgb="FFFF0000"/>
        <rFont val="Calibri"/>
        <family val="2"/>
        <scheme val="minor"/>
      </rPr>
      <t>Tarjeta 7</t>
    </r>
  </si>
  <si>
    <t>Carestream</t>
  </si>
  <si>
    <r>
      <t>Monica Fabiana Hernandez Pinto -</t>
    </r>
    <r>
      <rPr>
        <sz val="11"/>
        <color rgb="FFFF0000"/>
        <rFont val="Calibri"/>
        <family val="2"/>
        <scheme val="minor"/>
      </rPr>
      <t xml:space="preserve"> </t>
    </r>
    <r>
      <rPr>
        <b/>
        <sz val="11"/>
        <color rgb="FFFF0000"/>
        <rFont val="Calibri"/>
        <family val="2"/>
        <scheme val="minor"/>
      </rPr>
      <t>Tarjeta 8</t>
    </r>
  </si>
  <si>
    <t>Root capital</t>
  </si>
  <si>
    <t xml:space="preserve">Total Caja </t>
  </si>
  <si>
    <t>Dato Informativo no es CTA de S&amp;P</t>
  </si>
  <si>
    <t>Total</t>
  </si>
  <si>
    <t>Reembolso caja menor</t>
  </si>
  <si>
    <t>Dario Mendez</t>
  </si>
  <si>
    <t>REEMBOLSOS INSIDER</t>
  </si>
  <si>
    <r>
      <t>Libranza Compensar-</t>
    </r>
    <r>
      <rPr>
        <b/>
        <i/>
        <sz val="11"/>
        <color rgb="FF3333FF"/>
        <rFont val="Calibri"/>
        <family val="2"/>
        <scheme val="minor"/>
      </rPr>
      <t>BBVA</t>
    </r>
  </si>
  <si>
    <t>PAGOS POR SEMANAS</t>
  </si>
  <si>
    <t xml:space="preserve">4 x mil </t>
  </si>
  <si>
    <t>Gran total</t>
  </si>
  <si>
    <t>Superavit o Deficit</t>
  </si>
  <si>
    <t>Saldo</t>
  </si>
  <si>
    <t>Anticipo nómina Action</t>
  </si>
  <si>
    <t>Plan complementario Eduard Forero</t>
  </si>
  <si>
    <t>Mundo express</t>
  </si>
  <si>
    <t xml:space="preserve">Pedro Pablo oviedo Cutiva- Cuenta Ricardo Arambulo </t>
  </si>
  <si>
    <t>ACT&amp;J Consultores  Global</t>
  </si>
  <si>
    <r>
      <t xml:space="preserve">TC Bancolombia </t>
    </r>
    <r>
      <rPr>
        <b/>
        <sz val="11"/>
        <color rgb="FFFF0000"/>
        <rFont val="Calibri"/>
        <family val="2"/>
        <scheme val="minor"/>
      </rPr>
      <t>TC 4853</t>
    </r>
  </si>
  <si>
    <t>Prosinte</t>
  </si>
  <si>
    <t>Pago intereses PM</t>
  </si>
  <si>
    <t xml:space="preserve">AFC Dafuturo cheque </t>
  </si>
  <si>
    <t xml:space="preserve">AFC Edward Forero electronico </t>
  </si>
  <si>
    <t>Rejimetal  Factura # 4441-4524-4609-4688-4788-4865-4970-5060-5150-5272-5372-5485-5565-5642-5721-5802-588</t>
  </si>
  <si>
    <t>EXAMENES MÉDICOS SAIPEM y OTROS</t>
  </si>
  <si>
    <t>REEMBOLSOS REMOFIRST-YON YOU-AECID</t>
  </si>
  <si>
    <t>Sebastían Romero Espitia</t>
  </si>
  <si>
    <t>José Joaquín Salcedo Duran ( Consultoria en seguridad información)</t>
  </si>
  <si>
    <t>TIQUETES AÉREOS , HOTELES SAIPEM-AECID</t>
  </si>
  <si>
    <t>Dinterweb factura # 5646-5725-5805-5892-5974-6061</t>
  </si>
  <si>
    <r>
      <t xml:space="preserve">Distritech facturas # 6235 </t>
    </r>
    <r>
      <rPr>
        <b/>
        <sz val="11"/>
        <color rgb="FF008000"/>
        <rFont val="Calibri"/>
        <family val="2"/>
        <scheme val="minor"/>
      </rPr>
      <t>Llega por Panamá</t>
    </r>
  </si>
  <si>
    <t>People Pass Dotación</t>
  </si>
  <si>
    <t>Edgar Rafael Obrador Borja</t>
  </si>
  <si>
    <t xml:space="preserve">Sara Forero Osorio </t>
  </si>
  <si>
    <t>1 registro</t>
  </si>
  <si>
    <t>Europortage</t>
  </si>
  <si>
    <t>Flexco</t>
  </si>
  <si>
    <t>Insider</t>
  </si>
  <si>
    <t>MKD</t>
  </si>
  <si>
    <t>Neo</t>
  </si>
  <si>
    <t>Oncehub</t>
  </si>
  <si>
    <t>Remofisrt</t>
  </si>
  <si>
    <t>Rivermate</t>
  </si>
  <si>
    <t xml:space="preserve">Embargo Fabian Morales- Banco Agrario </t>
  </si>
  <si>
    <t>Devolución de anticipo de tarjetas Endrignton-Primer Giro</t>
  </si>
  <si>
    <t>***</t>
  </si>
  <si>
    <r>
      <t xml:space="preserve">Edrington  Factura </t>
    </r>
    <r>
      <rPr>
        <b/>
        <sz val="11"/>
        <rFont val="Calibri"/>
        <family val="2"/>
        <scheme val="minor"/>
      </rPr>
      <t xml:space="preserve"># </t>
    </r>
    <r>
      <rPr>
        <sz val="11"/>
        <rFont val="Calibri"/>
        <family val="2"/>
        <scheme val="minor"/>
      </rPr>
      <t>6363</t>
    </r>
    <r>
      <rPr>
        <b/>
        <sz val="11"/>
        <rFont val="Calibri"/>
        <family val="2"/>
        <scheme val="minor"/>
      </rPr>
      <t xml:space="preserve"> </t>
    </r>
    <r>
      <rPr>
        <sz val="11"/>
        <rFont val="Calibri"/>
        <family val="2"/>
        <scheme val="minor"/>
      </rPr>
      <t>Octubre</t>
    </r>
  </si>
  <si>
    <t>Edrington  Factura # 5-84 Octubre</t>
  </si>
  <si>
    <r>
      <t>Yadira Pineda- servicios Agosto  y mensajeria service Panamá</t>
    </r>
    <r>
      <rPr>
        <b/>
        <sz val="11"/>
        <color theme="1"/>
        <rFont val="Calibri"/>
        <family val="2"/>
        <scheme val="minor"/>
      </rPr>
      <t xml:space="preserve"> </t>
    </r>
    <r>
      <rPr>
        <sz val="11"/>
        <color theme="1"/>
        <rFont val="Calibri"/>
        <family val="2"/>
        <scheme val="minor"/>
      </rPr>
      <t>-</t>
    </r>
    <r>
      <rPr>
        <b/>
        <i/>
        <sz val="11"/>
        <color rgb="FF3333FF"/>
        <rFont val="Calibri"/>
        <family val="2"/>
        <scheme val="minor"/>
      </rPr>
      <t>Pago por Panamá</t>
    </r>
  </si>
  <si>
    <t>Innovate SAS</t>
  </si>
  <si>
    <r>
      <t>Libranza Comfenalco Lisset Franco REMOFIRST -</t>
    </r>
    <r>
      <rPr>
        <b/>
        <i/>
        <sz val="11"/>
        <color rgb="FF3333FF"/>
        <rFont val="Calibri"/>
        <family val="2"/>
        <scheme val="minor"/>
      </rPr>
      <t>BBVA</t>
    </r>
  </si>
  <si>
    <t>6 registro</t>
  </si>
  <si>
    <r>
      <t xml:space="preserve">Ecohl factura </t>
    </r>
    <r>
      <rPr>
        <sz val="11"/>
        <rFont val="Calibri"/>
        <family val="2"/>
        <scheme val="minor"/>
      </rPr>
      <t># 6373</t>
    </r>
    <r>
      <rPr>
        <sz val="11"/>
        <color theme="1"/>
        <rFont val="Calibri"/>
        <family val="2"/>
        <scheme val="minor"/>
      </rPr>
      <t>-6375</t>
    </r>
  </si>
  <si>
    <t>Global Projects service AG facturas # 6315</t>
  </si>
  <si>
    <t>HL Gestiones factura # 6395</t>
  </si>
  <si>
    <t xml:space="preserve">Seguridad social  Dream Tyme resort </t>
  </si>
  <si>
    <t>580831386734</t>
  </si>
  <si>
    <t>BEC492415026</t>
  </si>
  <si>
    <t>FE-51380</t>
  </si>
  <si>
    <t>EMPR57401</t>
  </si>
  <si>
    <t>Bienestar a la carta compensar mes de octubre</t>
  </si>
  <si>
    <t>Reembolso previsto Insider</t>
  </si>
  <si>
    <t>FENI-11149</t>
  </si>
  <si>
    <t xml:space="preserve">Nixcom Servicio Seqrite endpoint security premium on cloud </t>
  </si>
  <si>
    <t>Práxedes nómina electronica-Transmisión nómina eléctronica Octubre</t>
  </si>
  <si>
    <t>Práxedes nómina electronica-Servidores hosting y/o Computación en la nuble Cloud Octubre</t>
  </si>
  <si>
    <t>GFE56876</t>
  </si>
  <si>
    <t>Novasoft-Horas de personalización</t>
  </si>
  <si>
    <t>GFE57081</t>
  </si>
  <si>
    <t>Novasoft-Servicio hosting Web-19 Usuarios-27 Bases de datos Noviembre</t>
  </si>
  <si>
    <t>Novasoft-Derecho de uso de nómina, Derecho de uso portal , nómina electrónica, Habilitación y emisión de comprobantes Octubre 2025</t>
  </si>
  <si>
    <t>GFE57129</t>
  </si>
  <si>
    <t>Novasoft-Servicio Consultoria Web según reporte de servicio Nro 243409 DEL 16/07/2025 , Consultor Angie Smith Vargas</t>
  </si>
  <si>
    <t>Nomina Dream time Resort-Segunda quincena</t>
  </si>
  <si>
    <t>Reembolso de gastos Eduard Forero</t>
  </si>
  <si>
    <t>1</t>
  </si>
  <si>
    <t>Fondeo dinero honduras</t>
  </si>
  <si>
    <t>Regalos coporativos clientes  50% Saldo final -Artesanía Cattaleya.Guz</t>
  </si>
  <si>
    <t>Cuentas</t>
  </si>
  <si>
    <t>Distribución de dinero</t>
  </si>
  <si>
    <t>Semana</t>
  </si>
  <si>
    <t>Fecha Inicial</t>
  </si>
  <si>
    <t>Fecha Final</t>
  </si>
  <si>
    <t xml:space="preserve">Descripción </t>
  </si>
  <si>
    <t>Valor</t>
  </si>
  <si>
    <t>Sin pagar</t>
  </si>
  <si>
    <t>Pagos a Realizar</t>
  </si>
  <si>
    <t xml:space="preserve">Proveedores </t>
  </si>
  <si>
    <t>Seguridad social-Anticipo nómina Nazdar y Action</t>
  </si>
  <si>
    <t>Comprobación</t>
  </si>
  <si>
    <t>TOTAL</t>
  </si>
  <si>
    <t>Escenario 1</t>
  </si>
  <si>
    <t>4 X mil</t>
  </si>
  <si>
    <t xml:space="preserve">Bancos </t>
  </si>
  <si>
    <t>Action  AD</t>
  </si>
  <si>
    <t>Safeguard -Endrington-Noviembre</t>
  </si>
  <si>
    <t>Clientes nacionales</t>
  </si>
  <si>
    <t>Intereses PM</t>
  </si>
  <si>
    <t xml:space="preserve">Sobregiro </t>
  </si>
  <si>
    <t>Escenario 2</t>
  </si>
  <si>
    <t>FORECAST DICIEMBRE 2025</t>
  </si>
  <si>
    <t>FORECAST ENERO 2026</t>
  </si>
  <si>
    <t>FORECAST FEBRERO 2026</t>
  </si>
  <si>
    <t>INGRESO</t>
  </si>
  <si>
    <t>Bancos Valor previsto</t>
  </si>
  <si>
    <t>Ingreso previsto por EOR</t>
  </si>
  <si>
    <t>Safeguard LTD y LTD Payroll -Octubre</t>
  </si>
  <si>
    <t>Safeguard LTD y LTD Payroll -Noviembre</t>
  </si>
  <si>
    <t>Safeguard LTD y LTD Payroll -Septiembre</t>
  </si>
  <si>
    <t>Action XXXX</t>
  </si>
  <si>
    <r>
      <t xml:space="preserve">Clientes nacionales </t>
    </r>
    <r>
      <rPr>
        <b/>
        <i/>
        <sz val="11"/>
        <color rgb="FFFF0000"/>
        <rFont val="Calibri"/>
        <family val="2"/>
      </rPr>
      <t xml:space="preserve">Previsto </t>
    </r>
    <r>
      <rPr>
        <sz val="11"/>
        <color rgb="FF000000"/>
        <rFont val="Calibri"/>
        <family val="2"/>
      </rPr>
      <t>-Global Project</t>
    </r>
  </si>
  <si>
    <t xml:space="preserve">Global CS Colombia </t>
  </si>
  <si>
    <t>Sobregiro</t>
  </si>
  <si>
    <t>PAGOS DEL 1 AL 24 ENERO</t>
  </si>
  <si>
    <t>PAGOS DEL 1 AL 23 FEBRERO</t>
  </si>
  <si>
    <t>PAGOS DEL 1 AL 20 DICIEMBRE</t>
  </si>
  <si>
    <t xml:space="preserve">Anticipo nómina Action-primer anticipo </t>
  </si>
  <si>
    <t>Intereses de cesantías</t>
  </si>
  <si>
    <t>Cesantías EOR</t>
  </si>
  <si>
    <t>Plan complementario compensar</t>
  </si>
  <si>
    <t>Cesantías S&amp;P</t>
  </si>
  <si>
    <t>Movistar 365</t>
  </si>
  <si>
    <t>Servicio de mensajería</t>
  </si>
  <si>
    <t>Primas EOR</t>
  </si>
  <si>
    <t>Primas S&amp;P</t>
  </si>
  <si>
    <t>TC Bancolombia S&amp;P</t>
  </si>
  <si>
    <t>TC Bancolombia-Ramon Esteban Cardona Salazar</t>
  </si>
  <si>
    <t xml:space="preserve">Anticipo nómina Action-Segundo anticipo </t>
  </si>
  <si>
    <t>Rafael Mier</t>
  </si>
  <si>
    <t xml:space="preserve">Plan complementario Suramericana </t>
  </si>
  <si>
    <t>Allianz</t>
  </si>
  <si>
    <t xml:space="preserve">Reembolsos Saipem </t>
  </si>
  <si>
    <t>Exámenes médicos Saipem</t>
  </si>
  <si>
    <t>Tiquetes y hoteles Saipem</t>
  </si>
  <si>
    <t xml:space="preserve">Yoana Forero Servicios Costa Rica </t>
  </si>
  <si>
    <t>Cuentas de cobro Eduard Forero</t>
  </si>
  <si>
    <t>Cuentas de cobro William Romero</t>
  </si>
  <si>
    <t>Emasoc</t>
  </si>
  <si>
    <t>Praxedes nómina electrónica</t>
  </si>
  <si>
    <t>Praxedes</t>
  </si>
  <si>
    <t>Imprevisto</t>
  </si>
  <si>
    <t>4 X mil transacciones</t>
  </si>
  <si>
    <t>Diferencia</t>
  </si>
  <si>
    <t>PAGOS DEL 24 AL 28 FEBRERO</t>
  </si>
  <si>
    <t>AFC OE</t>
  </si>
  <si>
    <t>PAGOS DEL 22 AL 31 DE DICIEMBRE</t>
  </si>
  <si>
    <t>PAGOS DEL 25 AL 31 ENERO</t>
  </si>
  <si>
    <t>Nixcom</t>
  </si>
  <si>
    <t>Movistar Telefonía</t>
  </si>
  <si>
    <t xml:space="preserve">Nómina OE </t>
  </si>
  <si>
    <t>People Pass dotación</t>
  </si>
  <si>
    <t>Embargo Fabian Morales</t>
  </si>
  <si>
    <t>Reembolsos Remotefisrt</t>
  </si>
  <si>
    <t>Reembolsos Insider</t>
  </si>
  <si>
    <t>Pedro Pablo Oviedo</t>
  </si>
  <si>
    <t>Tiquetes Saipem</t>
  </si>
  <si>
    <t>Pedro pablo oviedo</t>
  </si>
  <si>
    <t>Novasoft</t>
  </si>
  <si>
    <t>Mensajería</t>
  </si>
  <si>
    <t xml:space="preserve">Imprevistos </t>
  </si>
  <si>
    <t>Costos Financieros</t>
  </si>
  <si>
    <t>DIFERENCIA</t>
  </si>
  <si>
    <t>ID</t>
  </si>
  <si>
    <t>Client</t>
  </si>
  <si>
    <t>Invoice</t>
  </si>
  <si>
    <t>Incoming resources</t>
  </si>
  <si>
    <t>Maximum Date for Monetization</t>
  </si>
  <si>
    <t>Día</t>
  </si>
  <si>
    <t>Mes</t>
  </si>
  <si>
    <t>Días</t>
  </si>
  <si>
    <t>Progress</t>
  </si>
  <si>
    <t>Invoiced</t>
  </si>
  <si>
    <t>Received</t>
  </si>
  <si>
    <t>Banking taxes</t>
  </si>
  <si>
    <t>TRM Invoice
Cops</t>
  </si>
  <si>
    <t>TRM Bank (Average)
Cops</t>
  </si>
  <si>
    <t>Difference in exchange rates</t>
  </si>
  <si>
    <t>invoicing in COPS</t>
  </si>
  <si>
    <t xml:space="preserve"> negotiated COPS</t>
  </si>
  <si>
    <t>difference</t>
  </si>
  <si>
    <t>Color KPI</t>
  </si>
  <si>
    <t>Advancio</t>
  </si>
  <si>
    <t>Safeguard World International Limited</t>
  </si>
  <si>
    <t>Safeguard World International Limited X identificar</t>
  </si>
  <si>
    <t>Global Project</t>
  </si>
  <si>
    <t>Endrington</t>
  </si>
  <si>
    <t>FV-5-84</t>
  </si>
  <si>
    <t>CASH FLOW</t>
  </si>
  <si>
    <t>ACCOUNTANT</t>
  </si>
  <si>
    <t>TRm Invoice
Cops</t>
  </si>
  <si>
    <t>Transaction date</t>
  </si>
  <si>
    <t xml:space="preserve">Propuesto </t>
  </si>
  <si>
    <t xml:space="preserve">Aprobado </t>
  </si>
  <si>
    <t>Observaciones</t>
  </si>
  <si>
    <t>Action AD</t>
  </si>
  <si>
    <t>Alfonso Fonseca A</t>
  </si>
  <si>
    <t>Se monetiza ya que el valor ofrecido por el banco en cada divisa es superior al valor facturado</t>
  </si>
  <si>
    <t>Remofirst</t>
  </si>
  <si>
    <t>Marketing Doctors</t>
  </si>
  <si>
    <t>Nazdar ink technologies</t>
  </si>
  <si>
    <t xml:space="preserve">Safeguard Payroll </t>
  </si>
  <si>
    <t>5389 a 5406</t>
  </si>
  <si>
    <t>Remofirst-Abono</t>
  </si>
  <si>
    <t>Remofirst-Saldo final</t>
  </si>
  <si>
    <t>Hong kong yonyou xinfushe cloud technology co</t>
  </si>
  <si>
    <t>Eduard Forero</t>
  </si>
  <si>
    <t>Se monetizaron estas divisas por debajo del valor facturado debido a que, por el comportamiento del mercado, la TRM ha presentado una reducción notable desde el pasado 25 de enero, producto de factores externos de carácter económico.
Desde el 07 de enero se realizó un monitoreo constante del comportamiento de esta divisa. En dicho período, el máximo crecimiento registrado fue el 12 de febrero frente al 07 de febrero, con un incremento de $15,99, alcanzando un valor máximo de $4,143,44.
Entre el valor facturado y lo finalmente negociado, se tenía previsto un ingreso de $174 millones, pero el ingreso real fue de $173 millones, reflejando una desviación del 0,9 %.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t>
  </si>
  <si>
    <t>Hemmebarsch GMBH &amp; Co KG</t>
  </si>
  <si>
    <t xml:space="preserve">Neo </t>
  </si>
  <si>
    <t>Se ha decidido monetizar estas divisas a pesar de que el valor recibido está por debajo del monto facturado, considerando que la fecha límite para su devolución vencía el próximo domingo 16 de marzo.
Adicionalmente, al momento del cobro, la TRM se encontraba en $4,414, mientras que en la actualidad la divisa ha registrado disminuciones sustanciales, sin alcanzar siquiera los $4,100, y mucho menos el valor sobre el cual se generó el documento.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t>
  </si>
  <si>
    <t>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t>
  </si>
  <si>
    <t>Safeguard LLC Payroll</t>
  </si>
  <si>
    <t>5600 al 5609</t>
  </si>
  <si>
    <t>Safeguard LTD Payroll</t>
  </si>
  <si>
    <t>5509-5510-5511-5512-5513</t>
  </si>
  <si>
    <t>Se ha decidido monetizar estas divisas a pesar de que el valor recibido está por debajo del monto facturado, considerando que la fecha límite para su devolución vencía el próximo Martes 22 de abril.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t>
  </si>
  <si>
    <t>Safeguard LTD Panamá</t>
  </si>
  <si>
    <t>5497 a 5508</t>
  </si>
  <si>
    <t>5610 a la 5614</t>
  </si>
  <si>
    <t>Advantage</t>
  </si>
  <si>
    <t>5658 a la 5669</t>
  </si>
  <si>
    <t>5670 a la 5674</t>
  </si>
  <si>
    <t>Ingreso dinero Prestamo</t>
  </si>
  <si>
    <t>Action</t>
  </si>
  <si>
    <t>Safeguard Payroll LLC</t>
  </si>
  <si>
    <t>5741 a la 5751</t>
  </si>
  <si>
    <t>Safeguard Payroll LTD</t>
  </si>
  <si>
    <t xml:space="preserve">5752 a la 5756 </t>
  </si>
  <si>
    <t>el criterio a pesar que el KPI dice que no monetizar este dinero esta suma al envio de USD 9.806,32 . El valor monetizado genera ganancia frente al facturado al sumar todo el envio que fue USD 10.227,50</t>
  </si>
  <si>
    <t>Se ha decidido monetizar las divisas recibidas el pasado 23 de mayo, pese a que el valor está por debajo del monto facturado, debido a la necesidad urgente de recursos para completar el pago de nómina correspondiente a mayo.Desde el ingreso de los fondos, la tasa de cambio ha estado por debajo del valor esperado. Hoy, 27 de mayo, tras el feriado en EE.UU., la divisa abrió en 4.140 y actualmente se ubica en 4.125, manteniendo una tendencia bajista.La Dirección aprueba el ingreso de los recursos con una pérdida de USD 3.875,98, la cual será descontada del valor que se adeuda al cliente. De esta forma, la deuda disminuye de USD 11.046,28 a USD 7.170,03.</t>
  </si>
  <si>
    <t>Equus Global Expansion, LLC</t>
  </si>
  <si>
    <t>5828,5829,5830,5831,5832</t>
  </si>
  <si>
    <t>Bubble BPM</t>
  </si>
  <si>
    <t>Se ha decidido monetizar estas divisas a pesar de que el valor recibido está por debajo del monto facturado, considerando que la fecha límite para su devolución vencía el próximo lunes festivo 23 de Junio.
Adicionalmente, al momento del cobro, la TRM se encontraba en $4.097,73, mientras que en la actualidad la divisa ha registrado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</si>
  <si>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próximo lunes festivo 23 de Junio.
Adicionalmente, al momento del cobro, la TRM se encontraba en $4.357,39, mientras que en la actualidad la divisa ha registrado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</si>
  <si>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Sabado28 de Junio.
Adicionalmente, al momento del cobro, la TRM se encontraba en $4.021,60, mientras que en la actualidad la divisa ha registrado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</si>
  <si>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Safeguard</t>
  </si>
  <si>
    <t>07/07/202</t>
  </si>
  <si>
    <t>Se ha decidido monetizar estas divisas a pesar de que el valor recibido está por debajo del monto facturado, considerando que la fecha límite para su devolución vencía el hoy viernes 11 de julio
Adicionalmente, al momento del cobro, fue  $4.237,90 y la trm no ha estado por encima de ese valor desde el pasado 09 de mayo. el dinero llego el 11 de junio a partir de esa fecha no ha llegado a estos niveles y se han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</si>
  <si>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hoy lunes 21 de julio
Adicionalmente, al momento del cobro, fue  $4188.60  y la trm no ha estado por encima de ese valor desde el pasado 09 de mayo. el dinero llego el 22 de mayo a partir de esa fecha no ha llegado a estos niveles y se han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</si>
  <si>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domingo 10 de agosto
Adicionalmente, al momento del cobro, fue  $ 4,229,90  y la trm no ha estado por encima de ese valor desde el pasado 09 de mayo. el dinero llego el 16  de junio a partir de esa fecha no ha llegado a estos niveles y se han disminuciones sustanciales, sin alcanzar en punto de equilibrio para ingresar los recursos.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</si>
  <si>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hoy lunes 11 de agosto
Adicionalmente, al momento del cobro, fue  $ 4,186.79  y la trm no ha estado por encima de ese valor desde el pasado 11 de julio. el dinero llego el 12  de junio en horas de la tarde cuando comercio exterior ya estaba cerrado a partir de esa fecha no ha llegado a estos niveles y se han disminuciones sustanciales, sin alcanzar en punto de equilibrio para ingresar los recursos, solo se alcanzo una valor similar el 01 de agosto con una TRM 4,186,71 pero el banco para ese día tenia la página caida lo que no permitio negociar ninguna divisa,.
Esta situación fue presentada al Director General el día lunes 08 de agosto en reunión de revisión de los flujos de caja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</si>
  <si>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hoy martes 12 de agosto
Adicionalmente, al momento del cobro, fue  $ 4,186.79  y la trm no ha estado por encima de ese valor desde el pasado 07 de enero. el dinero llego el 13  de junio y de este tiempo al 12 de agosto la divisa ha presentado disminuciones sustanciales, sin alcanzar en punto de equilibrio para ingresar los recurso.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</si>
  <si>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hoy martes 12 de agosto
Adicionalmente, al momento del cobro, fue  $ 4,186.79  y la trm no ha estado por encima de ese valor desde el pasado 06 de mayo. el dinero llego el 13  de junio y de este tiempo al 12 de agosto la divisa ha presentado disminuciones sustanciales, sin alcanzar en punto de equilibrio para ingresar los recurso.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t>
  </si>
  <si>
    <t>Se ha decidido monetizar estas divisas a pesar de que el valor recibido está por debajo del monto facturado, considerando que la fecha límite para su devolución vencía el hoy viernes 15 de agosto
Adicionalmente, al momento del cobro, fue  $ 4,188.31  y la trm no ha estado por encima de ese valor desde el pasado 06 de mayo. el dinero llego el 15  de junio y de este tiempo al 12 de agosto la divisa ha presentado disminuciones sustanciales, sin alcanzar en punto de equilibrio para ingresar los recurso.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t>
  </si>
  <si>
    <t>FV-5-15</t>
  </si>
  <si>
    <t>FV-5-3</t>
  </si>
  <si>
    <t>FV-5-6</t>
  </si>
  <si>
    <t>FV-5-X</t>
  </si>
  <si>
    <t>FV-5-20</t>
  </si>
  <si>
    <t>FV-4-6195</t>
  </si>
  <si>
    <t>FV-5-4</t>
  </si>
  <si>
    <t>FV-5-7</t>
  </si>
  <si>
    <t>Se monetiza dentro a pesar que dice no monetizar pero el cliente envio el pago en un solo paquete</t>
  </si>
  <si>
    <t>FV-5-10</t>
  </si>
  <si>
    <t>FV-5-13</t>
  </si>
  <si>
    <t>FV-5-12</t>
  </si>
  <si>
    <t>FV-5-19</t>
  </si>
  <si>
    <t>FV-5-28</t>
  </si>
  <si>
    <t>FV-5-5</t>
  </si>
  <si>
    <t>5817-2827</t>
  </si>
  <si>
    <t xml:space="preserve">Se ha decidido monetizar estas divisas a pesar de que el valor recibido está por debajo del monto facturado, considerando que la fecha límite para su devolución vencía el Lunes 08 de septiembre
Adicionalmente, al momento del cobro, fue  $ 4,188.31  y la trm no ha estado por encima de ese valor desde el pasado 27 de enero. el dinero llego el 09 de agosto y de  ese tiempo la divisano ha llegado al valor facturado
</t>
  </si>
  <si>
    <t>5906-5916 y 5922</t>
  </si>
  <si>
    <t xml:space="preserve">Se ha decidido monetizar estas divisas a pesar de que el valor recibido está por debajo del monto facturado, considerando que la fecha límite para su devolución vencía el Lunes 08 de septiembre
Adicionalmente, al momento del cobro, fue  $ 4,198.83  y la trm no ha estado por encima de ese valor desde el pasado 27 de enero. el dinero llego el 09 de agosto y de  ese tiempo la divisano ha llegado al valor facturado
</t>
  </si>
  <si>
    <t>5917-5921</t>
  </si>
  <si>
    <t xml:space="preserve">Se ha decidido monetizar estas divisas a pesar de que el valor recibido está por debajo del monto facturado, considerando que la fecha límite para su devolución vencía el Lunes 08 de septiembre
Adicionalmente, al momento del cobro, fue  $ 4,227,32 y la trm no ha estado por encima de ese valor desde el pasado 27 de enero. el dinero llego el 09 de agosto y de  ese tiempo la divisa no ha llegado a esos valores facturados
</t>
  </si>
  <si>
    <t>FV-5-34</t>
  </si>
  <si>
    <t>FV-5-39</t>
  </si>
  <si>
    <t>FV-5-40</t>
  </si>
  <si>
    <t>FV-5-9</t>
  </si>
  <si>
    <t xml:space="preserve">Se ha decidido monetizar estas divisas a pesar de que el valor recibido está por debajo del monto facturado ya que la  la trm no ha estado por encima de ese valor y se requiere el dinero para pago de nómina para el viernes 26 de septiembre
</t>
  </si>
  <si>
    <t>FV-5-51</t>
  </si>
  <si>
    <t>FV-5-41</t>
  </si>
  <si>
    <t>FV-5-14</t>
  </si>
  <si>
    <t>FV-5-29</t>
  </si>
  <si>
    <t>FV-5-46</t>
  </si>
  <si>
    <t>FV-5-50</t>
  </si>
  <si>
    <t>FV-5-48</t>
  </si>
  <si>
    <t>FV-5-58</t>
  </si>
  <si>
    <t>FV-4-6288</t>
  </si>
  <si>
    <t>FV-5-43</t>
  </si>
  <si>
    <t>Julieth Bonilla</t>
  </si>
  <si>
    <t>Yuly Peña</t>
  </si>
  <si>
    <t>FV-5-45</t>
  </si>
  <si>
    <t>FV-5-62</t>
  </si>
  <si>
    <t>FV-5-65</t>
  </si>
  <si>
    <t>FV-5-42</t>
  </si>
  <si>
    <t>FV-5-69</t>
  </si>
  <si>
    <t>FV-5-66</t>
  </si>
  <si>
    <t>FV-5-75</t>
  </si>
  <si>
    <t>FV-5-78</t>
  </si>
  <si>
    <t>Se monetiza el dinero por un menor valor de $ 11.905,48 debido a dos situaciones el primero es que el GMF tiene un descuento de USD 5  y adicional se requiere para el pago de expenses de los empleados</t>
  </si>
  <si>
    <t>FV-5-83</t>
  </si>
  <si>
    <t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
</t>
  </si>
  <si>
    <t>FV-5-70</t>
  </si>
  <si>
    <t>FV-5-73</t>
  </si>
  <si>
    <t>FV-5-80</t>
  </si>
  <si>
    <t>FV-5-63</t>
  </si>
  <si>
    <t>FV-5-67</t>
  </si>
  <si>
    <t>Se monetiza el dinero por un menor valor de $ 43,286,43 debido a dos situaciones: 1) el primero es que el GMF tiene un descuento de USD 20  y 2) se requiere el dinero para el pago de la nomina de los empleados del cliente que es el día de hoy 28/10/2025</t>
  </si>
  <si>
    <t>FV-5-82</t>
  </si>
  <si>
    <t>FV-5-91</t>
  </si>
  <si>
    <t>FV-5-64</t>
  </si>
  <si>
    <t>FV-5-74</t>
  </si>
  <si>
    <t>FV-5-77</t>
  </si>
  <si>
    <t>FV-5-81</t>
  </si>
  <si>
    <t>FV-5-94</t>
  </si>
  <si>
    <t>FV-5-76</t>
  </si>
  <si>
    <t>5999-6003</t>
  </si>
  <si>
    <t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$ 90,110.599, y si lo ingresamos en este momento a una tasa de 3.845,40, entrarían $ 85.034.097, lo que representa una diferencia de $ 5.076.501,50, aproximadamente un 6%.  esta transacción fue aprobada por el director general  basado en estas condiciones planteadas
</t>
  </si>
  <si>
    <t>6083-6089</t>
  </si>
  <si>
    <t>5990-5998</t>
  </si>
  <si>
    <t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
</t>
  </si>
  <si>
    <t>6075-6081 y 6088</t>
  </si>
  <si>
    <t>FV-5-102</t>
  </si>
  <si>
    <t>FV-5-109</t>
  </si>
  <si>
    <t>FV-5-103</t>
  </si>
  <si>
    <t>FV-5-72</t>
  </si>
  <si>
    <t>FV-5-107</t>
  </si>
  <si>
    <t>FV-5-114</t>
  </si>
  <si>
    <t xml:space="preserve">Action </t>
  </si>
  <si>
    <t>FV-5-100</t>
  </si>
  <si>
    <t>FV-5-110</t>
  </si>
  <si>
    <t>FV-5-120</t>
  </si>
  <si>
    <t>FV-5-71</t>
  </si>
  <si>
    <t>FV-5-125</t>
  </si>
  <si>
    <t>Concepto</t>
  </si>
  <si>
    <t>Ene</t>
  </si>
  <si>
    <t>Feb</t>
  </si>
  <si>
    <t xml:space="preserve">Marzo </t>
  </si>
  <si>
    <t>Abril</t>
  </si>
  <si>
    <t>Mayo</t>
  </si>
  <si>
    <t>Junio</t>
  </si>
  <si>
    <t>Julio</t>
  </si>
  <si>
    <t>Agosto</t>
  </si>
  <si>
    <t>Septiembre</t>
  </si>
  <si>
    <t>Octubre</t>
  </si>
  <si>
    <t>Noviembre</t>
  </si>
  <si>
    <t>Diciembre</t>
  </si>
  <si>
    <t>Acumulado</t>
  </si>
  <si>
    <t>Diferencia en cambio ( Ingreso)</t>
  </si>
  <si>
    <t>Diferencia en cambio ( Gasto)</t>
  </si>
  <si>
    <t>Balanza 25</t>
  </si>
  <si>
    <t>Balanza 24</t>
  </si>
  <si>
    <t>Retención en la fuente</t>
  </si>
  <si>
    <t>Enero</t>
  </si>
  <si>
    <t>Febrero</t>
  </si>
  <si>
    <t>Marzo</t>
  </si>
  <si>
    <t>Proveedores</t>
  </si>
  <si>
    <t>SS-Movistar</t>
  </si>
  <si>
    <t>Cesantías-Anticipo NZD ACT</t>
  </si>
  <si>
    <t>RTE FTE-TC Endrington-Proveedores</t>
  </si>
  <si>
    <t>SUBTOTAL</t>
  </si>
  <si>
    <t>4 x MIL</t>
  </si>
  <si>
    <t>Action # 5678</t>
  </si>
  <si>
    <t>Monetizaciones</t>
  </si>
  <si>
    <t>Facturado</t>
  </si>
  <si>
    <t>Monetizado</t>
  </si>
  <si>
    <t>Payroll Safeguard</t>
  </si>
  <si>
    <t>Gran Total</t>
  </si>
  <si>
    <t>Deficit</t>
  </si>
  <si>
    <t>Nazdar</t>
  </si>
  <si>
    <t>Remotefirst</t>
  </si>
  <si>
    <t>Remotefisrt</t>
  </si>
  <si>
    <t>Mayor valor</t>
  </si>
  <si>
    <t>Forward 1</t>
  </si>
  <si>
    <t>Forward 2</t>
  </si>
  <si>
    <t>Pendiente</t>
  </si>
  <si>
    <t xml:space="preserve">Saldo </t>
  </si>
  <si>
    <t xml:space="preserve">Negocie </t>
  </si>
  <si>
    <t>Remofirst-10AK</t>
  </si>
  <si>
    <t>Remofirst-10AK Factura # 4820</t>
  </si>
  <si>
    <t>Remofirst-Ferrous</t>
  </si>
  <si>
    <t>Remofirst-Ferrous Factura # 4821</t>
  </si>
  <si>
    <t xml:space="preserve">Remofirst Bluleadz </t>
  </si>
  <si>
    <t>Remofirst Bluleadz  Factura # 4822</t>
  </si>
  <si>
    <t xml:space="preserve">Remofirst TC1 Corporation SAC </t>
  </si>
  <si>
    <t>Remofirst TC1 Corporation SAC  Factura # 4823</t>
  </si>
  <si>
    <t>Remofirst BGB Comunications</t>
  </si>
  <si>
    <t>Remofirst BGB Comunications Factura # 4824</t>
  </si>
  <si>
    <t xml:space="preserve">Remofirst Hypatos </t>
  </si>
  <si>
    <t>Remofirst Hypatos  Factura # 4835</t>
  </si>
  <si>
    <t xml:space="preserve">Remofirst R&amp;R Windows </t>
  </si>
  <si>
    <t>Remofirst R&amp;R Windows  Factura # 4825</t>
  </si>
  <si>
    <t>Remofirst Velo3D</t>
  </si>
  <si>
    <t>Remofirst Velo3D Factura # 4826</t>
  </si>
  <si>
    <t>Remofirst Starlight Software Solutions</t>
  </si>
  <si>
    <t>Remofirst Starlight Software Solutions Factura # 4827</t>
  </si>
  <si>
    <t xml:space="preserve">Remofirst One firefly </t>
  </si>
  <si>
    <t>Remofirst One firefly  Factura # 4828</t>
  </si>
  <si>
    <t>Remofirst Search Wizards</t>
  </si>
  <si>
    <t>Remofirst Search Wizards Factura # 4829</t>
  </si>
  <si>
    <t>Remofirst Search Insighful</t>
  </si>
  <si>
    <t>Remofirst Search Insighful Factura # 4830</t>
  </si>
  <si>
    <t>Remofirst Search Wise Butterfly</t>
  </si>
  <si>
    <t>Remofirst Search Wise Butterfly Factura # 4831</t>
  </si>
  <si>
    <t>Remofirst Coop Edgar</t>
  </si>
  <si>
    <t>Remofirst Coop Edgar Factura # 4832</t>
  </si>
  <si>
    <t>Remofirst Search AMG Global Distribution</t>
  </si>
  <si>
    <t>Remofirst Search AMG Global Distribution Factura # 4833</t>
  </si>
  <si>
    <t>Remofirst Search Carbon better</t>
  </si>
  <si>
    <t>Remofirst Search Carbon better Factura # 4834</t>
  </si>
  <si>
    <t xml:space="preserve">Remofirst CPaT Global LLC </t>
  </si>
  <si>
    <t>Remofirst CPaT Global LLC  Factura # 4879</t>
  </si>
  <si>
    <t>Remofirst CPaT Global LLC  Factura # 4880</t>
  </si>
  <si>
    <t>Diferencia Cambio</t>
  </si>
  <si>
    <t>Balanza</t>
  </si>
  <si>
    <t>Ricardo arambulo -reembolsos gastos</t>
  </si>
  <si>
    <t xml:space="preserve">Luis ernesto Solano </t>
  </si>
  <si>
    <t>FPP423003</t>
  </si>
  <si>
    <t>Abono people pass Nathalie Vaquiro</t>
  </si>
  <si>
    <t>Liquidación Jessica Tatiana Rojas-remofirst</t>
  </si>
  <si>
    <t>Liquidación Jose Luis Sepulveda Forero-Neo</t>
  </si>
  <si>
    <t>Liquidación Dany Alejandro Cabrera Vargas-remofirst</t>
  </si>
  <si>
    <t>Liquidación David stiven Aragon Andrade-remofirst</t>
  </si>
  <si>
    <t>Pago viaje Ricardo arambulo republica dominicana</t>
  </si>
  <si>
    <t>FV-5-106</t>
  </si>
  <si>
    <t>FV-4-6404</t>
  </si>
  <si>
    <t>FV-5-96</t>
  </si>
  <si>
    <t>Liquidación Carlos eduardo Castañeda-S&amp;P</t>
  </si>
  <si>
    <t>Reembolso Sandra Mojica comisión Cali 26-26 Noviembre AECID</t>
  </si>
  <si>
    <t>Reembolso Sandra Mojica comisión Santa Marta Noviembre  9 y 10 AECID</t>
  </si>
  <si>
    <t>Reembolso Mercedes Alvarez comisión Tumaco 27-30 OctubreAECID</t>
  </si>
  <si>
    <t>SD0116829489</t>
  </si>
  <si>
    <t>FENI-11265</t>
  </si>
  <si>
    <t>GFE57309</t>
  </si>
  <si>
    <t xml:space="preserve">Se ha decidido monetizar estas divisas a pesar de que el valor recibido está por debajo del monto facturado, considerando que la fecha límite para su devolución vencía el viernes 05 de diciembre y ese día no laboramos por motivo de despedida de año. 
Adicionalmente, al momento del cobro, fue  $ 4.061,32 . el dinero llego el 10 de octubre y de  ese tiempo la divisa no ha llegado a esos valores facturados 
</t>
  </si>
  <si>
    <t>DICIEMBRE</t>
  </si>
  <si>
    <t>FV-2-6278</t>
  </si>
  <si>
    <t>12-25</t>
  </si>
  <si>
    <r>
      <t>Yadira Pineda- servicios Noviembre y mensajeria service Panamá</t>
    </r>
    <r>
      <rPr>
        <b/>
        <sz val="11"/>
        <color theme="1"/>
        <rFont val="Calibri"/>
        <family val="2"/>
        <scheme val="minor"/>
      </rPr>
      <t xml:space="preserve"> </t>
    </r>
    <r>
      <rPr>
        <sz val="11"/>
        <color theme="1"/>
        <rFont val="Calibri"/>
        <family val="2"/>
        <scheme val="minor"/>
      </rPr>
      <t>-</t>
    </r>
    <r>
      <rPr>
        <b/>
        <i/>
        <sz val="11"/>
        <color rgb="FF3333FF"/>
        <rFont val="Calibri"/>
        <family val="2"/>
        <scheme val="minor"/>
      </rPr>
      <t>Pago por Panamá</t>
    </r>
  </si>
  <si>
    <t>01-26</t>
  </si>
  <si>
    <t>BOGA105432300</t>
  </si>
  <si>
    <t>Innovate SAS-Servicio en la nube mes de Diciembre</t>
  </si>
  <si>
    <t>FENI-11342</t>
  </si>
  <si>
    <t>BPA 6578</t>
  </si>
  <si>
    <t>Prima S&amp;P</t>
  </si>
  <si>
    <t xml:space="preserve">Prima EOR-Otros cliente </t>
  </si>
  <si>
    <t>Prima EOR-Otros Insider</t>
  </si>
  <si>
    <t>003</t>
  </si>
  <si>
    <t>Edgar Arambulo -(Ricardo arambulo -Bono)</t>
  </si>
  <si>
    <t>Saldo final Cuenta de cobro Jhon Alexander Soler Leon - Transporte despedida fin de año</t>
  </si>
  <si>
    <t>Despedida fin año Saldo final-Fanauticos</t>
  </si>
  <si>
    <t>Primas EOR-S&amp;P y Nómina Time Resort</t>
  </si>
  <si>
    <t>Impuestos Nacionales-TC Endrington</t>
  </si>
  <si>
    <t>Nómina-Pagos a tercero-Proveedores</t>
  </si>
  <si>
    <t>Gastos y costos Periodo 01 al 17 Diciembre</t>
  </si>
  <si>
    <t xml:space="preserve">Global CS Colombia SAS factura # 5-61 Reembolso Celulares </t>
  </si>
  <si>
    <t>Global CS Colombia SAS -Solutions &amp; payroll-Servicio Noviembre 2025 Factura 2-257</t>
  </si>
  <si>
    <t>ACT&amp;J Consultores Factura 6472-6337-6423 y saldo Factura 6182 $ 77,525</t>
  </si>
  <si>
    <t>Clarke Modet factura # 6459</t>
  </si>
  <si>
    <t>Consorcio HL-A&amp;D Factura 6478</t>
  </si>
  <si>
    <t>Consorcio HL Gisaico Factura 6432</t>
  </si>
  <si>
    <t>Consorcio SK-HL facturas 6422</t>
  </si>
  <si>
    <t>Corporación punto azul factura # 6424</t>
  </si>
  <si>
    <t>Dream Tyme resort Factura #  6437</t>
  </si>
  <si>
    <t>Dream Tyme resort Factura # 1-27</t>
  </si>
  <si>
    <t>Global CS Colombia SAS -Solutions &amp; payroll-Servicio Noviembre 2025 Factura  6467</t>
  </si>
  <si>
    <t>Global CS Colombia SAS -Solutions &amp; payroll-Factura 5-93 Reembolso Gastos Nov</t>
  </si>
  <si>
    <t>Global Projects service AG facturas # 6268</t>
  </si>
  <si>
    <t>Live Systems technology factura # 6466</t>
  </si>
  <si>
    <t>Ortho Clinical Diagnostics # 6381</t>
  </si>
  <si>
    <r>
      <t>Petrobras Colombia Factura #</t>
    </r>
    <r>
      <rPr>
        <sz val="11"/>
        <rFont val="Calibri"/>
        <family val="2"/>
        <scheme val="minor"/>
      </rPr>
      <t xml:space="preserve"> 6474</t>
    </r>
  </si>
  <si>
    <t>Petrobras Internacional Baspetro Factura # 6426</t>
  </si>
  <si>
    <t>Soluciones ambientales punto azul Factura #  6504</t>
  </si>
  <si>
    <t>TPL Logistics factura # 6478</t>
  </si>
  <si>
    <t>Safeguard Payroll LTD y LLC Julio-(vencio en septiembre)</t>
  </si>
  <si>
    <t>Safeguard Payroll LTD y LLC Agosto-(vencio en Octubre)</t>
  </si>
  <si>
    <t>Safeguard Payroll LTD y LLC Septiembre-(vencio en Noviembre)</t>
  </si>
  <si>
    <t>Hemmebarsch GMBH &amp; Co KG , factura # 5-104 Diciembre</t>
  </si>
  <si>
    <t>Hemmebarsch GMBH &amp; Co KG , factura # 6447 Diciembre</t>
  </si>
  <si>
    <t>Hemmebarsch GMBH &amp; Co KG , factura # 5-105 Diciembre</t>
  </si>
  <si>
    <t>Hemmebarsch GMBH &amp; Co KG , factura # 6448 Diciembre</t>
  </si>
  <si>
    <t>Safeguard por identificar servicios de centro américa</t>
  </si>
  <si>
    <t>Safeguard LTD x identificar</t>
  </si>
  <si>
    <t>Dream Tyme Primera y segunda quincena Diciembre</t>
  </si>
  <si>
    <t>Safeguard Payroll</t>
  </si>
  <si>
    <t xml:space="preserve">Insider </t>
  </si>
  <si>
    <t>Seguridad social -planilla N- liquidación del señor José Sepúlveda</t>
  </si>
  <si>
    <t>502C123494</t>
  </si>
  <si>
    <t>Donación para fundación de niños - Paula Forero</t>
  </si>
  <si>
    <t>FE-15568</t>
  </si>
  <si>
    <t xml:space="preserve">Itticol-Pago de saldo </t>
  </si>
  <si>
    <t>Tiquete y hotel Sandra de los rios comision de servicio 10-11 Dic-AECID</t>
  </si>
  <si>
    <t>Tiquete y hotel mercedes Alvarez comision de servicio 9-11 Dic-AECID</t>
  </si>
  <si>
    <t>GFE57362</t>
  </si>
  <si>
    <t>Novasoft-Servicio hosting Web-19 Usuarios-27 Bases de datos Diciembre</t>
  </si>
  <si>
    <t>BUK colombia SAS-Sucricpión Noviembre</t>
  </si>
  <si>
    <t>FE-53980</t>
  </si>
  <si>
    <t>BUK colombia SAS-Sucricpión Diciembre</t>
  </si>
  <si>
    <t>FENI-11345</t>
  </si>
  <si>
    <t>Seguridad social -K</t>
  </si>
  <si>
    <t>PI</t>
  </si>
  <si>
    <t xml:space="preserve">Se ha decidido monetizar estas divisa considerando que la fecha límite para su devolución vence el viernes 16 de diciembre . a la fecha no se ha podido identificar a que factura corresponde este pago pero se ingresa ya que durante mes y medio hoy 09 de diciembre la tasa supero los 3,830 
</t>
  </si>
  <si>
    <t>Tiquete a montería Victor José Pérez Saipem</t>
  </si>
  <si>
    <t>ACT&amp;J Consultores Factura 6502-Noviembre Pretalires</t>
  </si>
  <si>
    <t>EMPR56826</t>
  </si>
  <si>
    <t>Bienestar a la carta compensar mes de Septiembre</t>
  </si>
  <si>
    <t xml:space="preserve">Pendiente por conseguir factura </t>
  </si>
  <si>
    <t>Nixcom -renovación de 50 licencias con vigencia anual.</t>
  </si>
  <si>
    <t>Tiquetes monteria-bogotá y vsa junto Hoteles Victor José empleados de Saipem</t>
  </si>
  <si>
    <t>Examenes médicos de control personal Saipem</t>
  </si>
  <si>
    <t>Oncehub Factura # 5-31</t>
  </si>
  <si>
    <t>FV-5-131</t>
  </si>
  <si>
    <t>Remofirst Factura # 6506- Diciembre</t>
  </si>
  <si>
    <t>Remofirst Factura # 5-129 Diciembre</t>
  </si>
  <si>
    <t>003 - 292423302</t>
  </si>
  <si>
    <t>Hl Infraestructura factura # 6146-6208</t>
  </si>
  <si>
    <t>FV-5-134</t>
  </si>
  <si>
    <t xml:space="preserve">Se ha decidido monetizar estas divisa ya que el valor facturado versus el monetización tiene una diferencia muy pequeña de $ 10,215,92 que corresponde a 0,20% , estos recursos se requieren para realizar el pago de primas de S&amp;P y EOR
</t>
  </si>
  <si>
    <t>MKD Factura # 6521</t>
  </si>
  <si>
    <t>MKD Factura # 5-134</t>
  </si>
  <si>
    <t>Anticipo nómina remofirst</t>
  </si>
  <si>
    <t xml:space="preserve">Se ha decidido monetizar estas divisa ya que la tasa con la que se uso al momento de facturar  nunca volvio a llegar a ese rango y  desde octubre 22 que llego el dinero la trm se ha ubicado por debajo del rango de 3,800 hasta 3,700. Adicional se requiere el dinero para el pago de las primas para EOR y S&amp;P y su vencimiento para que esta divisa se devuelva al cliente vence el proximo lunes 22 de diciembre
</t>
  </si>
  <si>
    <t>Safeguard por identificar  Deel</t>
  </si>
  <si>
    <t xml:space="preserve">A la fecha no se ha podido identificar a que factura corresponde este pago pero se ingresa ya que se requiere dinero para el pago de primas de S&amp;P y EOR , esta operación la autorizo Eduard Forero 
</t>
  </si>
  <si>
    <t>Diana Marcela Hernandez</t>
  </si>
  <si>
    <t xml:space="preserve">Giovanna Guio-Reembolso de gastos </t>
  </si>
  <si>
    <t>FE-386</t>
  </si>
  <si>
    <t>FE-387</t>
  </si>
  <si>
    <t>FV-2-6355</t>
  </si>
  <si>
    <t>FED-59</t>
  </si>
  <si>
    <t>219912137138</t>
  </si>
  <si>
    <t xml:space="preserve"> FES8588</t>
  </si>
  <si>
    <t>Consorcio HL-AB Factura #  6107-6205</t>
  </si>
  <si>
    <r>
      <t xml:space="preserve">HL Ingenieros factura # </t>
    </r>
    <r>
      <rPr>
        <sz val="11"/>
        <rFont val="Calibri"/>
        <family val="2"/>
        <scheme val="minor"/>
      </rPr>
      <t xml:space="preserve">6127 a </t>
    </r>
    <r>
      <rPr>
        <sz val="11"/>
        <color theme="1"/>
        <rFont val="Calibri"/>
        <family val="2"/>
        <scheme val="minor"/>
      </rPr>
      <t>6226</t>
    </r>
  </si>
  <si>
    <t>Solutions &amp; Payroll SAS</t>
  </si>
  <si>
    <t>Ingreso Bancolombia Panamá Pago primas</t>
  </si>
  <si>
    <t>Reembolso Augusto Sierra-Saipem</t>
  </si>
  <si>
    <t>Servicio de traducción</t>
  </si>
  <si>
    <t>Parking remofirst</t>
  </si>
  <si>
    <t>Liquidación Mario Alberto Serrano Velasquez -remofirst</t>
  </si>
  <si>
    <t xml:space="preserve">106 registros </t>
  </si>
  <si>
    <t>51 regsitros</t>
  </si>
  <si>
    <t>Devolucion tiquete Cristian Ferney Parada Cabrera</t>
  </si>
  <si>
    <t>Examenes médicos de control Luis Angel Copete -  Saipem</t>
  </si>
  <si>
    <t xml:space="preserve">AECID Factura # 6533-Octubre y noviembre </t>
  </si>
  <si>
    <t>AECID Factura #5-132-Octubre y noviembre</t>
  </si>
  <si>
    <t>Edrington  Factura # 5-139 Diciembre</t>
  </si>
  <si>
    <r>
      <t xml:space="preserve">Edrington  Factura </t>
    </r>
    <r>
      <rPr>
        <b/>
        <sz val="11"/>
        <color theme="1"/>
        <rFont val="Calibri"/>
        <family val="2"/>
        <scheme val="minor"/>
      </rPr>
      <t xml:space="preserve">#  </t>
    </r>
    <r>
      <rPr>
        <sz val="11"/>
        <color theme="1"/>
        <rFont val="Calibri"/>
        <family val="2"/>
        <scheme val="minor"/>
      </rPr>
      <t>6527 Diciembre</t>
    </r>
  </si>
  <si>
    <t>Equus Global Expansion, LLC Factura # 6524</t>
  </si>
  <si>
    <t>Equus Global Expansion, LLC Factura # 5-137</t>
  </si>
  <si>
    <t>Europortage Factura # 6525</t>
  </si>
  <si>
    <t>Europortage Factura # 5-138</t>
  </si>
  <si>
    <t>Rivermate Factura # 6520</t>
  </si>
  <si>
    <t>Rivermate Factura # 5-133</t>
  </si>
  <si>
    <t>FV-5-137</t>
  </si>
  <si>
    <t>FV-5-27</t>
  </si>
  <si>
    <t>FV-5-47</t>
  </si>
  <si>
    <t>Gastos asociados por el envio de los recursos a BCP Perú dinero Europortage</t>
  </si>
  <si>
    <t>Préstamo de dinero Nathalie Vaquiro</t>
  </si>
  <si>
    <t>Compassion international factura # 6542</t>
  </si>
  <si>
    <t>EPDM Factura # 6541</t>
  </si>
  <si>
    <t>EPDM Factura # 5-146</t>
  </si>
  <si>
    <t>Insider factura  #5-145  Prima</t>
  </si>
  <si>
    <t>Hemmebarsch GMBH &amp; Co KG , factura # 6540 Enero</t>
  </si>
  <si>
    <t>Hemmebarsch GMBH &amp; Co KG , factura # 5-144 Enero</t>
  </si>
  <si>
    <t>Tiquetes monteria-bogotá y vsa junto Hoteles Luis Angel Copete - Saipem</t>
  </si>
  <si>
    <t>Reembolso Sandra de los Rios-Comision Bucaramanga 10-11 Diciembre-AECID</t>
  </si>
  <si>
    <t>22 registros</t>
  </si>
  <si>
    <t>Reembolso Mercedes Alvarez-Comision Pasto 9-11 Diciembre-AECID</t>
  </si>
  <si>
    <t xml:space="preserve">Reembolso de gastos Alfonso Fonseca almuerzo líderes </t>
  </si>
  <si>
    <t>Liquidación Michael Pertuz -S&amp;P</t>
  </si>
  <si>
    <t>Sucursales</t>
  </si>
  <si>
    <t>Se ingresa este dinero que corresponde alas divisas que se trajeron de Panamá para completar el pago de la prima de EOR y S&amp;P</t>
  </si>
  <si>
    <t>Se ingresa este dinero con una diferencia de 75,999,99 de perdida. Se requeria para el pago de las primas del cliente insider cuyo vencimiento legal es 19 de diciembre y no da espera a que la tasa mejore mas tarde u otro día</t>
  </si>
  <si>
    <t>FV-5-129</t>
  </si>
  <si>
    <t>E6006315618</t>
  </si>
  <si>
    <t>EMPR60241</t>
  </si>
  <si>
    <t>FE3074</t>
  </si>
  <si>
    <t>GFE58327</t>
  </si>
  <si>
    <t>Novasoft-Derecho de uso de nómina, Derecho de uso portal , nómina electrónica, Habilitación y emisión de comprobantes Noviembre</t>
  </si>
  <si>
    <t>Action Factura # 6561</t>
  </si>
  <si>
    <t>Action Factura # 5-156</t>
  </si>
  <si>
    <t>Flexco Factura # 6558</t>
  </si>
  <si>
    <t>Flexco Factura # 5-151</t>
  </si>
  <si>
    <t>Nazdar Factura # 6538</t>
  </si>
  <si>
    <t>Nazdar Factura # 5-142</t>
  </si>
  <si>
    <t>FV-5-139</t>
  </si>
  <si>
    <t>FPP431712</t>
  </si>
  <si>
    <t>Solicitud de tarjetas people pass dotación</t>
  </si>
  <si>
    <t xml:space="preserve">Reembolso de gastos Luisa Diaz actividad cazuca y pago linkedln oferta laboral </t>
  </si>
  <si>
    <t>Hl Infraestructura factura # 6318</t>
  </si>
  <si>
    <r>
      <t xml:space="preserve">HL Ingenieros factura # </t>
    </r>
    <r>
      <rPr>
        <sz val="11"/>
        <rFont val="Calibri"/>
        <family val="2"/>
        <scheme val="minor"/>
      </rPr>
      <t>6280 a 6283</t>
    </r>
  </si>
  <si>
    <t>Tiquetes monteria-bogotá y vsa junto Hoteles Luis Angel Copete - Saipem (cambio)</t>
  </si>
  <si>
    <t>FV-5-150</t>
  </si>
  <si>
    <t>Reembolso de gastos Desayuno líderes el 18 de diciembre( Viviana Guzman)</t>
  </si>
  <si>
    <t>FPP432457</t>
  </si>
  <si>
    <t>FEV-1-93</t>
  </si>
  <si>
    <t>Pagos del 01 al 31 diciembre</t>
  </si>
  <si>
    <t>FV-5-138</t>
  </si>
  <si>
    <t>Remofirst Factura # 6535- Diciembre</t>
  </si>
  <si>
    <t>Remofirst Factura # 5-150 Diciembre</t>
  </si>
  <si>
    <t>Práxedes nómina electronica-Servidores hosting y/o Computación en la nuble Cloud Noviembre</t>
  </si>
  <si>
    <t>Ingreso Banco Finandina</t>
  </si>
  <si>
    <t xml:space="preserve">no se paga el proveedor debe generar NC ya que se canceló el contrato </t>
  </si>
  <si>
    <t>Jorge Mauricio Gomez</t>
  </si>
  <si>
    <t>FV-5-156</t>
  </si>
  <si>
    <t>FV-5-142</t>
  </si>
  <si>
    <t>Oncehub Factura # 6551</t>
  </si>
  <si>
    <t>Oncehub Factura # 5-156</t>
  </si>
  <si>
    <t>El ingreso de estos recursos se realiza con una diferencia del 2,17%, originada entre la tasa facturada y la tasa efectivamente negociada, bajo las siguientes consideraciones:
1.Aplicación del descuento: Durante este mes únicamente se aplicó un 1% de descuento en la trm, dado que la cuenta por diferencia en cambio refleja que actualmente existe un saldo a favor del cliente y lo que se busca es diminuir ese saldo.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t>
  </si>
  <si>
    <t>El ingreso de estos recursos se realiza con una diferencia del 2,16%, originada entre la tasa facturada y la tasa efectivamente negociada, bajo las siguientes consideraciones:
1.Aplicación del descuento: Durante este mes únicamente se aplicó un 1% de descuento en la trm, dado que la cuenta por diferencia en cambio refleja que actualmente existe un saldo a favor del cliente y lo que se busca es diminuir ese saldo.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t>
  </si>
  <si>
    <t>El ingreso de estos recursos se realiza con una diferencia del 0,32%, originada entre la tasa facturada y la tasa efectivamente negociada, bajo las siguientes consideraciones:
1.Aplicación del descuento: Durante este mes únicamente se aplicó un 1% de descuento en la trm, dado que la cuenta por diferencia en cambio refleja que actualmente existe un saldo a favor del cliente y lo que se busca es diminuir ese saldo.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t>
  </si>
  <si>
    <t>El ingreso de estos recursos se realiza con una diferencia del 0,91%, originada entre la tasa facturada y la tasa efectivamente negociada, bajo las siguientes consideraciones:
1.Aplicación del descuento: Durante este mes únicamente se aplicó un 1% de descuento en la trm, dado que la cuenta por diferencia en cambio refleja que actualmente existe un saldo a favor del cliente y lo que se busca es diminuir ese saldo.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t>
  </si>
  <si>
    <t>Nomina EOR-c1007 - NZD</t>
  </si>
  <si>
    <t>Nomina EOR-c1024 - MKD</t>
  </si>
  <si>
    <t>Nomina EOR-c1029 - Insider</t>
  </si>
  <si>
    <t>Nomina EOR-c1042 - EPDM</t>
  </si>
  <si>
    <t>Nomina EOR-c1043 - Neo</t>
  </si>
  <si>
    <t>Nomina EOR-c1050 - Hemmersbach</t>
  </si>
  <si>
    <t>Nomina EOR-c1051 - Yonyou</t>
  </si>
  <si>
    <t>Nomina EOR-c1052 - bubble</t>
  </si>
  <si>
    <t>Nomina EOR-c1053 - Global expansion</t>
  </si>
  <si>
    <t>Nomina EOR-c1055 - Rivermate</t>
  </si>
  <si>
    <t>Nomina EOR-c1056 - Europortage</t>
  </si>
  <si>
    <t>Nomina EOR-c1037 - Remofirst</t>
  </si>
  <si>
    <t>Nomina EOR-c1032 - Flexco</t>
  </si>
  <si>
    <t>Nomina EOR-c1038 - Oncehub</t>
  </si>
  <si>
    <t>Nomina EOR-c1041 - Edrington</t>
  </si>
  <si>
    <t>Préstamo de dinero a Root capital para préstamo pago nóminas diciembre</t>
  </si>
  <si>
    <r>
      <t>Inversiones el Bosque factura #</t>
    </r>
    <r>
      <rPr>
        <b/>
        <sz val="11"/>
        <color theme="1"/>
        <rFont val="Calibri"/>
        <family val="2"/>
        <scheme val="minor"/>
      </rPr>
      <t xml:space="preserve"> </t>
    </r>
    <r>
      <rPr>
        <sz val="11"/>
        <color theme="1"/>
        <rFont val="Calibri"/>
        <family val="2"/>
        <scheme val="minor"/>
      </rPr>
      <t>6569</t>
    </r>
  </si>
  <si>
    <t>Gilead Scense Colombia Factura # 5-154</t>
  </si>
  <si>
    <t>FV-5-135</t>
  </si>
  <si>
    <t>FV-5-152</t>
  </si>
  <si>
    <t>FV-5-60</t>
  </si>
  <si>
    <t>FV-5-79</t>
  </si>
  <si>
    <t>FV-4-6523</t>
  </si>
  <si>
    <t>FV-5-136</t>
  </si>
  <si>
    <t>Se debe monetizar por debajo de lo facturado ya que se requiere para el pago de la nómina del día de hoy 26 de diciembre</t>
  </si>
  <si>
    <t>Insider factura  # 159</t>
  </si>
  <si>
    <r>
      <t>Hong kong yonyou xinfushe cloud technology co., limited Factura 6559-</t>
    </r>
    <r>
      <rPr>
        <b/>
        <i/>
        <sz val="11"/>
        <color rgb="FFFF0000"/>
        <rFont val="Calibri"/>
        <family val="2"/>
        <scheme val="minor"/>
      </rPr>
      <t>(Pendiente monetizar)</t>
    </r>
  </si>
  <si>
    <r>
      <t xml:space="preserve">Hong kong yonyou xinfushe cloud technology co., limited Factura 5-152 </t>
    </r>
    <r>
      <rPr>
        <b/>
        <i/>
        <sz val="11"/>
        <color rgb="FFFF0000"/>
        <rFont val="Calibri"/>
        <family val="2"/>
        <scheme val="minor"/>
      </rPr>
      <t>(Pendiente monetizar)</t>
    </r>
  </si>
  <si>
    <r>
      <t xml:space="preserve">Remofirst Factura # 5-60 Octubre </t>
    </r>
    <r>
      <rPr>
        <b/>
        <sz val="11"/>
        <color rgb="FFFF0000"/>
        <rFont val="Calibri"/>
        <family val="2"/>
        <scheme val="minor"/>
      </rPr>
      <t>(Pendiente monetizar)</t>
    </r>
  </si>
  <si>
    <r>
      <t xml:space="preserve">Remofirst Factura # 6338 Octubre </t>
    </r>
    <r>
      <rPr>
        <b/>
        <sz val="11"/>
        <color rgb="FFFF0000"/>
        <rFont val="Calibri"/>
        <family val="2"/>
        <scheme val="minor"/>
      </rPr>
      <t>(Pendiente monetizar)</t>
    </r>
  </si>
  <si>
    <r>
      <t>Remofirst Factura # 5-79 Octubre</t>
    </r>
    <r>
      <rPr>
        <b/>
        <sz val="11"/>
        <color rgb="FFFF0000"/>
        <rFont val="Calibri"/>
        <family val="2"/>
        <scheme val="minor"/>
      </rPr>
      <t xml:space="preserve"> (Pendiente monetizar)</t>
    </r>
  </si>
  <si>
    <t>Reembolso paula alejandra moreno navarro C1052 - Yonyou</t>
  </si>
  <si>
    <t>Reembolso sonia rocio quintanilla quintero C1052 - Yonyou</t>
  </si>
  <si>
    <t>Reembolso cindy carolina leguizamon clavijo 25 - Remofirst - ISLAMIC RELIEF</t>
  </si>
  <si>
    <t>Reembolso maria alejandra pabon aranguren 25 - Remofirst - ISLAMIC RELIEF</t>
  </si>
  <si>
    <t>Reembolso emma soraya rojas navarrete 25 - Remofirst - ISLAMIC RELIEF</t>
  </si>
  <si>
    <t>Reembolso sofia  name parada 25 - Remofirst - ISLAMIC RELIEF</t>
  </si>
  <si>
    <t>Reembolso gloria paulina corredor cifuentes 25 - Remofirst - ISLAMIC RELIEF</t>
  </si>
  <si>
    <t>Reembolso sandra lucia barrios   angulo 38 - Remofirst - Quantic Vision, S.A</t>
  </si>
  <si>
    <t xml:space="preserve"> FPP433996</t>
  </si>
  <si>
    <t>Prima extralegal AECID</t>
  </si>
  <si>
    <t>2025-012</t>
  </si>
  <si>
    <t>Aporte voluntario institucional protección Ricardo</t>
  </si>
  <si>
    <t>Pago Estudio Visa Halja Pilvisto</t>
  </si>
  <si>
    <t>Liquidación Nataly Carvajal -S&amp;P</t>
  </si>
  <si>
    <t>Base refrigerante Victor Alonso Bustamante EOR</t>
  </si>
  <si>
    <t>devolucion saldo caja menor</t>
  </si>
  <si>
    <t>Consorcio SK-HL facturas 6501</t>
  </si>
  <si>
    <t>AECID Factura # 6574</t>
  </si>
  <si>
    <t>Sinerware SAS Factura # 6392-6469-6570</t>
  </si>
  <si>
    <t>Erika Julieth Mier Forero</t>
  </si>
  <si>
    <t>Martiza Forero Benavides</t>
  </si>
  <si>
    <t>Steven Rafael Mier Forero</t>
  </si>
  <si>
    <t>fe-2064</t>
  </si>
  <si>
    <t>Plurum 80% escuela de liderazgo</t>
  </si>
  <si>
    <t xml:space="preserve">Tiquetes monteria-bogotá y vsa junto Hoteles Luis Angel Copete - Saipem </t>
  </si>
  <si>
    <t xml:space="preserve">Reembolso Alejandra  carrillo cambas C1029 - Insider </t>
  </si>
  <si>
    <t xml:space="preserve">Reembolso David andres suta delgado C1029 - Insider </t>
  </si>
  <si>
    <t xml:space="preserve">Reembolso Gabriela ysabel diaz correa C1029 - Insider </t>
  </si>
  <si>
    <t xml:space="preserve">Reembolso Nathali  fandiño ruiz C1029 - Insider </t>
  </si>
  <si>
    <t xml:space="preserve">Reembolso Sebastian  tellez zuluaga C1029 - Insider </t>
  </si>
  <si>
    <t>TPL Logistics factura # 6568</t>
  </si>
  <si>
    <t>Pago de inscripción de documentos camara de comercio- Revisor fiscal</t>
  </si>
  <si>
    <t>13957925</t>
  </si>
  <si>
    <t>Anticipo cesantías yesela Agudelo Durango</t>
  </si>
  <si>
    <t>Neo Factura # 6552</t>
  </si>
  <si>
    <t>Neo Factura # FV-5-135</t>
  </si>
  <si>
    <t>Neo Factura # 6557</t>
  </si>
  <si>
    <t>Bubble BPM Factura # 6523</t>
  </si>
  <si>
    <t>Bubble BPM Factura # 5-136</t>
  </si>
  <si>
    <t>Examenes médicos de control Armando de Jesus Hincapie -  Saipem</t>
  </si>
  <si>
    <t>Suramericana Incapacidad</t>
  </si>
  <si>
    <t>Liquidación Isabel Aguirre Guarin-remofirst</t>
  </si>
  <si>
    <t>Liquidación Jonathan Novoa Cain -remofirst</t>
  </si>
  <si>
    <t xml:space="preserve">Tiquetes Medellin-bogotá y vsa junto Hoteles Armando Jesus Hincapie Vergara- Saipem </t>
  </si>
  <si>
    <t>BBVA 06/01/2026</t>
  </si>
  <si>
    <t>Bancolombia 06/01/2026</t>
  </si>
  <si>
    <t>Banco Panamá S&amp;P USD 06/01/2026</t>
  </si>
  <si>
    <t>BAC Costa Rica  ₡ 06/01/2026</t>
  </si>
  <si>
    <t>BAC Costa Rica  USD 06/01/2026</t>
  </si>
  <si>
    <t>Banco Bibankg Guatemala QTZ 06/01/2026</t>
  </si>
  <si>
    <t>Banco Bibankg Guatemala USD 06/01/2026</t>
  </si>
  <si>
    <t>BCP Perú Soles 06/01/2026</t>
  </si>
  <si>
    <t>BCP Perú USD 06/01/2026</t>
  </si>
  <si>
    <t>BBVA Perú Soles 06/01/2026</t>
  </si>
  <si>
    <t>BBVA Perú USD 06/01/2026</t>
  </si>
  <si>
    <t>Bancolombia ACT&amp;J COPS 06/01/2026</t>
  </si>
  <si>
    <t>Banco Aliado Panamá USD 06/01/2026</t>
  </si>
  <si>
    <t>SD0117095702</t>
  </si>
  <si>
    <t>Insider factura  # 160</t>
  </si>
  <si>
    <t>Oncehub Factura # 5-160</t>
  </si>
  <si>
    <t>Remofirst Factura # 6580- Diciembre</t>
  </si>
  <si>
    <t>ACT&amp;J Consultores Factura 6555</t>
  </si>
  <si>
    <t xml:space="preserve">Dream Tyme resort </t>
  </si>
  <si>
    <t>Global CS Colombia SAS  factura # 6443</t>
  </si>
  <si>
    <r>
      <t xml:space="preserve">Global Projects service AG facturas # 6315-27-45 </t>
    </r>
    <r>
      <rPr>
        <b/>
        <sz val="11"/>
        <color rgb="FFFF0000"/>
        <rFont val="Calibri"/>
        <family val="2"/>
        <scheme val="minor"/>
      </rPr>
      <t>(Pendiente monetizar)</t>
    </r>
  </si>
  <si>
    <r>
      <t>Petrobras Colombia Factura #</t>
    </r>
    <r>
      <rPr>
        <sz val="11"/>
        <rFont val="Calibri"/>
        <family val="2"/>
        <scheme val="minor"/>
      </rPr>
      <t xml:space="preserve"> 6517</t>
    </r>
  </si>
  <si>
    <t>Petrobras Internacional Baspetro Factura # 6516</t>
  </si>
  <si>
    <r>
      <t xml:space="preserve">Safeguard por identificar  Deel </t>
    </r>
    <r>
      <rPr>
        <b/>
        <sz val="11"/>
        <color rgb="FFFF0000"/>
        <rFont val="Calibri"/>
        <family val="2"/>
        <scheme val="minor"/>
      </rPr>
      <t>(Pendiente monetizar)</t>
    </r>
  </si>
  <si>
    <r>
      <t>Hong kong yonyou xinfushe cloud technology co., limited Factura 6559-</t>
    </r>
    <r>
      <rPr>
        <b/>
        <i/>
        <sz val="11"/>
        <color rgb="FFFF0000"/>
        <rFont val="Calibri"/>
        <family val="2"/>
        <scheme val="minor"/>
      </rPr>
      <t>(Pendiente monetizar)</t>
    </r>
    <r>
      <rPr>
        <sz val="11"/>
        <color theme="1"/>
        <rFont val="Calibri"/>
        <family val="2"/>
        <scheme val="minor"/>
      </rPr>
      <t>Diciembre</t>
    </r>
  </si>
  <si>
    <r>
      <t xml:space="preserve">Hong kong yonyou xinfushe cloud technology co., limited Factura 5-152 </t>
    </r>
    <r>
      <rPr>
        <b/>
        <i/>
        <sz val="11"/>
        <color rgb="FFFF0000"/>
        <rFont val="Calibri"/>
        <family val="2"/>
        <scheme val="minor"/>
      </rPr>
      <t>(Pendiente monetizar)</t>
    </r>
    <r>
      <rPr>
        <sz val="11"/>
        <color theme="1"/>
        <rFont val="Calibri"/>
        <family val="2"/>
        <scheme val="minor"/>
      </rPr>
      <t xml:space="preserve"> Diciembre</t>
    </r>
  </si>
  <si>
    <r>
      <t xml:space="preserve">Hemmebarsch GMBH &amp; Co KG , factura # 6540 </t>
    </r>
    <r>
      <rPr>
        <b/>
        <sz val="11"/>
        <color rgb="FF0000CC"/>
        <rFont val="Calibri"/>
        <family val="2"/>
        <scheme val="minor"/>
      </rPr>
      <t>Enero</t>
    </r>
  </si>
  <si>
    <r>
      <t xml:space="preserve">Hemmebarsch GMBH &amp; Co KG , factura # 5-144 </t>
    </r>
    <r>
      <rPr>
        <b/>
        <sz val="11"/>
        <color rgb="FF0000CC"/>
        <rFont val="Calibri"/>
        <family val="2"/>
        <scheme val="minor"/>
      </rPr>
      <t>Enero</t>
    </r>
  </si>
  <si>
    <t>Insider factura  # XXX</t>
  </si>
  <si>
    <r>
      <t xml:space="preserve">Remofirst Factura # 6580- </t>
    </r>
    <r>
      <rPr>
        <b/>
        <sz val="11"/>
        <color rgb="FF0000CC"/>
        <rFont val="Calibri"/>
        <family val="2"/>
        <scheme val="minor"/>
      </rPr>
      <t>Diciembre</t>
    </r>
  </si>
  <si>
    <r>
      <t xml:space="preserve">Insider factura  # 160 Diciembre </t>
    </r>
    <r>
      <rPr>
        <b/>
        <i/>
        <sz val="11"/>
        <color rgb="FFFF0000"/>
        <rFont val="Calibri"/>
        <family val="2"/>
        <scheme val="minor"/>
      </rPr>
      <t>(Pendiente monetizar)</t>
    </r>
  </si>
  <si>
    <t>ENERO</t>
  </si>
  <si>
    <t xml:space="preserve">IVA Bimetral </t>
  </si>
  <si>
    <t>Innovate SAS-Servicio en la nube mes de Enero</t>
  </si>
  <si>
    <t>Reembolso previsto</t>
  </si>
  <si>
    <t>Seguridad social</t>
  </si>
  <si>
    <t>FV-5-160</t>
  </si>
  <si>
    <t>FV-6461</t>
  </si>
  <si>
    <t xml:space="preserve">Devolución dinero Root capital </t>
  </si>
  <si>
    <t>RTE ICA bimestral</t>
  </si>
  <si>
    <t>Anticipo nómina Lyda María Durango Mejia-Remofirst</t>
  </si>
  <si>
    <t>Reembolso gastos Sandra Bello</t>
  </si>
  <si>
    <t>Mundo Express</t>
  </si>
  <si>
    <t>Reembolso gastos Luisa Diaz pago Linkedln del 20 diciembre</t>
  </si>
  <si>
    <t>Pago Anexo póliza de contrato Petrobras Seguros Mundial</t>
  </si>
  <si>
    <t>FE-53959</t>
  </si>
  <si>
    <t>Sin radicar - se paga por fecha de suspensión 12/01</t>
  </si>
  <si>
    <t>Pruebas THT- Plan detal 6 informes</t>
  </si>
  <si>
    <t>FEV 3264</t>
  </si>
  <si>
    <t>Pago excedente registro acta nombramiento revisor fiscal</t>
  </si>
  <si>
    <t>Petrobras Internacional Baspetro Factura # 6526</t>
  </si>
  <si>
    <t>Global CS Colombia SAS -factura # 6554 - 163</t>
  </si>
  <si>
    <t xml:space="preserve">Incapacidad pendiente por identificar </t>
  </si>
  <si>
    <t>Consorcio HL-AB Factura #  6357 - 6358</t>
  </si>
  <si>
    <t>Hl Infraestructura factura # 6366 -6368 - 6369 - 6371 - 6372 - 6386 - 6387 - 6402</t>
  </si>
  <si>
    <t>Monica Londoño Factura 6396</t>
  </si>
  <si>
    <t>HL Ingenieros factura # 6355</t>
  </si>
  <si>
    <t>Liquidación Juan Felipe Rodriguez Alarcón</t>
  </si>
  <si>
    <t>Jhoana Herrera Paz</t>
  </si>
  <si>
    <t>Solicitud camara y comercio de S&amp;P</t>
  </si>
  <si>
    <t>9753257</t>
  </si>
  <si>
    <t>Recarga Mensajeros Urbanos</t>
  </si>
  <si>
    <r>
      <t>Yadira Pineda- servicios Diciembre  y mensajeria service Panamá</t>
    </r>
    <r>
      <rPr>
        <b/>
        <sz val="11"/>
        <color theme="1"/>
        <rFont val="Calibri"/>
        <family val="2"/>
        <scheme val="minor"/>
      </rPr>
      <t xml:space="preserve"> </t>
    </r>
    <r>
      <rPr>
        <sz val="11"/>
        <color theme="1"/>
        <rFont val="Calibri"/>
        <family val="2"/>
        <scheme val="minor"/>
      </rPr>
      <t>-</t>
    </r>
    <r>
      <rPr>
        <b/>
        <i/>
        <sz val="11"/>
        <color rgb="FF3333FF"/>
        <rFont val="Calibri"/>
        <family val="2"/>
        <scheme val="minor"/>
      </rPr>
      <t>Pago por Panamá</t>
    </r>
  </si>
  <si>
    <t>FEWP-6373</t>
  </si>
  <si>
    <t>WORKPLACE SOLUTIONS GROUP SAS (SPACIO)-Impresiones a color</t>
  </si>
  <si>
    <t>FEWP-6372</t>
  </si>
  <si>
    <t>WORKPLACE SOLUTIONS GROUP SAS (SPACIO)-Sala de juntas 9 horas</t>
  </si>
  <si>
    <t>BOGA105445411</t>
  </si>
  <si>
    <t xml:space="preserve">Reteica 6to bimestre 2025 </t>
  </si>
  <si>
    <t>Clarke Modet factura # 6564</t>
  </si>
  <si>
    <t>Devolución Camara de comercio</t>
  </si>
  <si>
    <t>Inversiones el Bosque factura # 6391</t>
  </si>
  <si>
    <t>FEWP-6404</t>
  </si>
  <si>
    <t>FV-4-6447</t>
  </si>
  <si>
    <t>FV-5-104</t>
  </si>
  <si>
    <t>FV-4-6448</t>
  </si>
  <si>
    <t>FV-5-105</t>
  </si>
  <si>
    <t>FV-4-6539</t>
  </si>
  <si>
    <t>FV-5-143</t>
  </si>
  <si>
    <t>FV-4-6540</t>
  </si>
  <si>
    <t>FV-5-144</t>
  </si>
  <si>
    <t>FV-4-6603</t>
  </si>
  <si>
    <t>FV-5-169</t>
  </si>
  <si>
    <t>FEWP-6448</t>
  </si>
  <si>
    <t>WORKPLACE SOLUTIONS GROUP SAS (SPACIO)-Sala de juntas 3 horas</t>
  </si>
  <si>
    <t>219912160194</t>
  </si>
  <si>
    <t>FE-56980</t>
  </si>
  <si>
    <t>FENI-11542</t>
  </si>
  <si>
    <t>FEG 1519</t>
  </si>
  <si>
    <t>Gelcon  GC -Aplicación Batería de Riesgo Psicosocial</t>
  </si>
  <si>
    <t>FENI-11463</t>
  </si>
  <si>
    <t>BPA 6679</t>
  </si>
  <si>
    <t>Préstamo Viviana Guzman</t>
  </si>
  <si>
    <t>Pago envio DHL casa Yadira Pineda a Panamá</t>
  </si>
  <si>
    <t>Examenes Medicos Diego Montes - SAIPEM</t>
  </si>
  <si>
    <t>Examenes Medicos Carlos Alberto Pulgarin Legarda - SAIPEM</t>
  </si>
  <si>
    <t>CRA2960458</t>
  </si>
  <si>
    <t xml:space="preserve">Tiquetes Bogotá - Monteria Cristobal Capachero- Saipem </t>
  </si>
  <si>
    <t>Par servicios</t>
  </si>
  <si>
    <t>Liquidación Diana Marcela Hernandez Nieto -S&amp;P</t>
  </si>
  <si>
    <t>Liquidación Lina Marcela Chinome Guio  -S&amp;P</t>
  </si>
  <si>
    <t xml:space="preserve">Tiquetes Medellín -Bogota y VSA Carlos Pulgarin Legarda- Saipem </t>
  </si>
  <si>
    <t>Anticipo Nómina Lorena García</t>
  </si>
  <si>
    <t>Consorcio HL Gisaico Factura 6532-6534</t>
  </si>
  <si>
    <t>Consorcio A&amp;D Factura #  6478-6508-6545</t>
  </si>
  <si>
    <r>
      <t>Petrobras Colombia Factura #</t>
    </r>
    <r>
      <rPr>
        <sz val="11"/>
        <rFont val="Calibri"/>
        <family val="2"/>
        <scheme val="minor"/>
      </rPr>
      <t xml:space="preserve"> 6518</t>
    </r>
  </si>
  <si>
    <t>Bubble BPM Factura # 6609</t>
  </si>
  <si>
    <t>Bubble BPM Factura # 5-175</t>
  </si>
  <si>
    <r>
      <t xml:space="preserve">Edrington  Factura </t>
    </r>
    <r>
      <rPr>
        <b/>
        <sz val="11"/>
        <color theme="1"/>
        <rFont val="Calibri"/>
        <family val="2"/>
        <scheme val="minor"/>
      </rPr>
      <t xml:space="preserve"># </t>
    </r>
    <r>
      <rPr>
        <sz val="11"/>
        <color theme="1"/>
        <rFont val="Calibri"/>
        <family val="2"/>
        <scheme val="minor"/>
      </rPr>
      <t>6606</t>
    </r>
  </si>
  <si>
    <t>Edrington  Factura # 5-172</t>
  </si>
  <si>
    <t>Equus Global Expansion, LLC Factura # 6600</t>
  </si>
  <si>
    <t>Europortage Factura # 6607</t>
  </si>
  <si>
    <t>Europortage Factura # 5-173</t>
  </si>
  <si>
    <t>Flexco Factura # 6603</t>
  </si>
  <si>
    <t>Flexco Factura # 5-169</t>
  </si>
  <si>
    <t>MKD Factura # 6602</t>
  </si>
  <si>
    <t>MKD Factura # 5-168</t>
  </si>
  <si>
    <t>Nazdar Factura # 6604</t>
  </si>
  <si>
    <t>Nazdar Factura # 5-170</t>
  </si>
  <si>
    <t>Neo Factura # 6613</t>
  </si>
  <si>
    <t>Neo Factura # FV-5-181</t>
  </si>
  <si>
    <t>Remofirst Factura # 6601- Enero</t>
  </si>
  <si>
    <t>Remofirst Factura # 5-166 Enero</t>
  </si>
  <si>
    <t>Rivermate Factura # 6610</t>
  </si>
  <si>
    <t>Rivermate Factura # 5-176</t>
  </si>
  <si>
    <t xml:space="preserve">Compra Monitor Colaborador Victor Bustamante </t>
  </si>
  <si>
    <t>Pago Tajeta de presentación  William Romero</t>
  </si>
  <si>
    <t>Incapacidad pagada Sandra Milena Bello</t>
  </si>
  <si>
    <t>Deel</t>
  </si>
  <si>
    <t>FE-2064</t>
  </si>
  <si>
    <t>Equus</t>
  </si>
  <si>
    <t>FV-4-6600</t>
  </si>
  <si>
    <t>FV-5-165</t>
  </si>
  <si>
    <t>580831409004</t>
  </si>
  <si>
    <t>Donación de cuadernos</t>
  </si>
  <si>
    <t>Pago visa para Halja Pilvisto</t>
  </si>
  <si>
    <t>Insider factura  # 188  expenses</t>
  </si>
  <si>
    <t>003 - 292457153</t>
  </si>
  <si>
    <t xml:space="preserve">	6016985756</t>
  </si>
  <si>
    <t>Pendiente de aprobación Luisa</t>
  </si>
  <si>
    <t>ACT&amp;J Consultores Factura 6612</t>
  </si>
  <si>
    <t>6320-6321-6322-6323-6324-6326-6327-6328</t>
  </si>
  <si>
    <t>6333-6414-6418</t>
  </si>
  <si>
    <t>6405-6406</t>
  </si>
  <si>
    <t>6329-6330-6331-6332</t>
  </si>
  <si>
    <t>6407-6408-6409-6410-6411-6412-6413-6491-6492-6493-6494-6495</t>
  </si>
  <si>
    <t>6415-6416-6417-6496-6497-6498-6499-126</t>
  </si>
  <si>
    <t xml:space="preserve">Transferencia de fondos por Saldo de anticipo People Pass Root capital </t>
  </si>
  <si>
    <t>FV-4-6610</t>
  </si>
  <si>
    <t>FV-5-176</t>
  </si>
  <si>
    <t>6165-6166-6167-6168-6169-6170-6171-6172-6173-6174-6249-6250-6251-6252-6253-6254-6255-6256-6257-6486-6487-6488-6489-6490-6581-6582-6583-6586-6587-6588-6589</t>
  </si>
  <si>
    <t>6175-6176-6177-6178-6179-6258-6259-6260-6261-6262-6500-6592-164-6593-6594</t>
  </si>
  <si>
    <t>FV-4-6604</t>
  </si>
  <si>
    <t>FV-5-170</t>
  </si>
  <si>
    <t>Oncehub Factura # 5-161 ( cesantías)</t>
  </si>
  <si>
    <t>Oncehub Factura # 6617</t>
  </si>
  <si>
    <t>Oncehub Factura # 5-171</t>
  </si>
  <si>
    <t>FV-4-6617</t>
  </si>
  <si>
    <t>FV-5-171</t>
  </si>
  <si>
    <t>FV-5-161</t>
  </si>
  <si>
    <t>Poc Pharma Limited</t>
  </si>
  <si>
    <t>Poc Pharma Limited Factura # 6619</t>
  </si>
  <si>
    <t>Poc Pharma Limited Factura # 5-182</t>
  </si>
  <si>
    <t>Poc Pharma Limited Factura # 5-183</t>
  </si>
  <si>
    <t>FV-4-6614</t>
  </si>
  <si>
    <t>FV-5-182</t>
  </si>
  <si>
    <t>FV-5-183</t>
  </si>
  <si>
    <t>6584-6585</t>
  </si>
  <si>
    <t>6590-6591</t>
  </si>
  <si>
    <t>FV-4-6606</t>
  </si>
  <si>
    <t>FV-5-172</t>
  </si>
  <si>
    <t>FV-4-6607</t>
  </si>
  <si>
    <t>FV-5-173</t>
  </si>
  <si>
    <r>
      <t>Hong kong yonyou xinfushe cloud technology co., limited Factura 6608-</t>
    </r>
    <r>
      <rPr>
        <b/>
        <i/>
        <sz val="11"/>
        <color rgb="FF0000CC"/>
        <rFont val="Calibri"/>
        <family val="2"/>
        <scheme val="minor"/>
      </rPr>
      <t xml:space="preserve"> Enero</t>
    </r>
  </si>
  <si>
    <r>
      <t xml:space="preserve">Hong kong yonyou xinfushe cloud technology co., limited Factura 5-174 </t>
    </r>
    <r>
      <rPr>
        <b/>
        <sz val="11"/>
        <color rgb="FF0000CC"/>
        <rFont val="Calibri"/>
        <family val="2"/>
        <scheme val="minor"/>
      </rPr>
      <t>Enero</t>
    </r>
  </si>
  <si>
    <r>
      <t xml:space="preserve">Hong kong yonyou xinfushe cloud technology co., limited Factura 5-186 </t>
    </r>
    <r>
      <rPr>
        <b/>
        <sz val="11"/>
        <color rgb="FF0000CC"/>
        <rFont val="Calibri"/>
        <family val="2"/>
        <scheme val="minor"/>
      </rPr>
      <t>Enero</t>
    </r>
  </si>
  <si>
    <t>Action Factura # 6619</t>
  </si>
  <si>
    <t>Action Factura # 5-187</t>
  </si>
  <si>
    <t>Equus Global Expansion, LLC Factura # 5-165</t>
  </si>
  <si>
    <t>BEC503796728</t>
  </si>
  <si>
    <t>Envio de dinero a cuenta BAC panama para fondeo USD 750 y prestamo Nomina global PA USD 2000</t>
  </si>
  <si>
    <t>Anticipo cesantías Yina Briyith Vesga Escarraga</t>
  </si>
  <si>
    <r>
      <t xml:space="preserve">Remofirst Factura # 5-162 </t>
    </r>
    <r>
      <rPr>
        <b/>
        <sz val="11"/>
        <color rgb="FF0000CC"/>
        <rFont val="Calibri"/>
        <family val="2"/>
        <scheme val="minor"/>
      </rPr>
      <t>Diciembre</t>
    </r>
  </si>
  <si>
    <t>Pagos del 01 al 31 enero</t>
  </si>
  <si>
    <t>FEWP-6463</t>
  </si>
  <si>
    <t>Funeravet factura # 6599</t>
  </si>
  <si>
    <t>Devolución de retención IVA – Factura FEG 1344 Gelcon</t>
  </si>
  <si>
    <t>9778387</t>
  </si>
  <si>
    <t>CALL 21071</t>
  </si>
  <si>
    <t>Pago estudio de visa Bernhard Laugallies - Europortage</t>
  </si>
  <si>
    <t>FV-4-6619</t>
  </si>
  <si>
    <t>FV-5-187</t>
  </si>
  <si>
    <t>FV-4-6602</t>
  </si>
  <si>
    <t>FV-5-168</t>
  </si>
  <si>
    <t xml:space="preserve">Advancio Factura # 5461 EO Third parties service ADVANCIO </t>
  </si>
  <si>
    <t>Gilead Scense Colombia Factura # 6628</t>
  </si>
  <si>
    <t>C1007 - NZD</t>
  </si>
  <si>
    <t>C1022 - Root Capital</t>
  </si>
  <si>
    <t>C1024 - MKD</t>
  </si>
  <si>
    <t>C1029 - INSIDER</t>
  </si>
  <si>
    <t>C1032 - FLEXCO</t>
  </si>
  <si>
    <t>C1037 - REMOFIRST</t>
  </si>
  <si>
    <t>C1038 - ONCEHUB</t>
  </si>
  <si>
    <t>C1041 - EDRINGTON</t>
  </si>
  <si>
    <t>C1042 - EPDM</t>
  </si>
  <si>
    <t>C1043 - NEO</t>
  </si>
  <si>
    <t>C1050 - HEMMERSBACH</t>
  </si>
  <si>
    <t>C1051 - YONYOU</t>
  </si>
  <si>
    <t>C1052 - BUBBLE BPM INC</t>
  </si>
  <si>
    <t>C1053 - GLOBAL EXPANSION</t>
  </si>
  <si>
    <t>C1055 - RIVERMATE</t>
  </si>
  <si>
    <t>C1056 - EUROPORTAGE</t>
  </si>
  <si>
    <t>C1058 - POC PHARMA</t>
  </si>
  <si>
    <t>GFE59375</t>
  </si>
  <si>
    <t>Novasoft-Derecho de uso de nómina, Derecho de uso portal , nómina electrónica, Habilitación y emisión de comprobantes Diciembre</t>
  </si>
  <si>
    <t>54 registros</t>
  </si>
  <si>
    <t>Liquidación Susana Cano Alvarez -remofirst</t>
  </si>
  <si>
    <t xml:space="preserve">Remofirst Factura # 5-60 Octubre </t>
  </si>
  <si>
    <t>Remofirst Factura # 6338 Octubre</t>
  </si>
  <si>
    <t>Remofirst Factura # 5-79 Octubre</t>
  </si>
  <si>
    <r>
      <t xml:space="preserve">Hemmebarsch GMBH &amp; Co KG , factura # 6539 </t>
    </r>
    <r>
      <rPr>
        <b/>
        <sz val="11"/>
        <color rgb="FF0000CC"/>
        <rFont val="Calibri"/>
        <family val="2"/>
        <scheme val="minor"/>
      </rPr>
      <t>Enero</t>
    </r>
  </si>
  <si>
    <r>
      <t xml:space="preserve">Hemmebarsch GMBH &amp; Co KG , factura # 5-143 </t>
    </r>
    <r>
      <rPr>
        <b/>
        <sz val="11"/>
        <color rgb="FF0000CC"/>
        <rFont val="Calibri"/>
        <family val="2"/>
        <scheme val="minor"/>
      </rPr>
      <t>Enero</t>
    </r>
  </si>
  <si>
    <t>FPP443548</t>
  </si>
  <si>
    <t>Se monetiza el dinero por debajo de un 7% frente a lo facturado que fue de $ 3,890,28.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t>
  </si>
  <si>
    <t>Se monetiza el dinero por debajo de un 3% frente a lo facturado que fue de $ 3,751,28.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t>
  </si>
  <si>
    <t>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t>
  </si>
  <si>
    <t>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t>
  </si>
  <si>
    <t>Se monetiza el dinero por debajo de un 2%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t>
  </si>
  <si>
    <t>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t>
  </si>
  <si>
    <t>Liquidación Lady Tatiana Ballesteros Zuleta-remofirst</t>
  </si>
  <si>
    <t>Reembolso Alejandra  carrillo cambas C1029 - Insider</t>
  </si>
  <si>
    <t>Reembolso Alejandro  perez  lievano C1029 - Insider</t>
  </si>
  <si>
    <t>Reembolso Carlos andres salamanca buitrago C1029 - Insider</t>
  </si>
  <si>
    <t>Reembolso Edgar felipe chaves rodriguez C1029 - Insider</t>
  </si>
  <si>
    <t>Reembolso Gabriela ysabel diaz correa C1029 - Insider</t>
  </si>
  <si>
    <t>Reembolso Johan mauricio alarcon vasquez 41 - Remofirst - Radpair</t>
  </si>
  <si>
    <t>Reembolso Laura alejandra aleman rojas 20 - Remofirst - CARBONBETTER</t>
  </si>
  <si>
    <t>Reembolso Sandra lucia barrios angulo 38 - Remofirst - Quantic Vision, S.A</t>
  </si>
  <si>
    <t>Reembolso Gloria paulina corredor cifuentes 25 - Remofirst - ISLAMIC RELIEF</t>
  </si>
  <si>
    <t>Reembolso Cindy carolina leguizamon clavijo 25 - Remofirst - ISLAMIC RELIEF</t>
  </si>
  <si>
    <t>Reembolso Orlando  mendez davila 06 - Remofirst - TC1 CORPORATION SAC</t>
  </si>
  <si>
    <t>Reembolso Cindy lorena nomesque medina 25 - Remofirst - ISLAMIC RELIEF</t>
  </si>
  <si>
    <t>Reembolso Diana paola perea palacios 33 - Remofirst - Salty Slopes LLC</t>
  </si>
  <si>
    <t>Reembolso Liliana maria saldaña martinez 25 - Remofirst - ISLAMIC RELIEF</t>
  </si>
  <si>
    <t>Reembolso Paula alejandra moreno navarro C1052 - Yonyou</t>
  </si>
  <si>
    <t>Reembolso Sonia rocio quintanilla quintero C1052 - Yonyou</t>
  </si>
  <si>
    <t>FO-GC-PP-001</t>
  </si>
  <si>
    <t>9830901</t>
  </si>
  <si>
    <t>TIQUETES AÉREOS , HOTELES SAIPEM-AECID - ROOT CAPITAL</t>
  </si>
  <si>
    <t>Tiquetes Popayan -Bogota y VSA Cristhian Guapacha - Root Capital</t>
  </si>
  <si>
    <t>FEV-1-95</t>
  </si>
  <si>
    <t>2026-001</t>
  </si>
  <si>
    <t>GFE59440</t>
  </si>
  <si>
    <t>Novasoft-Servicio hosting Web-19 Usuarios-29 Bases de datos Enero</t>
  </si>
  <si>
    <t>People Pass Reembolso Gastos viajes - Carga Inicial personal Root capital</t>
  </si>
  <si>
    <t>FPP444211/444270</t>
  </si>
  <si>
    <t>Reembolso Caja menor</t>
  </si>
  <si>
    <t>FE36</t>
  </si>
  <si>
    <t>FV-4-6637</t>
  </si>
  <si>
    <t>FV-5-195</t>
  </si>
  <si>
    <t>Liquidación Jesus Dair Yanes Espitia-remofirst</t>
  </si>
  <si>
    <t>Liquidación Juan José Cano Solorzano  -remofirst</t>
  </si>
  <si>
    <t>Liquidación Kelvin Jetse Marquez Castillo -Insider</t>
  </si>
  <si>
    <t>Liquidación Nelson Daynel Marquez castillo  -Insider</t>
  </si>
  <si>
    <t>Liquidación Daniel Ricardo Cifuentes bohorquez  -Insider</t>
  </si>
  <si>
    <t>Liquidación Jonathan Arley Acero Florez -Insider</t>
  </si>
  <si>
    <t>Intereses censatías Insider</t>
  </si>
  <si>
    <t>18 registros</t>
  </si>
  <si>
    <t>C1029 - INSIDER-Nómina liquidado</t>
  </si>
  <si>
    <t>Compassion international factura # 6360</t>
  </si>
  <si>
    <t>AECID Factura # 6640</t>
  </si>
  <si>
    <t>AECID Factura # 5-200</t>
  </si>
  <si>
    <t>TPL Logistics factura # 6632</t>
  </si>
  <si>
    <t>Inversiones el Bosque factura # 6627</t>
  </si>
  <si>
    <r>
      <t xml:space="preserve">Soluciones ambientales punto azul Factura #  6504 </t>
    </r>
    <r>
      <rPr>
        <b/>
        <i/>
        <u/>
        <sz val="11"/>
        <color rgb="FF0000CC"/>
        <rFont val="Calibri"/>
        <family val="2"/>
        <scheme val="minor"/>
      </rPr>
      <t>tiene NC 183 por valor $ 3,214,02</t>
    </r>
  </si>
  <si>
    <t xml:space="preserve">Ajuste nomina Viviana Guzman </t>
  </si>
  <si>
    <t>Curso planeación de nómina</t>
  </si>
  <si>
    <t>24 registros</t>
  </si>
  <si>
    <t>Remofirst Factura # 6637- Enero</t>
  </si>
  <si>
    <t>Remofirst Factura # 5-195 Enero</t>
  </si>
  <si>
    <t>Ortho Clinical Diagnostics # 6543</t>
  </si>
  <si>
    <t>Examenes Medicos Nestor José Padilla - SAIPEM</t>
  </si>
  <si>
    <t>FE-399</t>
  </si>
  <si>
    <t>Tiquetes Montería -Bogota y VSA Nestor José Padilla -Saipem</t>
  </si>
  <si>
    <t>BBVA 05/02/2026</t>
  </si>
  <si>
    <t>Bancolombia  05/02/2026</t>
  </si>
  <si>
    <t>Banco Panamá S&amp;P USD 05/02/2026</t>
  </si>
  <si>
    <t>BAC Costa Rica  ₡ 05/02/2026</t>
  </si>
  <si>
    <t>BAC Costa Rica  USD 05/02/2026</t>
  </si>
  <si>
    <t>Banco Bibankg Guatemala QTZ 05/02/2026</t>
  </si>
  <si>
    <t>Banco Bibankg Guatemala USD 05/02/2026</t>
  </si>
  <si>
    <t>BCP Perú Soles 05/02/2026</t>
  </si>
  <si>
    <t>BCP Perú USD 05/02/2026</t>
  </si>
  <si>
    <t>BBVA Perú Soles 05/02/2026</t>
  </si>
  <si>
    <t>BBVA Perú USD 05/02/2026</t>
  </si>
  <si>
    <t>Bancolombia ACT&amp;J COPS 05/02/2026</t>
  </si>
  <si>
    <t>Banco Aliado Panamá USD 05/02/2026</t>
  </si>
  <si>
    <t>FV-4-6639</t>
  </si>
  <si>
    <t>FV-5-199</t>
  </si>
  <si>
    <t>FV-4-6613</t>
  </si>
  <si>
    <t>FV-5-181</t>
  </si>
  <si>
    <t>FV-4-6638</t>
  </si>
  <si>
    <t>FV-5-196</t>
  </si>
  <si>
    <t>FV-4-6608</t>
  </si>
  <si>
    <t>FV-5-174</t>
  </si>
  <si>
    <t>FV-5-186</t>
  </si>
  <si>
    <t>Ecohl facturas 6373-6474-6375</t>
  </si>
  <si>
    <t>Ortho Clinical Diagnostics # 6460</t>
  </si>
  <si>
    <t>ACT&amp;J Consultores Factura 1682</t>
  </si>
  <si>
    <t>Clarke Modet factura # 6618</t>
  </si>
  <si>
    <r>
      <t xml:space="preserve">Distritech facturas # 6631 </t>
    </r>
    <r>
      <rPr>
        <b/>
        <sz val="11"/>
        <color rgb="FF008000"/>
        <rFont val="Calibri"/>
        <family val="2"/>
        <scheme val="minor"/>
      </rPr>
      <t>Llega por Panamá</t>
    </r>
  </si>
  <si>
    <t>Global CS Colombia SAS -factura # 6605-5-197</t>
  </si>
  <si>
    <t>Ortho Clinical Diagnostics # 6635</t>
  </si>
  <si>
    <t>Soluciones ambientales punto azul Factura #  6529</t>
  </si>
  <si>
    <t>Consorcio HL-AB Factura #  6454</t>
  </si>
  <si>
    <t>Insider factura  # 6639</t>
  </si>
  <si>
    <t>Insider factura  # 199</t>
  </si>
  <si>
    <t>FEBRERO</t>
  </si>
  <si>
    <t>FEWP-6576</t>
  </si>
  <si>
    <t>580831420908</t>
  </si>
  <si>
    <t>FEWP-6563</t>
  </si>
  <si>
    <t>Yoana Herrera</t>
  </si>
  <si>
    <t>13</t>
  </si>
  <si>
    <t>Diana Carolina Cortes</t>
  </si>
  <si>
    <t>3</t>
  </si>
  <si>
    <t>Plan medicina prepagada Eduard Forero</t>
  </si>
  <si>
    <t xml:space="preserve">ICA ANUAL </t>
  </si>
  <si>
    <t>Libranza Comfenalco Lisset Franco REMOFIRST</t>
  </si>
  <si>
    <t>Devolución de dinero a cuenta BAC panamá para prestamo Nomina global PA USD 2000</t>
  </si>
  <si>
    <t>Global Colombia</t>
  </si>
  <si>
    <t>Real 13</t>
  </si>
  <si>
    <t>Real 20Feb</t>
  </si>
  <si>
    <t>Proveedores Nacionales</t>
  </si>
  <si>
    <t>-</t>
  </si>
  <si>
    <t>CLOA105244495</t>
  </si>
  <si>
    <t>BPA 6759</t>
  </si>
  <si>
    <t>FENI-11656</t>
  </si>
  <si>
    <t>Nixcom Servicio técnico mensual-Sporte gestion de inventarios mes febrero 2026</t>
  </si>
  <si>
    <t>Compensar bienestar a la carta diciembre 2025</t>
  </si>
  <si>
    <t>EMPR62186</t>
  </si>
  <si>
    <t>SD01 17321557</t>
  </si>
  <si>
    <t>Punto medical FV-4-6316-FV-4-6397-FV-4-6473-FV-4-6579 e intereses</t>
  </si>
  <si>
    <t xml:space="preserve">Devolucion de  anticipo edrington </t>
  </si>
  <si>
    <t>Grupo HL</t>
  </si>
  <si>
    <t>FE-56934</t>
  </si>
  <si>
    <t xml:space="preserve">BUK colombia SAS-Sucricpión Febrero 2026 Bukplay E-learning - Enero 2026 | 53 empleados </t>
  </si>
  <si>
    <t xml:space="preserve">Compra de celular Dayanna Mejia </t>
  </si>
  <si>
    <t>X2602555320</t>
  </si>
  <si>
    <t xml:space="preserve">Compra de tarjetas de presentación Dayanna Mejia </t>
  </si>
  <si>
    <t>Root Capital</t>
  </si>
  <si>
    <t>FV-4-6611</t>
  </si>
  <si>
    <t>FV-5-177</t>
  </si>
  <si>
    <t>FV-5-180</t>
  </si>
  <si>
    <t>FV-4-6609</t>
  </si>
  <si>
    <t>FV-5-175</t>
  </si>
  <si>
    <t>Root capital factura # 6611</t>
  </si>
  <si>
    <t>Root capital  # FV-5-177</t>
  </si>
  <si>
    <t>Root capital  # FV-5-180</t>
  </si>
  <si>
    <t>Renovación SIIGO</t>
  </si>
  <si>
    <t>Retencio en la fuente</t>
  </si>
  <si>
    <t xml:space="preserve">Efectivo Anual </t>
  </si>
  <si>
    <t>Mensual</t>
  </si>
  <si>
    <t>Diaria</t>
  </si>
  <si>
    <t>% mora diaria</t>
  </si>
  <si>
    <t>Cant día</t>
  </si>
  <si>
    <t>Cesantías Diana Marcela Santra Cruz Ordoñez-Remofirst</t>
  </si>
  <si>
    <t>63</t>
  </si>
  <si>
    <t>FE 401</t>
  </si>
  <si>
    <t>ACT&amp;J Consultores  Global CS Colombia enero 2026</t>
  </si>
  <si>
    <t>Karina Elizabeth Atencio de simancas</t>
  </si>
  <si>
    <t>PX44893</t>
  </si>
  <si>
    <t>Servidores ( hosting) y/ o computación en la nuble cloud</t>
  </si>
  <si>
    <t>PX44892</t>
  </si>
  <si>
    <t>Transmision nomina electronica</t>
  </si>
  <si>
    <t>FEWP-6595</t>
  </si>
  <si>
    <t>WORKPLACE SOLUTIONS GROUP SAS (SPACIO)-Sala de juntas eventual</t>
  </si>
  <si>
    <t xml:space="preserve">People Pass reembolso de gastos cristian guapacha Root capital </t>
  </si>
  <si>
    <t>FPP449940</t>
  </si>
  <si>
    <t>219912177994</t>
  </si>
  <si>
    <t>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t>
  </si>
  <si>
    <t>Deel Facturas # 6407-6408-6409-6410-6411-6412-6413-6491-6492-6493-6494-6495</t>
  </si>
  <si>
    <t>Deel Facturas # 6415-6416-6417-6496-6497-6498-6499-126</t>
  </si>
  <si>
    <t>Deel Facturas #6165-6166-6167-6168-6169-6170-6171-6172-6173-6174-6249-6250-6251-6252-6253-6254-6255-6256-6257-6486-6487-6488-6489-6490-6581-6582-6583-6586-6587-6588-6589</t>
  </si>
  <si>
    <t>Deel Facturas # 6175-6176-6177-6178-6179-6258-6259-6260-6261-6262-6500-6592-164-6593-6594</t>
  </si>
  <si>
    <t>Deel Facturas # 6584-6585</t>
  </si>
  <si>
    <t>Deel Facturas # 6590-6591</t>
  </si>
  <si>
    <t>Global Projects service AG facturas # 6315-27-45</t>
  </si>
  <si>
    <t xml:space="preserve">Global Projects service AG facturas # 6534 </t>
  </si>
  <si>
    <t xml:space="preserve">Safeguard 6400-6401-6384-6385 </t>
  </si>
  <si>
    <t>Safeguard 6482-6483-6484</t>
  </si>
  <si>
    <r>
      <t>Hong kong yonyou xinfushe cloud technology co., limited Factura 6559-</t>
    </r>
    <r>
      <rPr>
        <sz val="11"/>
        <color theme="1"/>
        <rFont val="Calibri"/>
        <family val="2"/>
        <scheme val="minor"/>
      </rPr>
      <t>Diciembre</t>
    </r>
  </si>
  <si>
    <r>
      <t>Hong kong yonyou xinfushe cloud technology co., limited Factura 5-152 -</t>
    </r>
    <r>
      <rPr>
        <sz val="11"/>
        <color theme="1"/>
        <rFont val="Calibri"/>
        <family val="2"/>
        <scheme val="minor"/>
      </rPr>
      <t xml:space="preserve"> Diciembre</t>
    </r>
  </si>
  <si>
    <t>Insider factura  # 160 Diciembre</t>
  </si>
  <si>
    <t>Neo Factura # 6638</t>
  </si>
  <si>
    <t>Neo Factura # FV-5-196</t>
  </si>
  <si>
    <r>
      <t>Bubble BPM Factura # 6609</t>
    </r>
    <r>
      <rPr>
        <b/>
        <sz val="11"/>
        <color rgb="FF0000CC"/>
        <rFont val="Calibri"/>
        <family val="2"/>
        <scheme val="minor"/>
      </rPr>
      <t xml:space="preserve"> Enero</t>
    </r>
  </si>
  <si>
    <r>
      <t xml:space="preserve">Bubble BPM Factura # 5-175 </t>
    </r>
    <r>
      <rPr>
        <b/>
        <sz val="11"/>
        <color rgb="FF0000CC"/>
        <rFont val="Calibri"/>
        <family val="2"/>
        <scheme val="minor"/>
      </rPr>
      <t>Enero</t>
    </r>
  </si>
  <si>
    <t>S&amp;P Costa Rica factura Nro. 6481-6595-6642-6667</t>
  </si>
  <si>
    <t>S&amp;P Guatemala factura Nro. 6302-6377-6480-6641-6666</t>
  </si>
  <si>
    <r>
      <t>S&amp;P Panamá Pendiente</t>
    </r>
    <r>
      <rPr>
        <b/>
        <i/>
        <sz val="11"/>
        <color rgb="FFFF0000"/>
        <rFont val="Calibri"/>
        <family val="2"/>
        <scheme val="minor"/>
      </rPr>
      <t xml:space="preserve"> por aclarar las facturas</t>
    </r>
  </si>
  <si>
    <t>Bubble BPM Factura # 6686</t>
  </si>
  <si>
    <t>Bubble BPM Factura # 5-215</t>
  </si>
  <si>
    <t>Edrington  Factura # 5-205</t>
  </si>
  <si>
    <t>EPDM Factura # 6683</t>
  </si>
  <si>
    <t>EPDM Factura # 5-212</t>
  </si>
  <si>
    <t>Equus Global Expansion, LLC Factura # 6687</t>
  </si>
  <si>
    <t>Equus Global Expansion, LLC Factura # 5-216</t>
  </si>
  <si>
    <t>Europortage Factura # 6673</t>
  </si>
  <si>
    <t>Europortage Factura # 5-207</t>
  </si>
  <si>
    <t>Flexco Factura # 6680</t>
  </si>
  <si>
    <t>Flexco Factura # 5-209</t>
  </si>
  <si>
    <t>MKD Factura # 6679</t>
  </si>
  <si>
    <t>MKD Factura # 5-208</t>
  </si>
  <si>
    <t>Neo Factura # 6682</t>
  </si>
  <si>
    <t>Neo Factura # FV-5-211</t>
  </si>
  <si>
    <t>Oncehub Factura # 6681</t>
  </si>
  <si>
    <t>Oncehub Factura # 5-210</t>
  </si>
  <si>
    <t>Remofirst Factura # 6670</t>
  </si>
  <si>
    <t>Remofirst Factura # 5-204</t>
  </si>
  <si>
    <t>Root capital factura # 6688</t>
  </si>
  <si>
    <t>Root capital  # FV-5-217</t>
  </si>
  <si>
    <t>Rivermate Factura # 6674</t>
  </si>
  <si>
    <t>Rivermate Factura # 5-206</t>
  </si>
  <si>
    <t>Action Factura # 6664</t>
  </si>
  <si>
    <t>Action Factura # 5-203</t>
  </si>
  <si>
    <t>FV-4-6664</t>
  </si>
  <si>
    <t>FV-5-203</t>
  </si>
  <si>
    <t>Hl Infraestructura factura # 6427-6431-6438-6444-6471-6476-6477</t>
  </si>
  <si>
    <t>Evento Euro Kick Eduard Forero y Sharon Amaya</t>
  </si>
  <si>
    <t>1659</t>
  </si>
  <si>
    <t>FPP450811</t>
  </si>
  <si>
    <t>Tiquete Nathalie Vaquiro</t>
  </si>
  <si>
    <t>Tiquete y hotel Diego Andrés Montes Medellín-Bogotá y VSA</t>
  </si>
  <si>
    <t>Punto medical</t>
  </si>
  <si>
    <t>Ecohl facturas 6428-6429-6430</t>
  </si>
  <si>
    <t>HL Ingenieros factura # 6441-6531-6548</t>
  </si>
  <si>
    <t>GFE60050</t>
  </si>
  <si>
    <t xml:space="preserve">Deel </t>
  </si>
  <si>
    <t>6654-6655-6656-201-6657-6658</t>
  </si>
  <si>
    <t>FV-5-162</t>
  </si>
  <si>
    <t>FV-4-6580</t>
  </si>
  <si>
    <t>FV-4-6671</t>
  </si>
  <si>
    <t>FV-5-205</t>
  </si>
  <si>
    <r>
      <t xml:space="preserve">Hemmebarsch GMBH &amp; Co KG , factura # 6624 </t>
    </r>
    <r>
      <rPr>
        <b/>
        <sz val="11"/>
        <color rgb="FF0000CC"/>
        <rFont val="Calibri"/>
        <family val="2"/>
        <scheme val="minor"/>
      </rPr>
      <t>Febrero</t>
    </r>
  </si>
  <si>
    <r>
      <t xml:space="preserve">Hemmebarsch GMBH &amp; Co KG , factura # 6623 </t>
    </r>
    <r>
      <rPr>
        <b/>
        <sz val="11"/>
        <color rgb="FF0000CC"/>
        <rFont val="Calibri"/>
        <family val="2"/>
        <scheme val="minor"/>
      </rPr>
      <t>Febrero</t>
    </r>
  </si>
  <si>
    <r>
      <t xml:space="preserve">Hemmebarsch GMBH &amp; Co KG , factura # 5-189 </t>
    </r>
    <r>
      <rPr>
        <b/>
        <sz val="11"/>
        <color rgb="FF0000CC"/>
        <rFont val="Calibri"/>
        <family val="2"/>
        <scheme val="minor"/>
      </rPr>
      <t>Febrero</t>
    </r>
  </si>
  <si>
    <r>
      <t xml:space="preserve">Hemmebarsch GMBH &amp; Co KG , factura # 5-190 </t>
    </r>
    <r>
      <rPr>
        <b/>
        <sz val="11"/>
        <color rgb="FF0000CC"/>
        <rFont val="Calibri"/>
        <family val="2"/>
        <scheme val="minor"/>
      </rPr>
      <t>Febrero</t>
    </r>
  </si>
  <si>
    <t>FV-4-6623</t>
  </si>
  <si>
    <t>FV-4-6624</t>
  </si>
  <si>
    <t>FV-5-189</t>
  </si>
  <si>
    <t>FV-5-190</t>
  </si>
  <si>
    <t>Evento previsto proximo viernes</t>
  </si>
  <si>
    <t>Tarjeta alimentación Sandra Jimenez Jaramillo</t>
  </si>
  <si>
    <t>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t>
  </si>
  <si>
    <t>Se monetiza el dinero por debajo de lo facturado, ya que requiere para el pago de las cesantías. adicional la tasa facturada a la fecha no se ha vuelto a llegar a la cifra similar o superior para que se pueda obtener  punto de equilibro o ganancia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t>
  </si>
  <si>
    <t>Tiquete Previsto Mercede Alvarez AECID Bogota -Cali y VSA</t>
  </si>
  <si>
    <t>Examenes Medicos Diego Andrés Montes  - SAIPEM</t>
  </si>
  <si>
    <t>FEWP-6607</t>
  </si>
  <si>
    <t>Deel Facturas #6654-6655-6656-201-6657-6658</t>
  </si>
  <si>
    <t>6645-6647-6648-6650-6651-6652-6653</t>
  </si>
  <si>
    <t>Deel Facturas # 6645-6647-6648-6650-6651-6652-6653</t>
  </si>
  <si>
    <t>Liquidaciones Ana María Camacho Gómez</t>
  </si>
  <si>
    <t>Emisión de tarjetas People Pass reembolso de gastos viaje AECID</t>
  </si>
  <si>
    <t>FPP451614</t>
  </si>
  <si>
    <t>Compra de computador gerente comercial</t>
  </si>
  <si>
    <t>FV-4-6688</t>
  </si>
  <si>
    <t>FV-5-217</t>
  </si>
  <si>
    <t>FV-4-6680</t>
  </si>
  <si>
    <t>FV-5-209</t>
  </si>
  <si>
    <t>FV-4-6681</t>
  </si>
  <si>
    <t>FV-5-210</t>
  </si>
  <si>
    <t>FV-4-6679</t>
  </si>
  <si>
    <t>FV-5-208</t>
  </si>
  <si>
    <t>S15089</t>
  </si>
  <si>
    <t>Compra de Armario Papelero</t>
  </si>
  <si>
    <t>Tiquete Ana Guetierrez</t>
  </si>
  <si>
    <t>FPP452209</t>
  </si>
  <si>
    <t>Tarjeta alimentación Julieth Sofia Bonilla Y servicio de envios adicionales de tarjetas Nataly Peña, Ana Gutierrez y Daniela Hernandez</t>
  </si>
  <si>
    <t>CMC - Pago de Planilla de corrección  Clarke Modet</t>
  </si>
  <si>
    <t>Pago incapacidad Suramericana Lina Guio</t>
  </si>
  <si>
    <t>Pago incapacidad Suramericana Ricardo Arambulo</t>
  </si>
  <si>
    <t xml:space="preserve">People Pass tarjetas de gastos viaje AECID </t>
  </si>
  <si>
    <t>FPP452751</t>
  </si>
  <si>
    <t>Live Systems technology factura # 6466-6567</t>
  </si>
  <si>
    <r>
      <t xml:space="preserve">Hemmebarsch GMBH &amp; Co KG , factura # 6700 </t>
    </r>
    <r>
      <rPr>
        <b/>
        <sz val="11"/>
        <color rgb="FF0000CC"/>
        <rFont val="Calibri"/>
        <family val="2"/>
        <scheme val="minor"/>
      </rPr>
      <t>Marzo</t>
    </r>
  </si>
  <si>
    <r>
      <t xml:space="preserve">Hemmebarsch GMBH &amp; Co KG , factura # 5-224 </t>
    </r>
    <r>
      <rPr>
        <b/>
        <sz val="11"/>
        <color rgb="FF0000CC"/>
        <rFont val="Calibri"/>
        <family val="2"/>
        <scheme val="minor"/>
      </rPr>
      <t>Marzo</t>
    </r>
  </si>
  <si>
    <r>
      <t xml:space="preserve">Hemmebarsch GMBH &amp; Co KG , factura # 6703 </t>
    </r>
    <r>
      <rPr>
        <b/>
        <sz val="11"/>
        <color rgb="FF0000CC"/>
        <rFont val="Calibri"/>
        <family val="2"/>
        <scheme val="minor"/>
      </rPr>
      <t>Marzo</t>
    </r>
  </si>
  <si>
    <t>Nazdar Factura # 6701</t>
  </si>
  <si>
    <t>Nazdar Factura # 5-225</t>
  </si>
  <si>
    <r>
      <t>Hong kong yonyou xinfushe cloud technology co., limited Factura 6702-</t>
    </r>
    <r>
      <rPr>
        <b/>
        <i/>
        <sz val="11"/>
        <color rgb="FF0000CC"/>
        <rFont val="Calibri"/>
        <family val="2"/>
        <scheme val="minor"/>
      </rPr>
      <t xml:space="preserve"> Febrero</t>
    </r>
  </si>
  <si>
    <r>
      <t xml:space="preserve">Hong kong yonyou xinfushe cloud technology co., limited Factura 5-226 </t>
    </r>
    <r>
      <rPr>
        <b/>
        <sz val="11"/>
        <color rgb="FF0000CC"/>
        <rFont val="Calibri"/>
        <family val="2"/>
        <scheme val="minor"/>
      </rPr>
      <t>Febrero</t>
    </r>
  </si>
  <si>
    <t>Poc Pharma Limited Factura # 6706</t>
  </si>
  <si>
    <t>Poc Pharma Limited Factura # 5-230</t>
  </si>
  <si>
    <t>Poc Pharma Limited Factura # 5-231</t>
  </si>
  <si>
    <t>Anticipo Lorena García</t>
  </si>
  <si>
    <t>FV-4-6670</t>
  </si>
  <si>
    <t>FV-5-204</t>
  </si>
  <si>
    <t>FV-4-6682</t>
  </si>
  <si>
    <t>FV-5-211</t>
  </si>
  <si>
    <t>FV-4-6687</t>
  </si>
  <si>
    <t>FV-5-216</t>
  </si>
  <si>
    <t>Minudoc OÜ ( SIFFI) Factura # 6689</t>
  </si>
  <si>
    <t>Minudoc OÜ ( SIFFI) Factura # 5-218</t>
  </si>
  <si>
    <t>Minudoc OÜ ( SIFFI) Factura # 5-219</t>
  </si>
  <si>
    <t>Gilead Scense Colombia Factura # 6715</t>
  </si>
  <si>
    <t>Luis Ernesto Solano-Eduard Forero</t>
  </si>
  <si>
    <t>02-26</t>
  </si>
  <si>
    <t>FV-4-6673</t>
  </si>
  <si>
    <t>FV-5-207</t>
  </si>
  <si>
    <t>FV-4-6706</t>
  </si>
  <si>
    <t>FV-5-230</t>
  </si>
  <si>
    <t>FV-5-231</t>
  </si>
  <si>
    <t>FV-4-6722</t>
  </si>
  <si>
    <t>FV-5-234</t>
  </si>
  <si>
    <t>FV-4-6702</t>
  </si>
  <si>
    <t>FV-5-226</t>
  </si>
  <si>
    <t>Pagos del 23 al 28 enero</t>
  </si>
  <si>
    <t>Inversiones el Bosque factura # 6714</t>
  </si>
  <si>
    <t>TPL Logistics factura # 6713</t>
  </si>
  <si>
    <t>Compassion international factura # 6717</t>
  </si>
  <si>
    <t>Insider factura  # 6722</t>
  </si>
  <si>
    <t>Insider factura  # 216</t>
  </si>
  <si>
    <t>MovistaR Telefonía</t>
  </si>
  <si>
    <t>BEC509497930</t>
  </si>
  <si>
    <t>Compra celular Giovanna Guio</t>
  </si>
  <si>
    <t>Nómina  ACTION AD</t>
  </si>
  <si>
    <t>Nómina  BUBBLE BPM INC</t>
  </si>
  <si>
    <t>Nómina  EDRINGTON</t>
  </si>
  <si>
    <t>Nómina  EPDM</t>
  </si>
  <si>
    <t>Nómina  EUROPORTAGE</t>
  </si>
  <si>
    <t>Nómina  FLEXCO</t>
  </si>
  <si>
    <t>Nómina  GLOBAL EXPANSION</t>
  </si>
  <si>
    <t>Nómina  HEMMERSBACH</t>
  </si>
  <si>
    <t>Nómina  INSIDER</t>
  </si>
  <si>
    <t>Nómina  MKD</t>
  </si>
  <si>
    <t>Nómina  NEO</t>
  </si>
  <si>
    <t>Nómina  NZD</t>
  </si>
  <si>
    <t>Nómina  ONCEHUB</t>
  </si>
  <si>
    <t>Nómina  POC PHARMA</t>
  </si>
  <si>
    <t>Nómina  REMOFIRST</t>
  </si>
  <si>
    <t>Nómina  RIVERMATE</t>
  </si>
  <si>
    <t>Nómina  Root Capital</t>
  </si>
  <si>
    <t>Nómina  SIFFI</t>
  </si>
  <si>
    <t>Nómina  YONYOU</t>
  </si>
  <si>
    <t xml:space="preserve">People Pass </t>
  </si>
  <si>
    <t>Reembolso   Miranda Vergara huyna 15 - Remofirst - INSIGTHFUL</t>
  </si>
  <si>
    <t>Reembolso   Orlando  Mendez davila 06 - Remofirst - TC1 CORPORATION SAC</t>
  </si>
  <si>
    <t>Reembolso    Monica Maria agudelo magalhaes 53 - Remofirst - Remote Medicine, Inc</t>
  </si>
  <si>
    <t>Reembolso   Diana Cristian murillo  alzate  24 - Remofirst - Prometryx, Inc</t>
  </si>
  <si>
    <t>Reembolso   Lisset Cristina franco mejía 24 - Remofirst - Prometryx, Inc</t>
  </si>
  <si>
    <t>Reembolso   Cindy Lorena Nomesque  Medina  25 - Remofirst - ISLAMIC RELIEF</t>
  </si>
  <si>
    <t>Reembolso   Emma Soraya Rojas Navarrete 25 - Remofirst - ISLAMIC RELIEF</t>
  </si>
  <si>
    <t>Reembolso   Karen Sofía Farfán Barrero 13 - Remofirst - ONE FIREFLY, LLC</t>
  </si>
  <si>
    <t>Reembolso   Christian Nicanor Poveda Ruiz 02 - Remofirst - FERROUS</t>
  </si>
  <si>
    <t>Reembolso   Sandra Lucia Barrios Angulo 38 - Remofirst - Quantic Vision, S.A</t>
  </si>
  <si>
    <t>Reembolso   Mary Eleanor Klerlein  56 - Remofirst - Spitfire Strategies LLC</t>
  </si>
  <si>
    <t>Liquidación</t>
  </si>
  <si>
    <t>2026-002</t>
  </si>
  <si>
    <t>ACT&amp;J Consultores S&amp;P febrero 2026</t>
  </si>
  <si>
    <t>FE 402</t>
  </si>
  <si>
    <t>ACT&amp;J Consultores Global CS Colombia febrero 2026</t>
  </si>
  <si>
    <t>FV-4-6701</t>
  </si>
  <si>
    <t>FV-5-225</t>
  </si>
  <si>
    <t>Minudoc OÜ - Siffi</t>
  </si>
  <si>
    <t>FV-4-6689</t>
  </si>
  <si>
    <t>FV-5-218</t>
  </si>
  <si>
    <t>FV-5-219</t>
  </si>
  <si>
    <t>FV-4-6686</t>
  </si>
  <si>
    <t>FV-5-215</t>
  </si>
  <si>
    <t>Liquidaciones Maria Carolina Ruzi Villamil-Insider</t>
  </si>
  <si>
    <t>58 registros</t>
  </si>
  <si>
    <t xml:space="preserve">FPP453936 </t>
  </si>
  <si>
    <t>Banco Panamá S&amp;P USD 02/03/2026</t>
  </si>
  <si>
    <t>Envio de docuemento a Yadira en Panamá para apertura de cuenta bancaria</t>
  </si>
  <si>
    <t>Liquidaciones Susana Cano Alvarez Remofirst</t>
  </si>
  <si>
    <t>Liquidaciones Juan Jose Cano Solorzano Remofirst</t>
  </si>
  <si>
    <t>Liquidaciones Jesus Yanes Espitia Remofirst</t>
  </si>
  <si>
    <t>Liquidaciones Diana Marcela Santa Cruz Ordoñez Remofirst</t>
  </si>
  <si>
    <t>Bonificación Sara Cardona Rios</t>
  </si>
  <si>
    <t>580831430799</t>
  </si>
  <si>
    <t>FENI-11856</t>
  </si>
  <si>
    <t>FEWP-6700</t>
  </si>
  <si>
    <t>FEV-1-96</t>
  </si>
  <si>
    <t>CLOA105248909</t>
  </si>
  <si>
    <t xml:space="preserve">Préstamo Alfonso Fonseca </t>
  </si>
  <si>
    <t>Monica Londoño Factura 6719</t>
  </si>
  <si>
    <t>HL Gestiones factura # 6718</t>
  </si>
  <si>
    <t>Pago Devolución saldo a favor suramericana</t>
  </si>
  <si>
    <t>Corporación punto azul factura # 6503-6528</t>
  </si>
  <si>
    <r>
      <t xml:space="preserve">Edrington  Factura </t>
    </r>
    <r>
      <rPr>
        <b/>
        <sz val="11"/>
        <rFont val="Calibri"/>
        <family val="2"/>
        <scheme val="minor"/>
      </rPr>
      <t xml:space="preserve"># </t>
    </r>
    <r>
      <rPr>
        <sz val="11"/>
        <rFont val="Calibri"/>
        <family val="2"/>
        <scheme val="minor"/>
      </rPr>
      <t>6671</t>
    </r>
  </si>
  <si>
    <r>
      <t xml:space="preserve">Remofirst Factura # 5-162 </t>
    </r>
    <r>
      <rPr>
        <b/>
        <sz val="11"/>
        <rFont val="Calibri"/>
        <family val="2"/>
        <scheme val="minor"/>
      </rPr>
      <t>Diciembre</t>
    </r>
  </si>
  <si>
    <r>
      <t xml:space="preserve">Remofirst Factura # 6580- </t>
    </r>
    <r>
      <rPr>
        <b/>
        <sz val="11"/>
        <rFont val="Calibri"/>
        <family val="2"/>
        <scheme val="minor"/>
      </rPr>
      <t>Diciembre</t>
    </r>
  </si>
  <si>
    <t>Caja menor</t>
  </si>
  <si>
    <t>192</t>
  </si>
  <si>
    <t>Seguridad social -Planilla tipo N - Enero</t>
  </si>
  <si>
    <t xml:space="preserve">Reembolso gastos Eduard Forero  viernes 27 de febrero </t>
  </si>
  <si>
    <t>Ingreso</t>
  </si>
  <si>
    <t>Gastos</t>
  </si>
  <si>
    <t>EACB108</t>
  </si>
  <si>
    <t>CBP Consultoria - Servicio de mercadeo oautal digital febrero 2026</t>
  </si>
  <si>
    <t>Pago Devolución pago tiquete Aereo Ana Guitierrez</t>
  </si>
  <si>
    <t>Devolucion de dinero de Global Peo Services Panamá para el envio del pago SIPE Enero</t>
  </si>
  <si>
    <t>Reembolso Eduardo Andrés Santos Contreras - Yon Yuo</t>
  </si>
  <si>
    <t>Reembolso Sandra de los Rios comisón 24-25  febrero Guajira  - AECID</t>
  </si>
  <si>
    <r>
      <t>Claro Office 365-</t>
    </r>
    <r>
      <rPr>
        <b/>
        <i/>
        <sz val="11"/>
        <color rgb="FFFF0000"/>
        <rFont val="Calibri"/>
        <family val="2"/>
        <scheme val="minor"/>
      </rPr>
      <t>Febrero</t>
    </r>
  </si>
  <si>
    <r>
      <t>Claro-Telefonia -</t>
    </r>
    <r>
      <rPr>
        <b/>
        <i/>
        <sz val="11"/>
        <color rgb="FFFF0000"/>
        <rFont val="Calibri"/>
        <family val="2"/>
        <scheme val="minor"/>
      </rPr>
      <t>Febrero</t>
    </r>
  </si>
  <si>
    <t>003 -292490364</t>
  </si>
  <si>
    <t>EACB199</t>
  </si>
  <si>
    <t>CBP Consultoria - Servicio de mercadeo oautal digital enero 2026</t>
  </si>
  <si>
    <t>BUK colombia SAS-Suscripión Enero</t>
  </si>
  <si>
    <t>FENI-11655</t>
  </si>
  <si>
    <t>BPA 6893</t>
  </si>
  <si>
    <t>BBVA 05/03/2026</t>
  </si>
  <si>
    <t>Bancolombia  05/03/2026</t>
  </si>
  <si>
    <t>BAC Costa Rica  ₡ 05/03/2026</t>
  </si>
  <si>
    <t>BAC Costa Rica  USD 05/03/2026</t>
  </si>
  <si>
    <t>Banco Bibankg Guatemala QTZ 05/03/2026</t>
  </si>
  <si>
    <t>Banco Bibankg Guatemala USD 05/03/2026</t>
  </si>
  <si>
    <t>BCP Perú Soles 05/03/2026</t>
  </si>
  <si>
    <t>BCP Perú USD 05/03/2026</t>
  </si>
  <si>
    <t>BBVA Perú Soles 05/03/2026</t>
  </si>
  <si>
    <t>BBVA Perú USD 05/03/2026</t>
  </si>
  <si>
    <t>Bancolombia ACT&amp;J COPS 05/03/2026</t>
  </si>
  <si>
    <t>Banco Aliado Panamá USD 05/03/2026</t>
  </si>
  <si>
    <t>Envio Western  fondos a Yadira pago SIPE enero Global Peo Services Panama 1-Préstamo</t>
  </si>
  <si>
    <t>Envio Western  fondos a Yadira pago SIPE enero Global Peo Services Panama 2-Préstamo</t>
  </si>
  <si>
    <t>Envio Western  fondos a Yadira pago SIPE enero Global Peo Services Panama 3-Préstamo</t>
  </si>
  <si>
    <t>MARZO</t>
  </si>
  <si>
    <t>IVA 1er Bimestre</t>
  </si>
  <si>
    <t xml:space="preserve"> SD0117523829</t>
  </si>
  <si>
    <t>Examenes Previsto - SAIPEM</t>
  </si>
  <si>
    <t xml:space="preserve">Renovacion cámara de comercio </t>
  </si>
  <si>
    <t>Claro-Telefonia</t>
  </si>
  <si>
    <t>Nómina S&amp;P</t>
  </si>
  <si>
    <t>Devolucion de dinero de Peo global services</t>
  </si>
  <si>
    <t>Anticipo nómina Nazdar y Action</t>
  </si>
  <si>
    <t>FV-4-6684</t>
  </si>
  <si>
    <t>FV-5-213</t>
  </si>
  <si>
    <t>FV-4-6685</t>
  </si>
  <si>
    <t>FV-5-214</t>
  </si>
  <si>
    <r>
      <t xml:space="preserve">Hemmebarsch GMBH &amp; Co KG , factura # 6684 </t>
    </r>
    <r>
      <rPr>
        <b/>
        <sz val="11"/>
        <color rgb="FF0000CC"/>
        <rFont val="Calibri"/>
        <family val="2"/>
        <scheme val="minor"/>
      </rPr>
      <t>Marzo</t>
    </r>
  </si>
  <si>
    <r>
      <t xml:space="preserve">Hemmebarsch GMBH &amp; Co KG , factura # 6685 </t>
    </r>
    <r>
      <rPr>
        <b/>
        <sz val="11"/>
        <color rgb="FF0000CC"/>
        <rFont val="Calibri"/>
        <family val="2"/>
        <scheme val="minor"/>
      </rPr>
      <t>Marzo</t>
    </r>
  </si>
  <si>
    <r>
      <t xml:space="preserve">Hemmebarsch GMBH &amp; Co KG , factura # 2-13 </t>
    </r>
    <r>
      <rPr>
        <b/>
        <sz val="11"/>
        <color rgb="FF0000CC"/>
        <rFont val="Calibri"/>
        <family val="2"/>
        <scheme val="minor"/>
      </rPr>
      <t>Marzo</t>
    </r>
  </si>
  <si>
    <r>
      <t xml:space="preserve">Hemmebarsch GMBH &amp; Co KG , factura # 2-14 </t>
    </r>
    <r>
      <rPr>
        <b/>
        <sz val="11"/>
        <color rgb="FF0000CC"/>
        <rFont val="Calibri"/>
        <family val="2"/>
        <scheme val="minor"/>
      </rPr>
      <t>Marzo</t>
    </r>
  </si>
  <si>
    <t>Facturas por monetizar Safeguard</t>
  </si>
  <si>
    <t>EOR</t>
  </si>
  <si>
    <t>AECID Factura # 6720</t>
  </si>
  <si>
    <t>AECID Factura # 5-233</t>
  </si>
  <si>
    <t>Clarke Modet factura # 6704</t>
  </si>
  <si>
    <t>Consorcio HL-Gisaico #  6668-6669</t>
  </si>
  <si>
    <t>Monica Londoño Factura 6573</t>
  </si>
  <si>
    <t>Corporación punto azul factura # 6601</t>
  </si>
  <si>
    <t>Global CS Colombia SAS -factura # 6696-5-235</t>
  </si>
  <si>
    <t>HL Gestiones factura # 6395-6572</t>
  </si>
  <si>
    <t>HL Ingenieros factura # 6441-6531</t>
  </si>
  <si>
    <t>Live Systems technology factura # 6626</t>
  </si>
  <si>
    <t xml:space="preserve">Punto medical </t>
  </si>
  <si>
    <t>Ortho Clinical Diagnostics # 6705</t>
  </si>
  <si>
    <t xml:space="preserve">Rejimetal </t>
  </si>
  <si>
    <t>AECID</t>
  </si>
  <si>
    <t>Petrobras colombia Factura # 6697</t>
  </si>
  <si>
    <t>Petrobras baspetro Factura # 6660</t>
  </si>
  <si>
    <t>FORECAST MAYO 2026</t>
  </si>
  <si>
    <t>PAGOS DEL 1 AL 24 MAYO</t>
  </si>
  <si>
    <t>Iva 2do bimestre</t>
  </si>
  <si>
    <t>Renta  anual</t>
  </si>
  <si>
    <t>PAGOS DEL 25 AL 31 MAYO</t>
  </si>
  <si>
    <t>Certificado camara de comercio S&amp;P</t>
  </si>
  <si>
    <t>PX45217</t>
  </si>
  <si>
    <t>Servidores ( hosting) y/ o computación en la nuble cloud Febrero</t>
  </si>
  <si>
    <t>Servidores ( hosting) y/ o computación en la nuble cloud Enero</t>
  </si>
  <si>
    <t>Solutions &amp; Payroll Panamá</t>
  </si>
  <si>
    <t>Reembolso people pass Sandra Rios comisón 24-25  feb Guajira  - AECID ( Hospedaje)</t>
  </si>
  <si>
    <t>FPP457805</t>
  </si>
  <si>
    <t>Safeguard World Inter Ltd</t>
  </si>
  <si>
    <t>FV-4-6246</t>
  </si>
  <si>
    <t>FV-4-6248</t>
  </si>
  <si>
    <t>FV-4-6312</t>
  </si>
  <si>
    <t>FV-4-6620</t>
  </si>
  <si>
    <t>FV-4-6622</t>
  </si>
  <si>
    <t>FV-4-6707</t>
  </si>
  <si>
    <t>FV-4-6575</t>
  </si>
  <si>
    <t>FV-4-6576</t>
  </si>
  <si>
    <t>FV-4-6577</t>
  </si>
  <si>
    <t>FV-4-6658</t>
  </si>
  <si>
    <t>FV-4-6646-6649</t>
  </si>
  <si>
    <t>Deel factura # 6658</t>
  </si>
  <si>
    <t>Deel facturas # 6646-6649</t>
  </si>
  <si>
    <t>Trm 9/3/2026</t>
  </si>
  <si>
    <t>Anticipo alba suarez- Impresiones petrobra</t>
  </si>
  <si>
    <t>702386580</t>
  </si>
  <si>
    <t>FEV 3379</t>
  </si>
  <si>
    <t>THT Talent Systems -Venta de pruebas online plan 220 Detal informes</t>
  </si>
  <si>
    <t>FE -77</t>
  </si>
  <si>
    <t>Ibrand Marketing SAS-Servicios agencia II</t>
  </si>
  <si>
    <t>Funeravet Factura # 6699</t>
  </si>
  <si>
    <t>EMPR63655</t>
  </si>
  <si>
    <t>Compensar bienestar a la carta Enero 2026</t>
  </si>
  <si>
    <t>FEWP-6722</t>
  </si>
  <si>
    <t>WORKPLACE SOLUTIONS GROUP SAS (SPACIO) Alquiler sala de juntas</t>
  </si>
  <si>
    <t>20833429964</t>
  </si>
  <si>
    <t xml:space="preserve"> 208333411030</t>
  </si>
  <si>
    <t xml:space="preserve">ACT&amp;J Consultores Factura 6695-6792-6598 ( abono) </t>
  </si>
  <si>
    <t>FEWP-6726</t>
  </si>
  <si>
    <t>FV-4-6403</t>
  </si>
  <si>
    <t>FV-4-6505</t>
  </si>
  <si>
    <t>FV-5-85</t>
  </si>
  <si>
    <t>FV-5-123</t>
  </si>
  <si>
    <t>FV-5-158</t>
  </si>
  <si>
    <t>FV-5-198</t>
  </si>
  <si>
    <t>FV-5-243</t>
  </si>
  <si>
    <t>Insider factura  # 5-243</t>
  </si>
  <si>
    <t xml:space="preserve">yon you </t>
  </si>
  <si>
    <t>Poc Pharma</t>
  </si>
  <si>
    <t xml:space="preserve">Forward negociado 13 de marzo </t>
  </si>
  <si>
    <t>Tiquete Cristhian Guapacha Root capital -Bogota pitalito y vsa</t>
  </si>
  <si>
    <t>Tiquetes Capachero Hotel y tiquete Bogota Monteria y VSA Saipem</t>
  </si>
  <si>
    <t xml:space="preserve">Reembolso Mercedes Alvarez comisón 10 al 13  feb Pasto Nariño - AECID </t>
  </si>
  <si>
    <t>Consorcio Gisaico facturas # 6668-6669</t>
  </si>
  <si>
    <t>Global Projects service AG facturas # FV-4-6403-FV-4-6505-FV-5-85-FV-5-123-FV-5-158-FV-5-198</t>
  </si>
  <si>
    <t>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t>
  </si>
  <si>
    <t>PX45392</t>
  </si>
  <si>
    <t>Consorcio SK - HL 6615 - 6659</t>
  </si>
  <si>
    <r>
      <t xml:space="preserve">Edrington  Factura </t>
    </r>
    <r>
      <rPr>
        <b/>
        <sz val="11"/>
        <rFont val="Calibri"/>
        <family val="2"/>
        <scheme val="minor"/>
      </rPr>
      <t xml:space="preserve"># </t>
    </r>
    <r>
      <rPr>
        <sz val="11"/>
        <rFont val="Calibri"/>
        <family val="2"/>
        <scheme val="minor"/>
      </rPr>
      <t>6774</t>
    </r>
  </si>
  <si>
    <t>Edrington  Factura # 5-249</t>
  </si>
  <si>
    <t>Hong kong yonyou xinfushe cloud technology co., limited Factura 6673</t>
  </si>
  <si>
    <t>Hong kong yonyou xinfushe cloud technology co., limited Factura 5-273</t>
  </si>
  <si>
    <t>Flexco Factura # 6766</t>
  </si>
  <si>
    <t>Flexco Factura # 5-239</t>
  </si>
  <si>
    <t>Minudoc OÜ ( SIFFI) Factura # 6777</t>
  </si>
  <si>
    <t>Minudoc OÜ ( SIFFI) Factura # 5-252</t>
  </si>
  <si>
    <t>MKD Factura # 6765</t>
  </si>
  <si>
    <t>MKD Factura # 5-238</t>
  </si>
  <si>
    <t>Neo Factura # 6769</t>
  </si>
  <si>
    <t>Neo Factura # FV-5-244</t>
  </si>
  <si>
    <t>Poc Pharma Limited Factura # 6776</t>
  </si>
  <si>
    <t>Poc Pharma Limited Factura # 5-251</t>
  </si>
  <si>
    <t>Remofirst Factura # 6763</t>
  </si>
  <si>
    <t>Remofirst Factura # 5-236</t>
  </si>
  <si>
    <t>Remofirst Factura # 6764</t>
  </si>
  <si>
    <t>Remofirst Factura # 5-237</t>
  </si>
  <si>
    <t>Rivermate Factura # 6768</t>
  </si>
  <si>
    <t>Rivermate Factura # 5-241</t>
  </si>
  <si>
    <t>Root capital factura # 6775</t>
  </si>
  <si>
    <t>Root capital  # FV-5-250</t>
  </si>
  <si>
    <t>FV-5-255</t>
  </si>
  <si>
    <t>Action Factura # 6783</t>
  </si>
  <si>
    <t>Action Factura #5-255</t>
  </si>
  <si>
    <t>Reembolso  Alejandra  Carrillo Cambas C1029 - Insider</t>
  </si>
  <si>
    <t>Reembolso  Carlos Andres Salamanca Buitrago C1029 - Insider</t>
  </si>
  <si>
    <t>Reembolso  Edgar Felipe Chaves Rodriguez C1029 - Insider</t>
  </si>
  <si>
    <t>Reembolso  Jenifer Paola Galindo Villegas C1029 - Insider</t>
  </si>
  <si>
    <t>Reembolso  Pablo Roberto Pinzon Cabrera C1029 - Insider</t>
  </si>
  <si>
    <t>Reembolso  Silvia  Pardo Sanchez C1029 - Insider</t>
  </si>
  <si>
    <t>Cuenta de la hermana Yadira</t>
  </si>
  <si>
    <t>Cuenta del esposo</t>
  </si>
  <si>
    <t>Western yadira</t>
  </si>
  <si>
    <t>Western esposo yadira</t>
  </si>
  <si>
    <t>Western hermana Yadira</t>
  </si>
  <si>
    <t>Banco</t>
  </si>
  <si>
    <t xml:space="preserve">Usuario Alfonso </t>
  </si>
  <si>
    <t xml:space="preserve">Mensajeria </t>
  </si>
  <si>
    <t>FEWP-6740</t>
  </si>
  <si>
    <t>WORKPLACE SOLUTIONS GROUP SAS (SPACIO) Alquiler sala de juntas 10 Personas</t>
  </si>
  <si>
    <t>Europortage Factura # 6788</t>
  </si>
  <si>
    <t>Europortage Factura # 5-260</t>
  </si>
  <si>
    <t>Oncehub Factura # 6786</t>
  </si>
  <si>
    <t>Oncehub Factura # 5-257</t>
  </si>
  <si>
    <t>FV-4-6775</t>
  </si>
  <si>
    <t>FV-5-250</t>
  </si>
  <si>
    <t>FV-4-6765</t>
  </si>
  <si>
    <t>FV-5-238</t>
  </si>
  <si>
    <t>FV-4-6767</t>
  </si>
  <si>
    <t>FV-5-240</t>
  </si>
  <si>
    <t>1 Registro</t>
  </si>
  <si>
    <t>Anticipo nómina Viviana Martinez</t>
  </si>
  <si>
    <t>Reembolso eduard forero por pago de la TC</t>
  </si>
  <si>
    <t>003 -292523658</t>
  </si>
  <si>
    <t>David Alejandro Aguilar Suarez - Custodia de computadores</t>
  </si>
  <si>
    <t>Equus Global Expansion, LLC Factura # 6801</t>
  </si>
  <si>
    <t>Equus Global Expansion, LLC Factura # 5-267</t>
  </si>
  <si>
    <t>FV-4-6774</t>
  </si>
  <si>
    <t>FV-5-249</t>
  </si>
  <si>
    <t>FV-4-6766</t>
  </si>
  <si>
    <t>FV-5-239</t>
  </si>
  <si>
    <t>FV-4-6786</t>
  </si>
  <si>
    <t>FV-5-257</t>
  </si>
  <si>
    <t>Pagos del 23 al 31 marzo</t>
  </si>
  <si>
    <t>Pago Advancio 6644</t>
  </si>
  <si>
    <t>Hl Infraestructura factura # 6515 - 6544</t>
  </si>
  <si>
    <t>Ecohl facturas 6509 a 6511-6552-6553</t>
  </si>
  <si>
    <t>FV-4-6763</t>
  </si>
  <si>
    <t>FV-5-236</t>
  </si>
  <si>
    <t>FV-4-6764</t>
  </si>
  <si>
    <t>FV-5-237</t>
  </si>
  <si>
    <t xml:space="preserve">Solutions &amp; Payroll SAS </t>
  </si>
  <si>
    <t>Giros Western Union</t>
  </si>
  <si>
    <t>FV-4-6801</t>
  </si>
  <si>
    <t>FV-5-267</t>
  </si>
  <si>
    <t>FV-4-6769</t>
  </si>
  <si>
    <t>FV-5-244</t>
  </si>
  <si>
    <t>FV-4-6325</t>
  </si>
  <si>
    <t>FEWP-6744</t>
  </si>
  <si>
    <t>BEC515175284</t>
  </si>
  <si>
    <t>Soluciones ambientales punto azul Factura #  6662</t>
  </si>
  <si>
    <t>TPL Logistics factura # 6796</t>
  </si>
  <si>
    <t>Compassion international factura # 6799</t>
  </si>
  <si>
    <t>Inversiones el Bosque factura # 6797</t>
  </si>
  <si>
    <t>Rivermate Factura # 5-270</t>
  </si>
  <si>
    <t>6728-6729-6730-6731-6732-6733-6734-6735-6736</t>
  </si>
  <si>
    <t>6737-6738-6739-6740-6741</t>
  </si>
  <si>
    <t>Global Upside LLC</t>
  </si>
  <si>
    <t>FERA 2716</t>
  </si>
  <si>
    <t>Refri break - Almuerzo Líderes reunion 26 de marzo</t>
  </si>
  <si>
    <t>Nazdar Factura # 6767</t>
  </si>
  <si>
    <t>Nazdar Factura # 5-240</t>
  </si>
  <si>
    <t>FV-4-6788</t>
  </si>
  <si>
    <t>FV-5-260</t>
  </si>
  <si>
    <t>FV-4-6700</t>
  </si>
  <si>
    <t>FV-5-224</t>
  </si>
  <si>
    <t>FV-4-6771</t>
  </si>
  <si>
    <t>FV-5-246</t>
  </si>
  <si>
    <r>
      <t xml:space="preserve">Hemmebarsch GMBH &amp; Co KG , factura # 6771 </t>
    </r>
    <r>
      <rPr>
        <b/>
        <sz val="11"/>
        <color rgb="FF0000CC"/>
        <rFont val="Calibri"/>
        <family val="2"/>
        <scheme val="minor"/>
      </rPr>
      <t>Marzo</t>
    </r>
  </si>
  <si>
    <r>
      <t xml:space="preserve">Hemmebarsch GMBH &amp; Co KG , factura # 5-246 </t>
    </r>
    <r>
      <rPr>
        <b/>
        <sz val="11"/>
        <color rgb="FF0000CC"/>
        <rFont val="Calibri"/>
        <family val="2"/>
        <scheme val="minor"/>
      </rPr>
      <t>Marzo</t>
    </r>
  </si>
  <si>
    <t>C1059 - SIFFI</t>
  </si>
  <si>
    <t>FV-5-271</t>
  </si>
  <si>
    <t>FV-4-6810</t>
  </si>
  <si>
    <t>Insider factura  # 6810</t>
  </si>
  <si>
    <t>Insider factura  # 2-271</t>
  </si>
  <si>
    <t>FV-4-6776</t>
  </si>
  <si>
    <t>FV-5-251</t>
  </si>
  <si>
    <t>FV-4-6773</t>
  </si>
  <si>
    <t>FV-5-248</t>
  </si>
  <si>
    <t>2026-003</t>
  </si>
  <si>
    <t>Edgar Arambulo Rojas- Cuenta Ricardo Arambulo -Incapcidades</t>
  </si>
  <si>
    <t>Reembolso de gastos Julieth bonilla por transferencia de fondos a panamá Western union</t>
  </si>
  <si>
    <t>FPP464606</t>
  </si>
  <si>
    <t>Reembolso Paula Alejandra Moreno Navarro   - Yon Yuo</t>
  </si>
  <si>
    <t>Reembolso Sonia Rocio Quintanilla Quintero Moreno Navarro   - Yon Yuo</t>
  </si>
  <si>
    <t>Reembolso Eduardo Andres Santos Contreras - Yon Yuo</t>
  </si>
  <si>
    <t>SD01 17795173</t>
  </si>
  <si>
    <t>Reembolso  agudelo durango yessela - 660 - Remofirst - Insigthful</t>
  </si>
  <si>
    <t>Reembolso  agudelo magalhaes monica maria - 3787 - Remofirst - Remote Medicine, Inc</t>
  </si>
  <si>
    <t>Reembolso  ashook castro luz angela - 629 - Remofirst - Brit Ai Web Solutions Llc</t>
  </si>
  <si>
    <t>Reembolso  barreto ruiz jonathan javier - 5888 - Remofirst - Islamic Relief</t>
  </si>
  <si>
    <t>Reembolso  bonil romero sara - 5888 - Remofirst - Islamic Relief</t>
  </si>
  <si>
    <t>Reembolso  coyer  nicolas hugues - 3436 - Remofirst - Coop Edgar</t>
  </si>
  <si>
    <t>Reembolso  franco mejía lisset cristina - 225 - Remofirst - Prometryx, Inc</t>
  </si>
  <si>
    <t>Reembolso  klerlein  mary eleanor - 606 - Remofirst - Spitfire Strategies Llc</t>
  </si>
  <si>
    <t>Reembolso  pabon aranguren maria alejandra - 5888 - Remofirst - Islamic Relief</t>
  </si>
  <si>
    <t>Reembolso  rojas navarrete emma soraya - 5888 - Remofirst - Islamic Relief</t>
  </si>
  <si>
    <t>Reembolso  saldaña martinez liliana maria - 5888 - Remofirst - Islamic Relief</t>
  </si>
  <si>
    <t>Reembolso  varela velasquez guillermo de jesus - 225 - Remofirst - Prometryx, Inc</t>
  </si>
  <si>
    <t>FEV-1-97</t>
  </si>
  <si>
    <t>Banco Aliado Panamá USD 30/03/2026</t>
  </si>
  <si>
    <t>Gilead Scense Colombia Factura # 6802</t>
  </si>
  <si>
    <t>193</t>
  </si>
  <si>
    <t>Pago vaciones en dinero German Hincapie</t>
  </si>
  <si>
    <t>Gomez Rodriguez &amp; Associados Revisoria fiscal- Febrero</t>
  </si>
  <si>
    <t>Gomez Rodriguez &amp; Asociados Revisoria fiscal- Enero</t>
  </si>
  <si>
    <t>FE 40</t>
  </si>
  <si>
    <t>Gomez Rodriguez &amp; Associados Revisoria fiscal- Marzo</t>
  </si>
  <si>
    <t>FV-4-6811</t>
  </si>
  <si>
    <t>FV-5-252</t>
  </si>
  <si>
    <t>FV-5-258</t>
  </si>
  <si>
    <t>FE 417</t>
  </si>
  <si>
    <t>FE 418</t>
  </si>
  <si>
    <t>BEV24903802</t>
  </si>
  <si>
    <t>Movistar Office 365- Linea nueva de SG</t>
  </si>
  <si>
    <t>Edgardo Rafael Obredor Borja</t>
  </si>
  <si>
    <r>
      <t xml:space="preserve">TC Bancolombia Pesos </t>
    </r>
    <r>
      <rPr>
        <b/>
        <sz val="11"/>
        <color rgb="FFFF0000"/>
        <rFont val="Calibri"/>
        <family val="2"/>
        <scheme val="minor"/>
      </rPr>
      <t>TC 4853</t>
    </r>
  </si>
  <si>
    <r>
      <t xml:space="preserve">TC Bancolombia Dolares </t>
    </r>
    <r>
      <rPr>
        <b/>
        <sz val="11"/>
        <color rgb="FFFF0000"/>
        <rFont val="Calibri"/>
        <family val="2"/>
        <scheme val="minor"/>
      </rPr>
      <t>TC 4853</t>
    </r>
  </si>
  <si>
    <t>FEWP-6810</t>
  </si>
  <si>
    <t>580831444002</t>
  </si>
  <si>
    <t>Liquidación Santiago posada Remofirst</t>
  </si>
  <si>
    <t>Liquidación Laura Gómez Diaz -S&amp;P</t>
  </si>
  <si>
    <t xml:space="preserve">ReLiquidación José Luis Sepulveda Forero-Neo </t>
  </si>
  <si>
    <t>Liquidación Luis Fernando Coronado- S&amp;P</t>
  </si>
  <si>
    <t>Liquidación Stiven Smith Narvaez Ortiz- S&amp;P</t>
  </si>
  <si>
    <t>Liquidación Juan Pablo Chaves Parra-Remofrist</t>
  </si>
  <si>
    <t>Liquidación Edgar Felipe Chaves Rodriguez</t>
  </si>
  <si>
    <t>Evoluzion talent abono a la factura 6742</t>
  </si>
  <si>
    <t>Por identificar</t>
  </si>
  <si>
    <t>Reembolso Mercedes Alvarez Comisión 16 al 19 de marzo 2026 - AECID</t>
  </si>
  <si>
    <t>CLOA105256994</t>
  </si>
  <si>
    <t xml:space="preserve">Ibrand Marketing SAS-Servicios agencia mes de abril </t>
  </si>
  <si>
    <t>014F18743905</t>
  </si>
  <si>
    <t>Seguros mundial -Póliza cumplimiento  100016141 Anexo 3. Certificado 130090786</t>
  </si>
  <si>
    <t>Reembolso Mercedes Alvarez Comisión 19 al 21 de febrero 2026-Toribio Cauca - AECID</t>
  </si>
  <si>
    <t>BBVA 07/04/2026</t>
  </si>
  <si>
    <t>Bancolombia  07/04/2026</t>
  </si>
  <si>
    <t>Banco Panamá S&amp;P USD 07/04/2026</t>
  </si>
  <si>
    <t>BAC Costa Rica  ₡ 07/04/2026</t>
  </si>
  <si>
    <t>BAC Costa Rica  USD 07/04/2026</t>
  </si>
  <si>
    <t>Banco Bibankg Guatemala QTZ 07/04/2026</t>
  </si>
  <si>
    <t>Banco Bibankg Guatemala USD 07/04/2026</t>
  </si>
  <si>
    <t>BCP Perú Soles 07/04/2026</t>
  </si>
  <si>
    <t>BCP Perú USD 07/04/2026</t>
  </si>
  <si>
    <t>BBVA Perú Soles 07/04/2026</t>
  </si>
  <si>
    <t>BBVA Perú USD 07/04/2026</t>
  </si>
  <si>
    <t>Bancolombia ACT&amp;J COPS 07/04/2026</t>
  </si>
  <si>
    <t>Petrobras baspetro Factura # 6746</t>
  </si>
  <si>
    <t>Bubble do Brasil</t>
  </si>
  <si>
    <t>FV-4-6815</t>
  </si>
  <si>
    <t>FV-5-273</t>
  </si>
  <si>
    <t>Insider factura  # 5-258</t>
  </si>
  <si>
    <t>Anticipo de dinero Yecid Martin</t>
  </si>
  <si>
    <t>Menos devolución de Panamá para enviarle dinero a Yadira para el pago de SIPE Marzo</t>
  </si>
  <si>
    <t>Bubble BPM Factura # X-XXX</t>
  </si>
  <si>
    <t>Action Factura # X-XXX</t>
  </si>
  <si>
    <r>
      <t xml:space="preserve">Edrington  Factura </t>
    </r>
    <r>
      <rPr>
        <b/>
        <sz val="11"/>
        <rFont val="Calibri"/>
        <family val="2"/>
        <scheme val="minor"/>
      </rPr>
      <t xml:space="preserve"># </t>
    </r>
    <r>
      <rPr>
        <sz val="11"/>
        <rFont val="Calibri"/>
        <family val="2"/>
        <scheme val="minor"/>
      </rPr>
      <t>XXXX</t>
    </r>
  </si>
  <si>
    <t>Edrington  Factura # X-XXX</t>
  </si>
  <si>
    <t>EPDM Factura # XXXX</t>
  </si>
  <si>
    <t>EPDM Factura # X-XXX</t>
  </si>
  <si>
    <t>Equus Global Expansion, LLC Factura # XXXX</t>
  </si>
  <si>
    <t>Equus Global Expansion, LLC Factura # X-XXX</t>
  </si>
  <si>
    <t>Europortage Factura # XXXX</t>
  </si>
  <si>
    <t>Europortage Factura # X-XXX</t>
  </si>
  <si>
    <t>Hong kong yonyou xinfushe cloud technology co., limited Factura XXXX</t>
  </si>
  <si>
    <t>Hong kong yonyou xinfushe cloud technology co., limited Factura 5-XXX</t>
  </si>
  <si>
    <t>Flexco Factura # XXXX</t>
  </si>
  <si>
    <t>Flexco Factura # 5-XXX</t>
  </si>
  <si>
    <t>Insider factura  # 5-XXX</t>
  </si>
  <si>
    <t>Insider factura  # XXXX</t>
  </si>
  <si>
    <t>Insider factura  # 2-XXX</t>
  </si>
  <si>
    <t>Minudoc OÜ ( SIFFI) Factura # XXXX</t>
  </si>
  <si>
    <t>MKD Factura # XXXX</t>
  </si>
  <si>
    <t>MKD Factura # 5-XXX</t>
  </si>
  <si>
    <t>Nazdar Factura # XXXX</t>
  </si>
  <si>
    <t>Nazdar Factura # 5-XXX</t>
  </si>
  <si>
    <t>Neo Factura # XXXX</t>
  </si>
  <si>
    <t>Neo Factura # FV-5-XXX</t>
  </si>
  <si>
    <t>Oncehub Factura # XXXX</t>
  </si>
  <si>
    <t>Oncehub Factura # 5-XXX</t>
  </si>
  <si>
    <t>Poc Pharma Limited Factura # XXXX</t>
  </si>
  <si>
    <t>Poc Pharma Limited Factura # 5-XXX</t>
  </si>
  <si>
    <t>Remofirst Factura # XXXX</t>
  </si>
  <si>
    <t>Remofirst Factura # 5-XXX</t>
  </si>
  <si>
    <t>Rivermate Factura # XXXX</t>
  </si>
  <si>
    <t>Rivermate Factura # 5-XXX</t>
  </si>
  <si>
    <t>Root capital factura # XXXX</t>
  </si>
  <si>
    <t>Root capital  # FV-5-XXX</t>
  </si>
  <si>
    <r>
      <t xml:space="preserve">Action Factura # </t>
    </r>
    <r>
      <rPr>
        <sz val="11"/>
        <color theme="1"/>
        <rFont val="Calibri"/>
        <family val="2"/>
        <scheme val="minor"/>
      </rPr>
      <t>XXXX</t>
    </r>
  </si>
  <si>
    <t>Bubble BPM Factura # XXXX</t>
  </si>
  <si>
    <t>ABRIL</t>
  </si>
  <si>
    <t>Reembolso previsto remofirst</t>
  </si>
  <si>
    <t>Reembolso previsto Yon You</t>
  </si>
  <si>
    <t>CBP Consultoria - Servicio de mercadeo pautal digital Marzo 2026</t>
  </si>
  <si>
    <t>FEV-1-98</t>
  </si>
  <si>
    <t>2026-004</t>
  </si>
  <si>
    <t>Gomez Rodriguez &amp; Associados Revisoria fiscal- Abril</t>
  </si>
  <si>
    <t>FE 42</t>
  </si>
  <si>
    <t>ACT&amp;J Consultores S&amp;P Abril 2026</t>
  </si>
  <si>
    <t>ACT&amp;J Consultores Global CS Colombia Abril 2026</t>
  </si>
  <si>
    <t>Nómina EOR</t>
  </si>
  <si>
    <t>Nómina Insider</t>
  </si>
  <si>
    <t>Devolucion de dinero a Panamá</t>
  </si>
  <si>
    <t>Desayuno Networking AmCham Colombia-Dayana Mejia 15 abril</t>
  </si>
  <si>
    <t>Otros imprevistos</t>
  </si>
  <si>
    <t xml:space="preserve">Reembolso previsto </t>
  </si>
  <si>
    <t>Tiquete Root capital -Previsto</t>
  </si>
  <si>
    <t>Tiquete Saipem -Previsto</t>
  </si>
  <si>
    <t>AECID Factura # 6789</t>
  </si>
  <si>
    <t>AECID Factura # 5-262</t>
  </si>
  <si>
    <t>Clarke Modet factura # 6790</t>
  </si>
  <si>
    <t>Compassion international factura # XXXX</t>
  </si>
  <si>
    <t>Corporación punto azul factura # 6661</t>
  </si>
  <si>
    <t>Gilead Scense Colombia Factura # XXXX</t>
  </si>
  <si>
    <t>Global CS Colombia SAS -factura # 6778-5-272</t>
  </si>
  <si>
    <t>Global Projects service AG facturas factura 6597-6663-6694-6758-221-256</t>
  </si>
  <si>
    <t>Ortho Clinical Diagnostics # 6794</t>
  </si>
  <si>
    <t>Petrobras colombia Factura # 6752</t>
  </si>
  <si>
    <t>Sinerware Facturas 6629-6716-6798</t>
  </si>
  <si>
    <t>Consorcio HL-Gisaico #  6785</t>
  </si>
  <si>
    <t>Consorcio SK - HL 6745</t>
  </si>
  <si>
    <t>Ecohl facturas 6690-6691-6692-6723-6724-6780-6781-6782</t>
  </si>
  <si>
    <t>HL Ingenieros factura # 6678-6757</t>
  </si>
  <si>
    <t>Hl Infraestructura factura # 6507-6512-6513-6514-6519</t>
  </si>
  <si>
    <r>
      <t xml:space="preserve">Deel  Facturas  # 6728-6729-6730-6731-6732-6733-6734-6735-6736 </t>
    </r>
    <r>
      <rPr>
        <b/>
        <i/>
        <sz val="11"/>
        <color rgb="FF0000CC"/>
        <rFont val="Calibri"/>
        <family val="2"/>
        <scheme val="minor"/>
      </rPr>
      <t>( Por monetizar)</t>
    </r>
  </si>
  <si>
    <r>
      <t xml:space="preserve">Deel  Facturas  # 6737-6738-6739-6740-6741 </t>
    </r>
    <r>
      <rPr>
        <b/>
        <i/>
        <sz val="11"/>
        <color rgb="FF0000CC"/>
        <rFont val="Calibri"/>
        <family val="2"/>
        <scheme val="minor"/>
      </rPr>
      <t>( Por monetizar)</t>
    </r>
  </si>
  <si>
    <r>
      <t>Deel  Facturas  # 6325</t>
    </r>
    <r>
      <rPr>
        <b/>
        <i/>
        <sz val="11"/>
        <color rgb="FF0000CC"/>
        <rFont val="Calibri"/>
        <family val="2"/>
        <scheme val="minor"/>
      </rPr>
      <t xml:space="preserve"> ( Por monetizar)</t>
    </r>
  </si>
  <si>
    <t>Solutions ingreso dinero de Panamá</t>
  </si>
  <si>
    <t>Global Upside Factura #  6750</t>
  </si>
  <si>
    <t>Safeguard World Inter Ltd Factura # 6575 a 6577</t>
  </si>
  <si>
    <t>Bubble BPM Factura # 6815</t>
  </si>
  <si>
    <t>Bubble BPM Factura # 5-273</t>
  </si>
  <si>
    <t>Liquidaciones prevista</t>
  </si>
  <si>
    <t>TC Endrington</t>
  </si>
  <si>
    <t>Rte FTE</t>
  </si>
  <si>
    <t>Gastos y costos Periodo 01 al 26 abril</t>
  </si>
  <si>
    <t>Facturas por monetizar Deel</t>
  </si>
  <si>
    <t>ACT&amp;J Consultores Factura 6598</t>
  </si>
  <si>
    <t>21341642</t>
  </si>
  <si>
    <t>FORECAST JUNIO 2026</t>
  </si>
  <si>
    <t>Safeguard Back office 360</t>
  </si>
  <si>
    <t xml:space="preserve">Compra de computadores </t>
  </si>
  <si>
    <t>Plurum 20% escuela de liderazgo-Pruebas PDA</t>
  </si>
  <si>
    <t>Bubble Do Brasil</t>
  </si>
  <si>
    <t>BBVA 08/04/2026</t>
  </si>
  <si>
    <t>Bancolombia  08/04/2026</t>
  </si>
  <si>
    <t>Banco Panamá S&amp;P USD 08/04/2026</t>
  </si>
  <si>
    <t>BAC Costa Rica  ₡ 08/04/2026</t>
  </si>
  <si>
    <t>BAC Costa Rica  USD 08/04/2026</t>
  </si>
  <si>
    <t>Banco Bibankg Guatemala QTZ 08/04/2026</t>
  </si>
  <si>
    <t>Banco Bibankg Guatemala USD 08/04/2026</t>
  </si>
  <si>
    <t>BCP Perú Soles 08/04/2026</t>
  </si>
  <si>
    <t>BCP Perú USD 08/04/2026</t>
  </si>
  <si>
    <t>BBVA Perú Soles 08/04/2026</t>
  </si>
  <si>
    <t>BBVA Perú USD 08/04/2026</t>
  </si>
  <si>
    <t>Bancolombia ACT&amp;J COPS 08/04/2026</t>
  </si>
  <si>
    <t>People Pass Dotación S&amp;P</t>
  </si>
  <si>
    <t>People Pass Dotación EOR</t>
  </si>
  <si>
    <t>Pagos del 01 al 26 abril</t>
  </si>
  <si>
    <t>20833458887</t>
  </si>
  <si>
    <t>PAGOS DEL 1 AL 25 Junio</t>
  </si>
  <si>
    <t>PAGOS DEL 26 AL 30 JUNIO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</si>
</sst>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 #,##0.00_-;\-&quot;$&quot;\ * #,##0.00_-;_-&quot;$&quot;\ *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
    <numFmt numFmtId="169" formatCode=";\:;;"/>
    <numFmt numFmtId="170" formatCode="[$$-240A]\ #,##0"/>
    <numFmt numFmtId="171" formatCode="0.0%"/>
    <numFmt numFmtId="172" formatCode="[$USD]\ #,##0.00"/>
    <numFmt numFmtId="173" formatCode="_(&quot;$&quot;* #,##0_);_(&quot;$&quot;* \(#,##0\);_(&quot;$&quot;* &quot;-&quot;??_);_(@_)"/>
    <numFmt numFmtId="174" formatCode="_(&quot;$&quot;* #,##0.00_);_(&quot;$&quot;* \(#,##0.00\);_(&quot;$&quot;* &quot;-&quot;_);_(@_)"/>
    <numFmt numFmtId="175" formatCode="[$-F800]dddd\,\ mmmm\ dd\,\ yyyy"/>
    <numFmt numFmtId="176" formatCode="[$USD]\ #,##0.00000"/>
    <numFmt numFmtId="177" formatCode="[$S/-280A]\ #,##0.00"/>
    <numFmt numFmtId="178" formatCode="_-&quot;$&quot;\ * #,##0_-;\-&quot;$&quot;\ * #,##0_-;_-&quot;$&quot;\ * &quot;-&quot;??_-;_-@_-"/>
    <numFmt numFmtId="179" formatCode="_-* #,##0_-;\-* #,##0_-;_-* &quot;-&quot;??_-;_-@"/>
    <numFmt numFmtId="180" formatCode="[$EUR]\ #,##0.00"/>
    <numFmt numFmtId="181" formatCode="0.0000%"/>
    <numFmt numFmtId="182" formatCode="_-&quot;$&quot;\ * #,##0_-;\-&quot;$&quot;\ * #,##0_-;_-&quot;$&quot;\ * &quot;-&quot;????_-;_-@_-"/>
  </numFmts>
  <fonts count="225">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8"/>
      <name val="Arial"/>
      <family val="2"/>
    </font>
    <font>
      <sz val="9"/>
      <color indexed="81"/>
      <name val="Tahoma"/>
      <family val="2"/>
    </font>
    <font>
      <b/>
      <sz val="9"/>
      <color indexed="81"/>
      <name val="Tahoma"/>
      <family val="2"/>
    </font>
    <font>
      <sz val="11"/>
      <color rgb="FF000000"/>
      <name val="Calibri"/>
      <family val="2"/>
    </font>
    <font>
      <sz val="11"/>
      <color rgb="FF000000"/>
      <name val="Calibri"/>
      <family val="2"/>
    </font>
    <font>
      <sz val="11"/>
      <color rgb="FF000000"/>
      <name val="Calibri"/>
      <family val="2"/>
    </font>
    <font>
      <b/>
      <sz val="11"/>
      <name val="Calibri"/>
      <family val="2"/>
    </font>
    <font>
      <sz val="11"/>
      <color rgb="FF000000"/>
      <name val="Calibri"/>
      <family val="2"/>
    </font>
    <font>
      <sz val="11"/>
      <color theme="0"/>
      <name val="Calibri"/>
      <family val="2"/>
      <scheme val="minor"/>
    </font>
    <font>
      <sz val="11"/>
      <color theme="0"/>
      <name val="Frutiger-Light"/>
    </font>
    <font>
      <sz val="12"/>
      <color theme="0"/>
      <name val="Frutiger-Bold"/>
    </font>
    <font>
      <sz val="12"/>
      <color theme="0"/>
      <name val="Calibri"/>
      <family val="2"/>
      <scheme val="minor"/>
    </font>
    <font>
      <sz val="11"/>
      <name val="Calibri"/>
      <family val="2"/>
      <scheme val="minor"/>
    </font>
    <font>
      <b/>
      <sz val="12"/>
      <name val="Calibri"/>
      <family val="2"/>
      <scheme val="minor"/>
    </font>
    <font>
      <b/>
      <sz val="11"/>
      <name val="Calibri"/>
      <family val="2"/>
      <scheme val="minor"/>
    </font>
    <font>
      <b/>
      <sz val="12"/>
      <color theme="1"/>
      <name val="Calibri"/>
      <family val="2"/>
      <scheme val="minor"/>
    </font>
    <font>
      <sz val="12"/>
      <color rgb="FF00B050"/>
      <name val="Calibri"/>
      <family val="2"/>
      <scheme val="minor"/>
    </font>
    <font>
      <b/>
      <sz val="12"/>
      <color theme="0"/>
      <name val="Calibri"/>
      <family val="2"/>
      <scheme val="minor"/>
    </font>
    <font>
      <b/>
      <sz val="11"/>
      <color rgb="FF0000CC"/>
      <name val="Calibri"/>
      <family val="2"/>
      <scheme val="minor"/>
    </font>
    <font>
      <sz val="12"/>
      <color rgb="FF0033CC"/>
      <name val="Calibri"/>
      <family val="2"/>
      <scheme val="minor"/>
    </font>
    <font>
      <sz val="11"/>
      <color rgb="FF0000CC"/>
      <name val="Calibri"/>
      <family val="2"/>
      <scheme val="minor"/>
    </font>
    <font>
      <sz val="11"/>
      <color rgb="FFFF0000"/>
      <name val="Calibri"/>
      <family val="2"/>
      <scheme val="minor"/>
    </font>
    <font>
      <sz val="11"/>
      <color rgb="FF000000"/>
      <name val="Calibri"/>
      <family val="2"/>
    </font>
    <font>
      <b/>
      <sz val="11"/>
      <color theme="1"/>
      <name val="Calibri"/>
      <family val="2"/>
      <scheme val="minor"/>
    </font>
    <font>
      <b/>
      <sz val="11"/>
      <color rgb="FF0000CC"/>
      <name val="Calibri"/>
      <family val="2"/>
    </font>
    <font>
      <b/>
      <sz val="12"/>
      <color rgb="FF0000CC"/>
      <name val="Calibri"/>
      <family val="2"/>
      <scheme val="minor"/>
    </font>
    <font>
      <b/>
      <sz val="11"/>
      <color rgb="FFFF0000"/>
      <name val="Calibri"/>
      <family val="2"/>
      <scheme val="minor"/>
    </font>
    <font>
      <sz val="11"/>
      <color rgb="FFCC0000"/>
      <name val="Calibri"/>
      <family val="2"/>
      <scheme val="minor"/>
    </font>
    <font>
      <b/>
      <sz val="11"/>
      <color rgb="FF000000"/>
      <name val="Calibri"/>
      <family val="2"/>
    </font>
    <font>
      <sz val="12"/>
      <color rgb="FF000000"/>
      <name val="Calibri"/>
      <family val="2"/>
    </font>
    <font>
      <b/>
      <sz val="12"/>
      <color rgb="FF000000"/>
      <name val="Calibri"/>
      <family val="2"/>
    </font>
    <font>
      <sz val="11"/>
      <color rgb="FF000000"/>
      <name val="Calibri"/>
      <family val="2"/>
    </font>
    <font>
      <sz val="12"/>
      <name val="Calibri"/>
      <family val="2"/>
    </font>
    <font>
      <b/>
      <i/>
      <sz val="11"/>
      <color rgb="FFFF0000"/>
      <name val="Calibri"/>
      <family val="2"/>
      <scheme val="minor"/>
    </font>
    <font>
      <b/>
      <sz val="11"/>
      <color rgb="FF3333FF"/>
      <name val="Calibri"/>
      <family val="2"/>
      <scheme val="minor"/>
    </font>
    <font>
      <b/>
      <sz val="11"/>
      <color rgb="FF3333FF"/>
      <name val="Calibri"/>
      <family val="2"/>
    </font>
    <font>
      <b/>
      <sz val="11"/>
      <color rgb="FF00B050"/>
      <name val="Calibri"/>
      <family val="2"/>
    </font>
    <font>
      <sz val="11"/>
      <color rgb="FF000000"/>
      <name val="Calibri"/>
      <family val="2"/>
      <scheme val="minor"/>
    </font>
    <font>
      <sz val="10"/>
      <color rgb="FF000000"/>
      <name val="Arial"/>
      <family val="2"/>
    </font>
    <font>
      <b/>
      <i/>
      <sz val="11"/>
      <color rgb="FF3333FF"/>
      <name val="Calibri"/>
      <family val="2"/>
      <scheme val="minor"/>
    </font>
    <font>
      <b/>
      <sz val="12"/>
      <color rgb="FF3333FF"/>
      <name val="Calibri"/>
      <family val="2"/>
    </font>
    <font>
      <b/>
      <sz val="12"/>
      <color rgb="FFCC0000"/>
      <name val="Calibri"/>
      <family val="2"/>
      <scheme val="minor"/>
    </font>
    <font>
      <sz val="11"/>
      <color rgb="FFFF0000"/>
      <name val="Calibri"/>
      <family val="2"/>
    </font>
    <font>
      <b/>
      <sz val="12"/>
      <color rgb="FF3333FF"/>
      <name val="Calibri"/>
      <family val="2"/>
      <scheme val="minor"/>
    </font>
    <font>
      <b/>
      <i/>
      <sz val="11"/>
      <color rgb="FF0000CC"/>
      <name val="Calibri"/>
      <family val="2"/>
      <scheme val="minor"/>
    </font>
    <font>
      <b/>
      <sz val="11"/>
      <color rgb="FFCC0000"/>
      <name val="Calibri"/>
      <family val="2"/>
    </font>
    <font>
      <u/>
      <sz val="11"/>
      <color theme="1"/>
      <name val="Calibri"/>
      <family val="2"/>
      <scheme val="minor"/>
    </font>
    <font>
      <sz val="11"/>
      <color theme="1"/>
      <name val="Calibri"/>
      <family val="2"/>
    </font>
    <font>
      <b/>
      <sz val="12"/>
      <color rgb="FF00B050"/>
      <name val="Calibri"/>
      <family val="2"/>
    </font>
    <font>
      <b/>
      <sz val="12"/>
      <color rgb="FF0000CC"/>
      <name val="Calibri"/>
      <family val="2"/>
    </font>
    <font>
      <b/>
      <sz val="11"/>
      <color rgb="FF008000"/>
      <name val="Calibri"/>
      <family val="2"/>
      <scheme val="minor"/>
    </font>
    <font>
      <sz val="11"/>
      <color rgb="FF92D050"/>
      <name val="Calibri"/>
      <family val="2"/>
      <scheme val="minor"/>
    </font>
    <font>
      <b/>
      <sz val="11"/>
      <color rgb="FFFF0000"/>
      <name val="Calibri"/>
      <family val="2"/>
    </font>
    <font>
      <b/>
      <i/>
      <sz val="11"/>
      <color rgb="FF3333FF"/>
      <name val="Calibri"/>
      <family val="2"/>
    </font>
    <font>
      <b/>
      <i/>
      <sz val="11"/>
      <color rgb="FFFF0000"/>
      <name val="Calibri"/>
      <family val="2"/>
    </font>
    <font>
      <b/>
      <sz val="9"/>
      <color theme="1"/>
      <name val="Calibri"/>
      <family val="2"/>
      <scheme val="minor"/>
    </font>
    <font>
      <b/>
      <i/>
      <sz val="9"/>
      <color rgb="FF3333FF"/>
      <name val="Calibri"/>
      <family val="2"/>
      <scheme val="minor"/>
    </font>
    <font>
      <b/>
      <i/>
      <sz val="9"/>
      <color rgb="FF00B050"/>
      <name val="Calibri"/>
      <family val="2"/>
      <scheme val="minor"/>
    </font>
    <font>
      <sz val="11"/>
      <color rgb="FF3333FF"/>
      <name val="Calibri"/>
      <family val="2"/>
    </font>
    <font>
      <i/>
      <sz val="11"/>
      <color theme="1"/>
      <name val="Calibri"/>
      <family val="2"/>
      <scheme val="minor"/>
    </font>
    <font>
      <b/>
      <i/>
      <sz val="12"/>
      <color rgb="FF3333FF"/>
      <name val="Calibri"/>
      <family val="2"/>
    </font>
    <font>
      <sz val="11"/>
      <color rgb="FF00B050"/>
      <name val="Calibri"/>
      <family val="2"/>
      <scheme val="minor"/>
    </font>
    <font>
      <sz val="8"/>
      <name val="Calibri"/>
      <family val="2"/>
    </font>
    <font>
      <i/>
      <sz val="11"/>
      <name val="Calibri"/>
      <family val="2"/>
      <scheme val="minor"/>
    </font>
    <font>
      <b/>
      <sz val="11"/>
      <color rgb="FF6405AB"/>
      <name val="Calibri"/>
      <family val="2"/>
    </font>
    <font>
      <b/>
      <i/>
      <u/>
      <sz val="11"/>
      <color rgb="FF0000CC"/>
      <name val="Calibri"/>
      <family val="2"/>
      <scheme val="minor"/>
    </font>
    <font>
      <b/>
      <i/>
      <sz val="10"/>
      <color rgb="FF0000CC"/>
      <name val="Calibri"/>
      <family val="2"/>
    </font>
    <font>
      <sz val="9"/>
      <color theme="1"/>
      <name val="Calibri"/>
      <family val="2"/>
      <scheme val="minor"/>
    </font>
    <font>
      <sz val="11"/>
      <color rgb="FF000000"/>
      <name val="Calibri"/>
      <family val="2"/>
    </font>
    <font>
      <b/>
      <i/>
      <sz val="11"/>
      <color theme="1"/>
      <name val="Calibri"/>
      <family val="2"/>
      <scheme val="minor"/>
    </font>
  </fonts>
  <fills count="29">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00CC"/>
        <bgColor indexed="64"/>
      </patternFill>
    </fill>
    <fill>
      <patternFill patternType="solid">
        <fgColor indexed="31"/>
        <bgColor indexed="64"/>
      </patternFill>
    </fill>
    <fill>
      <patternFill patternType="solid">
        <fgColor theme="9"/>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rgb="FF99FF99"/>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EE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66FFCC"/>
        <bgColor indexed="64"/>
      </patternFill>
    </fill>
    <fill>
      <patternFill patternType="solid">
        <fgColor theme="5" tint="0.59999389629810485"/>
        <bgColor indexed="64"/>
      </patternFill>
    </fill>
    <fill>
      <patternFill patternType="solid">
        <fgColor rgb="FFCC66FF"/>
        <bgColor indexed="64"/>
      </patternFill>
    </fill>
    <fill>
      <patternFill patternType="solid">
        <fgColor theme="3" tint="0.79998168889431442"/>
        <bgColor indexed="64"/>
      </patternFill>
    </fill>
  </fills>
  <borders count="59">
    <border>
      <left/>
      <right/>
      <top/>
      <bottom/>
      <diagonal/>
    </border>
    <border>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theme="0"/>
      </left>
      <right style="thin">
        <color theme="0"/>
      </right>
      <top style="thin">
        <color theme="0"/>
      </top>
      <bottom style="thin">
        <color theme="0"/>
      </bottom>
      <diagonal/>
    </border>
    <border>
      <left/>
      <right/>
      <top/>
      <bottom style="medium">
        <color auto="1"/>
      </bottom>
      <diagonal/>
    </border>
    <border>
      <left/>
      <right/>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style="dashed">
        <color auto="1"/>
      </top>
      <bottom style="dashed">
        <color auto="1"/>
      </bottom>
      <diagonal/>
    </border>
    <border>
      <left/>
      <right/>
      <top style="medium">
        <color auto="1"/>
      </top>
      <bottom/>
      <diagonal/>
    </border>
    <border>
      <left style="medium">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auto="1"/>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dashed">
        <color auto="1"/>
      </bottom>
      <diagonal/>
    </border>
    <border>
      <left style="medium">
        <color indexed="64"/>
      </left>
      <right style="thin">
        <color indexed="64"/>
      </right>
      <top style="dashed">
        <color indexed="64"/>
      </top>
      <bottom/>
      <diagonal/>
    </border>
    <border>
      <left style="thin">
        <color auto="1"/>
      </left>
      <right style="thin">
        <color auto="1"/>
      </right>
      <top style="dashed">
        <color auto="1"/>
      </top>
      <bottom/>
      <diagonal/>
    </border>
    <border>
      <left style="thin">
        <color indexed="64"/>
      </left>
      <right style="medium">
        <color indexed="64"/>
      </right>
      <top style="dashed">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auto="1"/>
      </left>
      <right/>
      <top/>
      <bottom style="medium">
        <color auto="1"/>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bottom style="medium">
        <color indexed="64"/>
      </bottom>
      <diagonal/>
    </border>
    <border>
      <left style="medium">
        <color auto="1"/>
      </left>
      <right style="thin">
        <color auto="1"/>
      </right>
      <top style="dashed">
        <color auto="1"/>
      </top>
      <bottom style="medium">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medium">
        <color indexed="64"/>
      </right>
      <top style="medium">
        <color indexed="64"/>
      </top>
      <bottom/>
      <diagonal/>
    </border>
    <border>
      <left style="thin">
        <color auto="1"/>
      </left>
      <right style="medium">
        <color auto="1"/>
      </right>
      <top style="medium">
        <color auto="1"/>
      </top>
      <bottom style="medium">
        <color auto="1"/>
      </bottom>
      <diagonal/>
    </border>
    <border>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top style="medium">
        <color indexed="9"/>
      </top>
      <bottom style="thin">
        <color indexed="9"/>
      </bottom>
      <diagonal/>
    </border>
    <border>
      <left style="thin">
        <color indexed="9"/>
      </left>
      <right/>
      <top style="medium">
        <color indexed="9"/>
      </top>
      <bottom style="thin">
        <color indexed="9"/>
      </bottom>
      <diagonal/>
    </border>
    <border>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medium">
        <color auto="1"/>
      </left>
      <right/>
      <top style="medium">
        <color auto="1"/>
      </top>
      <bottom style="medium">
        <color auto="1"/>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dashed">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auto="1"/>
      </right>
      <top style="medium">
        <color auto="1"/>
      </top>
      <bottom style="dashed">
        <color auto="1"/>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right style="thin">
        <color auto="1"/>
      </right>
      <top style="dashed">
        <color auto="1"/>
      </top>
      <bottom style="dashed">
        <color auto="1"/>
      </bottom>
      <diagonal/>
    </border>
    <border>
      <left style="medium">
        <color indexed="64"/>
      </left>
      <right style="thin">
        <color indexed="64"/>
      </right>
      <top style="medium">
        <color indexed="64"/>
      </top>
      <bottom style="dashed">
        <color indexed="64"/>
      </bottom>
      <diagonal/>
    </border>
  </borders>
  <cellStyleXfs count="58">
    <xf numFmtId="0" fontId="0" fillId="0" borderId="0"/>
    <xf numFmtId="0" fontId="153" fillId="0" borderId="1"/>
    <xf numFmtId="167" fontId="153" fillId="0" borderId="1" applyFont="0" applyFill="0" applyBorder="0" applyAlignment="0" applyProtection="0"/>
    <xf numFmtId="164" fontId="159" fillId="0" borderId="0" applyFont="0" applyFill="0" applyBorder="0" applyAlignment="0" applyProtection="0"/>
    <xf numFmtId="9" fontId="160" fillId="0" borderId="0" applyFont="0" applyFill="0" applyBorder="0" applyAlignment="0" applyProtection="0"/>
    <xf numFmtId="0" fontId="162" fillId="0" borderId="1"/>
    <xf numFmtId="9" fontId="158" fillId="0" borderId="1" applyFont="0" applyFill="0" applyBorder="0" applyAlignment="0" applyProtection="0"/>
    <xf numFmtId="0" fontId="152" fillId="0" borderId="1"/>
    <xf numFmtId="164" fontId="158" fillId="0" borderId="1" applyFont="0" applyFill="0" applyBorder="0" applyAlignment="0" applyProtection="0"/>
    <xf numFmtId="0" fontId="155" fillId="0" borderId="1">
      <alignment vertical="center"/>
    </xf>
    <xf numFmtId="0" fontId="177" fillId="0" borderId="1"/>
    <xf numFmtId="165" fontId="158" fillId="0" borderId="1" applyFont="0" applyFill="0" applyBorder="0" applyAlignment="0" applyProtection="0"/>
    <xf numFmtId="0" fontId="151" fillId="0" borderId="1"/>
    <xf numFmtId="167" fontId="151" fillId="0" borderId="1" applyFont="0" applyFill="0" applyBorder="0" applyAlignment="0" applyProtection="0"/>
    <xf numFmtId="164" fontId="158" fillId="0" borderId="1" applyFont="0" applyFill="0" applyBorder="0" applyAlignment="0" applyProtection="0"/>
    <xf numFmtId="0" fontId="158" fillId="0" borderId="1"/>
    <xf numFmtId="0" fontId="177" fillId="0" borderId="1"/>
    <xf numFmtId="0" fontId="151" fillId="0" borderId="1"/>
    <xf numFmtId="164" fontId="158" fillId="0" borderId="1" applyFont="0" applyFill="0" applyBorder="0" applyAlignment="0" applyProtection="0"/>
    <xf numFmtId="0" fontId="177" fillId="0" borderId="1"/>
    <xf numFmtId="0" fontId="177" fillId="0" borderId="1"/>
    <xf numFmtId="0" fontId="177" fillId="0" borderId="1"/>
    <xf numFmtId="0" fontId="177" fillId="0" borderId="1"/>
    <xf numFmtId="0" fontId="177" fillId="0" borderId="1"/>
    <xf numFmtId="165" fontId="158" fillId="0" borderId="1" applyFont="0" applyFill="0" applyBorder="0" applyAlignment="0" applyProtection="0"/>
    <xf numFmtId="0" fontId="150" fillId="0" borderId="1"/>
    <xf numFmtId="167" fontId="150" fillId="0" borderId="1" applyFont="0" applyFill="0" applyBorder="0" applyAlignment="0" applyProtection="0"/>
    <xf numFmtId="164" fontId="158" fillId="0" borderId="1" applyFont="0" applyFill="0" applyBorder="0" applyAlignment="0" applyProtection="0"/>
    <xf numFmtId="0" fontId="177" fillId="0" borderId="1"/>
    <xf numFmtId="0" fontId="150" fillId="0" borderId="1"/>
    <xf numFmtId="164" fontId="158" fillId="0" borderId="1" applyFont="0" applyFill="0" applyBorder="0" applyAlignment="0" applyProtection="0"/>
    <xf numFmtId="165" fontId="158" fillId="0" borderId="1" applyFont="0" applyFill="0" applyBorder="0" applyAlignment="0" applyProtection="0"/>
    <xf numFmtId="0" fontId="150" fillId="0" borderId="1"/>
    <xf numFmtId="167" fontId="150" fillId="0" borderId="1" applyFont="0" applyFill="0" applyBorder="0" applyAlignment="0" applyProtection="0"/>
    <xf numFmtId="164" fontId="158" fillId="0" borderId="1" applyFont="0" applyFill="0" applyBorder="0" applyAlignment="0" applyProtection="0"/>
    <xf numFmtId="0" fontId="177" fillId="0" borderId="1"/>
    <xf numFmtId="0" fontId="150" fillId="0" borderId="1"/>
    <xf numFmtId="164" fontId="158" fillId="0" borderId="1" applyFont="0" applyFill="0" applyBorder="0" applyAlignment="0" applyProtection="0"/>
    <xf numFmtId="166" fontId="186" fillId="0" borderId="0" applyFont="0" applyFill="0" applyBorder="0" applyAlignment="0" applyProtection="0"/>
    <xf numFmtId="0" fontId="192" fillId="0" borderId="1"/>
    <xf numFmtId="0" fontId="193" fillId="0" borderId="1"/>
    <xf numFmtId="43" fontId="192" fillId="0" borderId="1" applyFont="0" applyFill="0" applyBorder="0" applyAlignment="0" applyProtection="0"/>
    <xf numFmtId="0" fontId="192" fillId="0" borderId="1"/>
    <xf numFmtId="43" fontId="192" fillId="0" borderId="1" applyFont="0" applyFill="0" applyBorder="0" applyAlignment="0" applyProtection="0"/>
    <xf numFmtId="0" fontId="149" fillId="0" borderId="1"/>
    <xf numFmtId="0" fontId="148" fillId="0" borderId="1"/>
    <xf numFmtId="9" fontId="148" fillId="0" borderId="1" applyFont="0" applyFill="0" applyBorder="0" applyAlignment="0" applyProtection="0"/>
    <xf numFmtId="44" fontId="148" fillId="0" borderId="1" applyFont="0" applyFill="0" applyBorder="0" applyAlignment="0" applyProtection="0"/>
    <xf numFmtId="0" fontId="147" fillId="0" borderId="1"/>
    <xf numFmtId="43" fontId="147" fillId="0" borderId="1" applyFont="0" applyFill="0" applyBorder="0" applyAlignment="0" applyProtection="0"/>
    <xf numFmtId="43" fontId="147" fillId="0" borderId="1" applyFont="0" applyFill="0" applyBorder="0" applyAlignment="0" applyProtection="0"/>
    <xf numFmtId="43" fontId="147" fillId="0" borderId="1" applyFont="0" applyFill="0" applyBorder="0" applyAlignment="0" applyProtection="0"/>
    <xf numFmtId="0" fontId="145" fillId="0" borderId="1"/>
    <xf numFmtId="0" fontId="144" fillId="0" borderId="1"/>
    <xf numFmtId="0" fontId="143" fillId="0" borderId="1"/>
    <xf numFmtId="0" fontId="142" fillId="0" borderId="1"/>
    <xf numFmtId="0" fontId="141" fillId="0" borderId="1"/>
    <xf numFmtId="43" fontId="223" fillId="0" borderId="0" applyFont="0" applyFill="0" applyBorder="0" applyAlignment="0" applyProtection="0"/>
  </cellStyleXfs>
  <cellXfs count="841">
    <xf numFmtId="0" fontId="0" fillId="0" borderId="0" xfId="0"/>
    <xf numFmtId="0" fontId="0" fillId="0" borderId="1" xfId="5" applyFont="1"/>
    <xf numFmtId="9" fontId="0" fillId="0" borderId="1" xfId="6" applyFont="1" applyAlignment="1"/>
    <xf numFmtId="14" fontId="0" fillId="0" borderId="1" xfId="5" applyNumberFormat="1" applyFont="1"/>
    <xf numFmtId="164" fontId="166" fillId="3" borderId="1" xfId="8" applyFont="1" applyFill="1"/>
    <xf numFmtId="3" fontId="166" fillId="2" borderId="1" xfId="9" applyNumberFormat="1" applyFont="1" applyFill="1" applyAlignment="1">
      <alignment vertical="top"/>
    </xf>
    <xf numFmtId="0" fontId="163" fillId="4" borderId="1" xfId="7" applyFont="1" applyFill="1"/>
    <xf numFmtId="14" fontId="167" fillId="0" borderId="1" xfId="9" applyNumberFormat="1" applyFont="1" applyAlignment="1" applyProtection="1">
      <protection locked="0"/>
    </xf>
    <xf numFmtId="164" fontId="167" fillId="0" borderId="1" xfId="8" applyFont="1" applyFill="1" applyBorder="1" applyAlignment="1" applyProtection="1">
      <alignment vertical="top"/>
    </xf>
    <xf numFmtId="0" fontId="167" fillId="0" borderId="1" xfId="9" applyFont="1" applyAlignment="1">
      <alignment horizontal="left" wrapText="1" indent="1"/>
    </xf>
    <xf numFmtId="0" fontId="171" fillId="0" borderId="1" xfId="9" applyFont="1" applyAlignment="1" applyProtection="1">
      <alignment horizontal="center" vertical="center"/>
      <protection locked="0"/>
    </xf>
    <xf numFmtId="0" fontId="169" fillId="0" borderId="1" xfId="9" applyFont="1" applyAlignment="1" applyProtection="1">
      <alignment horizontal="center" wrapText="1"/>
      <protection locked="0"/>
    </xf>
    <xf numFmtId="0" fontId="169" fillId="0" borderId="1" xfId="9" applyFont="1" applyAlignment="1" applyProtection="1">
      <protection locked="0"/>
    </xf>
    <xf numFmtId="0" fontId="169" fillId="0" borderId="1" xfId="9" applyFont="1" applyAlignment="1" applyProtection="1">
      <alignment wrapText="1"/>
      <protection locked="0"/>
    </xf>
    <xf numFmtId="164" fontId="169" fillId="0" borderId="1" xfId="8" applyFont="1" applyFill="1" applyBorder="1" applyAlignment="1" applyProtection="1">
      <alignment vertical="top"/>
    </xf>
    <xf numFmtId="0" fontId="169" fillId="0" borderId="1" xfId="9" applyFont="1" applyAlignment="1">
      <alignment horizontal="left" wrapText="1" indent="1"/>
    </xf>
    <xf numFmtId="0" fontId="167" fillId="0" borderId="1" xfId="9" applyFont="1" applyAlignment="1" applyProtection="1">
      <protection locked="0"/>
    </xf>
    <xf numFmtId="164" fontId="166" fillId="0" borderId="1" xfId="8" applyFont="1" applyFill="1"/>
    <xf numFmtId="164" fontId="166" fillId="7" borderId="1" xfId="8" applyFont="1" applyFill="1"/>
    <xf numFmtId="164" fontId="172" fillId="8" borderId="4" xfId="8" applyFont="1" applyFill="1" applyBorder="1" applyAlignment="1" applyProtection="1">
      <alignment vertical="top"/>
    </xf>
    <xf numFmtId="0" fontId="172" fillId="8" borderId="4" xfId="9" applyFont="1" applyFill="1" applyBorder="1" applyAlignment="1">
      <alignment horizontal="left" vertical="center"/>
    </xf>
    <xf numFmtId="0" fontId="174" fillId="0" borderId="1" xfId="9" applyFont="1" applyAlignment="1" applyProtection="1">
      <alignment horizontal="center" vertical="center"/>
      <protection locked="0"/>
    </xf>
    <xf numFmtId="3" fontId="174" fillId="0" borderId="1" xfId="9" applyNumberFormat="1" applyFont="1" applyAlignment="1" applyProtection="1">
      <alignment horizontal="center" vertical="center"/>
      <protection locked="0"/>
    </xf>
    <xf numFmtId="164" fontId="175" fillId="0" borderId="1" xfId="8" applyFont="1" applyBorder="1" applyAlignment="1">
      <alignment horizontal="center"/>
    </xf>
    <xf numFmtId="0" fontId="167" fillId="0" borderId="1" xfId="9" applyFont="1" applyAlignment="1" applyProtection="1">
      <alignment horizontal="center"/>
      <protection locked="0"/>
    </xf>
    <xf numFmtId="164" fontId="167" fillId="0" borderId="1" xfId="9" applyNumberFormat="1" applyFont="1" applyAlignment="1" applyProtection="1">
      <protection locked="0"/>
    </xf>
    <xf numFmtId="170" fontId="167" fillId="0" borderId="1" xfId="9" applyNumberFormat="1" applyFont="1" applyAlignment="1" applyProtection="1">
      <protection locked="0"/>
    </xf>
    <xf numFmtId="0" fontId="176" fillId="0" borderId="1" xfId="9" applyFont="1" applyAlignment="1" applyProtection="1">
      <protection locked="0"/>
    </xf>
    <xf numFmtId="0" fontId="176" fillId="0" borderId="1" xfId="9" applyFont="1" applyAlignment="1" applyProtection="1">
      <alignment horizontal="center"/>
      <protection locked="0"/>
    </xf>
    <xf numFmtId="169" fontId="167" fillId="0" borderId="1" xfId="6" applyNumberFormat="1" applyFont="1" applyBorder="1" applyAlignment="1" applyProtection="1">
      <protection locked="0"/>
    </xf>
    <xf numFmtId="170" fontId="173" fillId="0" borderId="1" xfId="9" applyNumberFormat="1" applyFont="1" applyAlignment="1" applyProtection="1">
      <protection locked="0"/>
    </xf>
    <xf numFmtId="0" fontId="180" fillId="0" borderId="1" xfId="9" applyFont="1" applyAlignment="1" applyProtection="1">
      <alignment horizontal="center" vertical="center"/>
      <protection locked="0"/>
    </xf>
    <xf numFmtId="164" fontId="180" fillId="0" borderId="1" xfId="9" applyNumberFormat="1" applyFont="1" applyAlignment="1" applyProtection="1">
      <alignment horizontal="center" vertical="center"/>
      <protection locked="0"/>
    </xf>
    <xf numFmtId="164" fontId="169" fillId="0" borderId="1" xfId="9" applyNumberFormat="1" applyFont="1" applyAlignment="1" applyProtection="1">
      <protection locked="0"/>
    </xf>
    <xf numFmtId="164" fontId="182" fillId="0" borderId="1" xfId="8" applyFont="1" applyFill="1" applyBorder="1" applyAlignment="1" applyProtection="1">
      <alignment vertical="top"/>
    </xf>
    <xf numFmtId="168" fontId="167" fillId="0" borderId="1" xfId="9" applyNumberFormat="1" applyFont="1" applyAlignment="1" applyProtection="1">
      <protection locked="0"/>
    </xf>
    <xf numFmtId="0" fontId="181" fillId="0" borderId="1" xfId="9" applyFont="1" applyAlignment="1" applyProtection="1">
      <alignment horizontal="center"/>
      <protection locked="0"/>
    </xf>
    <xf numFmtId="0" fontId="184" fillId="0" borderId="0" xfId="0" applyFont="1"/>
    <xf numFmtId="164" fontId="184" fillId="0" borderId="0" xfId="0" applyNumberFormat="1" applyFont="1"/>
    <xf numFmtId="164" fontId="184" fillId="0" borderId="0" xfId="3" applyFont="1" applyAlignment="1"/>
    <xf numFmtId="0" fontId="183" fillId="0" borderId="1" xfId="5" applyFont="1"/>
    <xf numFmtId="164" fontId="176" fillId="0" borderId="1" xfId="8" applyFont="1" applyFill="1" applyBorder="1" applyAlignment="1" applyProtection="1">
      <alignment vertical="top"/>
    </xf>
    <xf numFmtId="0" fontId="158" fillId="0" borderId="0" xfId="0" applyFont="1"/>
    <xf numFmtId="0" fontId="185" fillId="0" borderId="0" xfId="0" applyFont="1"/>
    <xf numFmtId="164" fontId="185" fillId="0" borderId="0" xfId="0" applyNumberFormat="1" applyFont="1"/>
    <xf numFmtId="164" fontId="0" fillId="0" borderId="0" xfId="0" applyNumberFormat="1"/>
    <xf numFmtId="169" fontId="167" fillId="0" borderId="1" xfId="6" applyNumberFormat="1" applyFont="1" applyFill="1" applyBorder="1" applyAlignment="1" applyProtection="1">
      <protection locked="0"/>
    </xf>
    <xf numFmtId="0" fontId="185" fillId="0" borderId="0" xfId="0" applyFont="1" applyAlignment="1">
      <alignment wrapText="1"/>
    </xf>
    <xf numFmtId="0" fontId="169" fillId="0" borderId="1" xfId="9" applyFont="1" applyAlignment="1" applyProtection="1">
      <alignment horizontal="center"/>
      <protection locked="0"/>
    </xf>
    <xf numFmtId="172" fontId="167" fillId="0" borderId="1" xfId="8" applyNumberFormat="1" applyFont="1" applyFill="1" applyBorder="1" applyAlignment="1" applyProtection="1">
      <alignment vertical="top"/>
    </xf>
    <xf numFmtId="0" fontId="188" fillId="0" borderId="1" xfId="9" applyFont="1" applyAlignment="1" applyProtection="1">
      <protection locked="0"/>
    </xf>
    <xf numFmtId="0" fontId="184" fillId="0" borderId="0" xfId="0" applyFont="1" applyAlignment="1">
      <alignment horizontal="center" vertical="center" wrapText="1"/>
    </xf>
    <xf numFmtId="164" fontId="188" fillId="0" borderId="1" xfId="8" applyFont="1" applyFill="1" applyBorder="1" applyAlignment="1" applyProtection="1">
      <alignment vertical="top"/>
    </xf>
    <xf numFmtId="9" fontId="167" fillId="0" borderId="1" xfId="4" applyFont="1" applyBorder="1" applyAlignment="1" applyProtection="1">
      <protection locked="0"/>
    </xf>
    <xf numFmtId="14" fontId="158" fillId="0" borderId="1" xfId="15" applyNumberFormat="1"/>
    <xf numFmtId="14" fontId="0" fillId="0" borderId="1" xfId="15" applyNumberFormat="1" applyFont="1"/>
    <xf numFmtId="0" fontId="167" fillId="0" borderId="1" xfId="9" applyFont="1" applyAlignment="1" applyProtection="1">
      <alignment horizontal="center" wrapText="1"/>
      <protection locked="0"/>
    </xf>
    <xf numFmtId="164" fontId="154" fillId="0" borderId="0" xfId="0" applyNumberFormat="1" applyFont="1"/>
    <xf numFmtId="0" fontId="194" fillId="0" borderId="1" xfId="9" applyFont="1" applyAlignment="1" applyProtection="1">
      <protection locked="0"/>
    </xf>
    <xf numFmtId="164" fontId="195" fillId="0" borderId="0" xfId="0" applyNumberFormat="1" applyFont="1"/>
    <xf numFmtId="164" fontId="167" fillId="0" borderId="1" xfId="9" applyNumberFormat="1" applyFont="1" applyAlignment="1" applyProtection="1">
      <alignment horizontal="center"/>
      <protection locked="0"/>
    </xf>
    <xf numFmtId="164" fontId="178" fillId="0" borderId="1" xfId="8" applyFont="1" applyFill="1" applyBorder="1"/>
    <xf numFmtId="0" fontId="191" fillId="0" borderId="0" xfId="0" applyFont="1"/>
    <xf numFmtId="164" fontId="191" fillId="0" borderId="0" xfId="0" applyNumberFormat="1" applyFont="1"/>
    <xf numFmtId="173" fontId="0" fillId="0" borderId="0" xfId="38" applyNumberFormat="1" applyFont="1"/>
    <xf numFmtId="0" fontId="158" fillId="0" borderId="1" xfId="0" applyFont="1" applyBorder="1"/>
    <xf numFmtId="164" fontId="185" fillId="0" borderId="1" xfId="3" applyFont="1" applyBorder="1" applyAlignment="1"/>
    <xf numFmtId="164" fontId="0" fillId="0" borderId="1" xfId="0" applyNumberFormat="1" applyBorder="1"/>
    <xf numFmtId="168" fontId="169" fillId="0" borderId="1" xfId="9" applyNumberFormat="1" applyFont="1" applyAlignment="1" applyProtection="1">
      <alignment horizontal="center"/>
      <protection locked="0"/>
    </xf>
    <xf numFmtId="0" fontId="149" fillId="0" borderId="1" xfId="44"/>
    <xf numFmtId="0" fontId="149" fillId="0" borderId="1" xfId="44" applyAlignment="1">
      <alignment horizontal="center"/>
    </xf>
    <xf numFmtId="164" fontId="149" fillId="0" borderId="1" xfId="8" applyFont="1" applyFill="1" applyBorder="1"/>
    <xf numFmtId="168" fontId="173" fillId="0" borderId="1" xfId="6" applyNumberFormat="1" applyFont="1" applyBorder="1" applyAlignment="1" applyProtection="1">
      <alignment horizontal="center" vertical="center"/>
      <protection locked="0"/>
    </xf>
    <xf numFmtId="10" fontId="167" fillId="0" borderId="1" xfId="6" applyNumberFormat="1" applyFont="1" applyFill="1" applyBorder="1" applyAlignment="1" applyProtection="1">
      <protection locked="0"/>
    </xf>
    <xf numFmtId="164" fontId="167" fillId="0" borderId="1" xfId="8" applyFont="1" applyFill="1" applyBorder="1" applyAlignment="1" applyProtection="1">
      <protection locked="0"/>
    </xf>
    <xf numFmtId="0" fontId="166" fillId="7" borderId="1" xfId="15" applyFont="1" applyFill="1"/>
    <xf numFmtId="164" fontId="173" fillId="0" borderId="1" xfId="9" applyNumberFormat="1" applyFont="1" applyAlignment="1" applyProtection="1">
      <alignment horizontal="center"/>
      <protection locked="0"/>
    </xf>
    <xf numFmtId="9" fontId="167" fillId="0" borderId="1" xfId="6" applyFont="1" applyBorder="1" applyAlignment="1" applyProtection="1">
      <protection locked="0"/>
    </xf>
    <xf numFmtId="164" fontId="169" fillId="0" borderId="1" xfId="8" applyFont="1" applyFill="1" applyBorder="1" applyAlignment="1" applyProtection="1">
      <protection locked="0"/>
    </xf>
    <xf numFmtId="0" fontId="166" fillId="0" borderId="1" xfId="15" applyFont="1"/>
    <xf numFmtId="9" fontId="173" fillId="0" borderId="1" xfId="6" applyFont="1" applyBorder="1" applyAlignment="1" applyProtection="1">
      <protection locked="0"/>
    </xf>
    <xf numFmtId="0" fontId="172" fillId="6" borderId="1" xfId="15" applyFont="1" applyFill="1" applyAlignment="1">
      <alignment horizontal="center"/>
    </xf>
    <xf numFmtId="14" fontId="172" fillId="6" borderId="1" xfId="15" applyNumberFormat="1" applyFont="1" applyFill="1" applyAlignment="1">
      <alignment horizontal="center"/>
    </xf>
    <xf numFmtId="9" fontId="167" fillId="0" borderId="1" xfId="6" applyFont="1" applyFill="1" applyBorder="1" applyAlignment="1" applyProtection="1">
      <alignment horizontal="center"/>
      <protection locked="0"/>
    </xf>
    <xf numFmtId="171" fontId="167" fillId="0" borderId="1" xfId="6" applyNumberFormat="1" applyFont="1" applyFill="1" applyBorder="1" applyAlignment="1" applyProtection="1">
      <protection locked="0"/>
    </xf>
    <xf numFmtId="0" fontId="163" fillId="4" borderId="1" xfId="44" applyFont="1" applyFill="1"/>
    <xf numFmtId="0" fontId="165" fillId="3" borderId="1" xfId="15" applyFont="1" applyFill="1"/>
    <xf numFmtId="164" fontId="173" fillId="0" borderId="1" xfId="44" applyNumberFormat="1" applyFont="1"/>
    <xf numFmtId="164" fontId="149" fillId="0" borderId="1" xfId="44" applyNumberFormat="1"/>
    <xf numFmtId="168" fontId="149" fillId="0" borderId="1" xfId="44" applyNumberFormat="1"/>
    <xf numFmtId="168" fontId="149" fillId="0" borderId="1" xfId="44" applyNumberFormat="1" applyAlignment="1">
      <alignment horizontal="center"/>
    </xf>
    <xf numFmtId="10" fontId="164" fillId="3" borderId="1" xfId="15" applyNumberFormat="1" applyFont="1" applyFill="1" applyAlignment="1">
      <alignment horizontal="right"/>
    </xf>
    <xf numFmtId="164" fontId="149" fillId="0" borderId="1" xfId="44" applyNumberFormat="1" applyAlignment="1">
      <alignment horizontal="right"/>
    </xf>
    <xf numFmtId="164" fontId="178" fillId="0" borderId="1" xfId="44" applyNumberFormat="1" applyFont="1"/>
    <xf numFmtId="0" fontId="178" fillId="0" borderId="1" xfId="44" applyFont="1" applyAlignment="1">
      <alignment horizontal="right"/>
    </xf>
    <xf numFmtId="0" fontId="192" fillId="0" borderId="1" xfId="9" applyFont="1" applyAlignment="1">
      <alignment horizontal="left" wrapText="1" indent="1"/>
    </xf>
    <xf numFmtId="14" fontId="154" fillId="0" borderId="1" xfId="9" applyNumberFormat="1" applyFont="1" applyAlignment="1" applyProtection="1">
      <protection locked="0"/>
    </xf>
    <xf numFmtId="0" fontId="189" fillId="0" borderId="1" xfId="9" applyFont="1" applyAlignment="1" applyProtection="1">
      <alignment horizontal="center"/>
      <protection locked="0"/>
    </xf>
    <xf numFmtId="0" fontId="189" fillId="10" borderId="1" xfId="7" applyFont="1" applyFill="1"/>
    <xf numFmtId="164" fontId="176" fillId="0" borderId="1" xfId="9" applyNumberFormat="1" applyFont="1" applyAlignment="1" applyProtection="1">
      <protection locked="0"/>
    </xf>
    <xf numFmtId="9" fontId="167" fillId="0" borderId="1" xfId="4" applyFont="1" applyFill="1" applyBorder="1" applyAlignment="1" applyProtection="1">
      <alignment horizontal="left" vertical="top"/>
    </xf>
    <xf numFmtId="174" fontId="149" fillId="0" borderId="1" xfId="44" applyNumberFormat="1"/>
    <xf numFmtId="4" fontId="161" fillId="0" borderId="1" xfId="15" applyNumberFormat="1" applyFont="1"/>
    <xf numFmtId="0" fontId="178" fillId="0" borderId="1" xfId="44" applyFont="1" applyAlignment="1">
      <alignment horizontal="right" wrapText="1"/>
    </xf>
    <xf numFmtId="9" fontId="173" fillId="0" borderId="1" xfId="4" applyFont="1" applyBorder="1" applyAlignment="1" applyProtection="1">
      <alignment horizontal="center"/>
      <protection locked="0"/>
    </xf>
    <xf numFmtId="168" fontId="167" fillId="0" borderId="1" xfId="9" applyNumberFormat="1" applyFont="1" applyAlignment="1" applyProtection="1">
      <alignment horizontal="center"/>
      <protection locked="0"/>
    </xf>
    <xf numFmtId="164" fontId="185" fillId="0" borderId="0" xfId="0" applyNumberFormat="1" applyFont="1" applyAlignment="1">
      <alignment horizontal="center"/>
    </xf>
    <xf numFmtId="164" fontId="183" fillId="0" borderId="0" xfId="0" applyNumberFormat="1" applyFont="1" applyAlignment="1">
      <alignment horizontal="center"/>
    </xf>
    <xf numFmtId="0" fontId="148" fillId="0" borderId="1" xfId="45"/>
    <xf numFmtId="0" fontId="148" fillId="0" borderId="7" xfId="45" applyBorder="1"/>
    <xf numFmtId="0" fontId="178" fillId="0" borderId="8" xfId="45" applyFont="1" applyBorder="1" applyAlignment="1">
      <alignment horizontal="center"/>
    </xf>
    <xf numFmtId="0" fontId="178" fillId="0" borderId="8" xfId="45" applyFont="1" applyBorder="1" applyAlignment="1">
      <alignment horizontal="center" wrapText="1"/>
    </xf>
    <xf numFmtId="4" fontId="148" fillId="0" borderId="1" xfId="45" applyNumberFormat="1"/>
    <xf numFmtId="0" fontId="183" fillId="0" borderId="0" xfId="0" applyFont="1"/>
    <xf numFmtId="0" fontId="148" fillId="0" borderId="9" xfId="45" applyBorder="1"/>
    <xf numFmtId="172" fontId="178" fillId="0" borderId="9" xfId="45" applyNumberFormat="1" applyFont="1" applyBorder="1"/>
    <xf numFmtId="0" fontId="178" fillId="0" borderId="1" xfId="45" applyFont="1"/>
    <xf numFmtId="0" fontId="178" fillId="0" borderId="1" xfId="45" applyFont="1" applyAlignment="1">
      <alignment horizontal="center"/>
    </xf>
    <xf numFmtId="172" fontId="148" fillId="0" borderId="1" xfId="45" applyNumberFormat="1"/>
    <xf numFmtId="4" fontId="199" fillId="0" borderId="1" xfId="44" applyNumberFormat="1" applyFont="1"/>
    <xf numFmtId="0" fontId="167" fillId="0" borderId="10" xfId="9" applyFont="1" applyBorder="1" applyAlignment="1">
      <alignment wrapText="1"/>
    </xf>
    <xf numFmtId="0" fontId="154" fillId="0" borderId="10" xfId="0" applyFont="1" applyBorder="1" applyAlignment="1">
      <alignment horizontal="left" vertical="center"/>
    </xf>
    <xf numFmtId="0" fontId="178" fillId="0" borderId="0" xfId="0" applyFont="1" applyAlignment="1">
      <alignment horizontal="center"/>
    </xf>
    <xf numFmtId="14" fontId="183" fillId="0" borderId="0" xfId="0" applyNumberFormat="1" applyFont="1"/>
    <xf numFmtId="171" fontId="190" fillId="0" borderId="11" xfId="46" applyNumberFormat="1" applyFont="1" applyFill="1" applyBorder="1" applyAlignment="1">
      <alignment horizontal="center" vertical="center"/>
    </xf>
    <xf numFmtId="0" fontId="148" fillId="0" borderId="12" xfId="45" applyBorder="1"/>
    <xf numFmtId="14" fontId="154" fillId="0" borderId="10" xfId="45" applyNumberFormat="1" applyFont="1" applyBorder="1" applyAlignment="1">
      <alignment horizontal="left" vertical="center"/>
    </xf>
    <xf numFmtId="2" fontId="154" fillId="0" borderId="10" xfId="45" applyNumberFormat="1" applyFont="1" applyBorder="1" applyAlignment="1">
      <alignment horizontal="left" vertical="center"/>
    </xf>
    <xf numFmtId="172" fontId="154" fillId="0" borderId="10" xfId="45" applyNumberFormat="1" applyFont="1" applyBorder="1" applyAlignment="1">
      <alignment horizontal="right" vertical="center"/>
    </xf>
    <xf numFmtId="172" fontId="148" fillId="0" borderId="10" xfId="45" applyNumberFormat="1" applyBorder="1"/>
    <xf numFmtId="44" fontId="154" fillId="0" borderId="10" xfId="47" applyFont="1" applyFill="1" applyBorder="1" applyAlignment="1">
      <alignment horizontal="right" vertical="center"/>
    </xf>
    <xf numFmtId="44" fontId="181" fillId="0" borderId="10" xfId="45" applyNumberFormat="1" applyFont="1" applyBorder="1"/>
    <xf numFmtId="44" fontId="148" fillId="0" borderId="10" xfId="45" applyNumberFormat="1" applyBorder="1"/>
    <xf numFmtId="0" fontId="148" fillId="0" borderId="10" xfId="45" applyBorder="1"/>
    <xf numFmtId="172" fontId="154" fillId="0" borderId="10" xfId="0" applyNumberFormat="1" applyFont="1" applyBorder="1" applyAlignment="1">
      <alignment horizontal="right" vertical="center"/>
    </xf>
    <xf numFmtId="171" fontId="173" fillId="0" borderId="1" xfId="4" applyNumberFormat="1" applyFont="1" applyBorder="1" applyAlignment="1">
      <alignment horizontal="center"/>
    </xf>
    <xf numFmtId="4" fontId="167" fillId="0" borderId="1" xfId="38" applyNumberFormat="1" applyFont="1" applyFill="1" applyBorder="1" applyAlignment="1" applyProtection="1">
      <alignment vertical="top"/>
    </xf>
    <xf numFmtId="4" fontId="167" fillId="0" borderId="1" xfId="9" applyNumberFormat="1" applyFont="1" applyAlignment="1" applyProtection="1">
      <protection locked="0"/>
    </xf>
    <xf numFmtId="0" fontId="200" fillId="0" borderId="0" xfId="0" applyFont="1" applyAlignment="1">
      <alignment horizontal="center"/>
    </xf>
    <xf numFmtId="44" fontId="148" fillId="0" borderId="1" xfId="45" applyNumberFormat="1"/>
    <xf numFmtId="44" fontId="181" fillId="0" borderId="1" xfId="45" applyNumberFormat="1" applyFont="1"/>
    <xf numFmtId="14" fontId="148" fillId="0" borderId="1" xfId="45" applyNumberFormat="1"/>
    <xf numFmtId="0" fontId="201" fillId="0" borderId="1" xfId="45" applyFont="1"/>
    <xf numFmtId="0" fontId="149" fillId="0" borderId="16" xfId="44" applyBorder="1" applyAlignment="1">
      <alignment horizontal="left"/>
    </xf>
    <xf numFmtId="171" fontId="190" fillId="0" borderId="10" xfId="46" applyNumberFormat="1" applyFont="1" applyBorder="1" applyAlignment="1">
      <alignment horizontal="center" vertical="center"/>
    </xf>
    <xf numFmtId="0" fontId="178" fillId="0" borderId="18" xfId="45" applyFont="1" applyBorder="1" applyAlignment="1">
      <alignment horizontal="center"/>
    </xf>
    <xf numFmtId="0" fontId="178" fillId="0" borderId="19" xfId="45" applyFont="1" applyBorder="1" applyAlignment="1">
      <alignment horizontal="center"/>
    </xf>
    <xf numFmtId="166" fontId="178" fillId="0" borderId="9" xfId="38" applyFont="1" applyBorder="1"/>
    <xf numFmtId="172" fontId="178" fillId="0" borderId="1" xfId="45" applyNumberFormat="1" applyFont="1"/>
    <xf numFmtId="0" fontId="195" fillId="0" borderId="0" xfId="0" applyFont="1" applyAlignment="1">
      <alignment horizontal="center"/>
    </xf>
    <xf numFmtId="0" fontId="146" fillId="0" borderId="1" xfId="9" applyFont="1" applyAlignment="1" applyProtection="1">
      <protection locked="0"/>
    </xf>
    <xf numFmtId="0" fontId="154" fillId="0" borderId="20" xfId="0" applyFont="1" applyBorder="1" applyAlignment="1">
      <alignment horizontal="center" vertical="center"/>
    </xf>
    <xf numFmtId="0" fontId="154" fillId="0" borderId="21" xfId="0" applyFont="1" applyBorder="1" applyAlignment="1">
      <alignment horizontal="center" vertical="center"/>
    </xf>
    <xf numFmtId="0" fontId="154" fillId="0" borderId="10" xfId="0" applyFont="1" applyBorder="1" applyAlignment="1">
      <alignment horizontal="center" vertical="center"/>
    </xf>
    <xf numFmtId="9" fontId="154" fillId="0" borderId="10" xfId="4" applyFont="1" applyBorder="1" applyAlignment="1">
      <alignment horizontal="right" vertical="center"/>
    </xf>
    <xf numFmtId="172" fontId="154" fillId="0" borderId="1" xfId="45" applyNumberFormat="1" applyFont="1" applyAlignment="1">
      <alignment horizontal="right" vertical="center"/>
    </xf>
    <xf numFmtId="166" fontId="178" fillId="0" borderId="1" xfId="45" applyNumberFormat="1" applyFont="1"/>
    <xf numFmtId="44" fontId="154" fillId="0" borderId="1" xfId="47" applyFont="1" applyFill="1" applyBorder="1" applyAlignment="1">
      <alignment horizontal="right" vertical="center"/>
    </xf>
    <xf numFmtId="0" fontId="175" fillId="13" borderId="13" xfId="45" applyFont="1" applyFill="1" applyBorder="1"/>
    <xf numFmtId="0" fontId="148" fillId="0" borderId="22" xfId="45" applyBorder="1"/>
    <xf numFmtId="0" fontId="154" fillId="0" borderId="23" xfId="0" applyFont="1" applyBorder="1" applyAlignment="1">
      <alignment horizontal="center" vertical="center"/>
    </xf>
    <xf numFmtId="171" fontId="190" fillId="0" borderId="23" xfId="46" applyNumberFormat="1" applyFont="1" applyBorder="1" applyAlignment="1">
      <alignment horizontal="center" vertical="center"/>
    </xf>
    <xf numFmtId="9" fontId="154" fillId="0" borderId="23" xfId="4" applyFont="1" applyBorder="1" applyAlignment="1">
      <alignment horizontal="right" vertical="center"/>
    </xf>
    <xf numFmtId="172" fontId="154" fillId="0" borderId="23" xfId="45" applyNumberFormat="1" applyFont="1" applyBorder="1" applyAlignment="1">
      <alignment horizontal="right" vertical="center"/>
    </xf>
    <xf numFmtId="172" fontId="148" fillId="0" borderId="23" xfId="45" applyNumberFormat="1" applyBorder="1"/>
    <xf numFmtId="44" fontId="154" fillId="0" borderId="23" xfId="47" applyFont="1" applyFill="1" applyBorder="1" applyAlignment="1">
      <alignment horizontal="right" vertical="center"/>
    </xf>
    <xf numFmtId="0" fontId="175" fillId="13" borderId="24" xfId="45" applyFont="1" applyFill="1" applyBorder="1"/>
    <xf numFmtId="172" fontId="154" fillId="14" borderId="10" xfId="45" applyNumberFormat="1" applyFont="1" applyFill="1" applyBorder="1" applyAlignment="1">
      <alignment horizontal="right" vertical="center"/>
    </xf>
    <xf numFmtId="44" fontId="167" fillId="0" borderId="10" xfId="45" applyNumberFormat="1" applyFont="1" applyBorder="1"/>
    <xf numFmtId="0" fontId="189" fillId="0" borderId="1" xfId="9" applyFont="1" applyAlignment="1" applyProtection="1">
      <alignment horizontal="left"/>
      <protection locked="0"/>
    </xf>
    <xf numFmtId="172" fontId="149" fillId="0" borderId="1" xfId="44" applyNumberFormat="1"/>
    <xf numFmtId="44" fontId="149" fillId="0" borderId="1" xfId="44" applyNumberFormat="1"/>
    <xf numFmtId="168" fontId="167" fillId="0" borderId="1" xfId="8" applyNumberFormat="1" applyFont="1" applyFill="1" applyBorder="1" applyAlignment="1" applyProtection="1">
      <alignment vertical="top"/>
    </xf>
    <xf numFmtId="0" fontId="178" fillId="0" borderId="15" xfId="44" applyFont="1" applyBorder="1"/>
    <xf numFmtId="164" fontId="178" fillId="0" borderId="15" xfId="8" applyFont="1" applyFill="1" applyBorder="1"/>
    <xf numFmtId="172" fontId="178" fillId="0" borderId="1" xfId="44" applyNumberFormat="1" applyFont="1"/>
    <xf numFmtId="0" fontId="148" fillId="0" borderId="25" xfId="45" applyBorder="1"/>
    <xf numFmtId="0" fontId="178" fillId="0" borderId="26" xfId="45" applyFont="1" applyBorder="1" applyAlignment="1">
      <alignment horizontal="center"/>
    </xf>
    <xf numFmtId="0" fontId="178" fillId="0" borderId="26" xfId="45" applyFont="1" applyBorder="1" applyAlignment="1">
      <alignment horizontal="center" wrapText="1"/>
    </xf>
    <xf numFmtId="0" fontId="178" fillId="11" borderId="26" xfId="45" applyFont="1" applyFill="1" applyBorder="1" applyAlignment="1">
      <alignment horizontal="center" wrapText="1"/>
    </xf>
    <xf numFmtId="0" fontId="167" fillId="0" borderId="1" xfId="45" applyFont="1"/>
    <xf numFmtId="4" fontId="167" fillId="0" borderId="1" xfId="45" applyNumberFormat="1" applyFont="1"/>
    <xf numFmtId="164" fontId="184" fillId="0" borderId="1" xfId="3" applyFont="1" applyFill="1" applyBorder="1" applyAlignment="1"/>
    <xf numFmtId="164" fontId="183" fillId="0" borderId="0" xfId="0" applyNumberFormat="1" applyFont="1"/>
    <xf numFmtId="0" fontId="178" fillId="14" borderId="8" xfId="45" applyFont="1" applyFill="1" applyBorder="1" applyAlignment="1">
      <alignment horizontal="center" wrapText="1"/>
    </xf>
    <xf numFmtId="0" fontId="178" fillId="0" borderId="11" xfId="45" applyFont="1" applyBorder="1" applyAlignment="1">
      <alignment horizontal="center"/>
    </xf>
    <xf numFmtId="0" fontId="148" fillId="0" borderId="33" xfId="45" applyBorder="1"/>
    <xf numFmtId="172" fontId="178" fillId="0" borderId="33" xfId="45" applyNumberFormat="1" applyFont="1" applyBorder="1"/>
    <xf numFmtId="14" fontId="178" fillId="0" borderId="33" xfId="45" applyNumberFormat="1" applyFont="1" applyBorder="1"/>
    <xf numFmtId="14" fontId="148" fillId="0" borderId="33" xfId="45" applyNumberFormat="1" applyBorder="1"/>
    <xf numFmtId="172" fontId="0" fillId="0" borderId="0" xfId="0" applyNumberFormat="1"/>
    <xf numFmtId="172" fontId="183" fillId="0" borderId="0" xfId="0" applyNumberFormat="1" applyFont="1"/>
    <xf numFmtId="166" fontId="0" fillId="0" borderId="0" xfId="38" applyFont="1"/>
    <xf numFmtId="0" fontId="0" fillId="14" borderId="0" xfId="0" applyFill="1"/>
    <xf numFmtId="0" fontId="0" fillId="17" borderId="0" xfId="0" applyFill="1"/>
    <xf numFmtId="0" fontId="158" fillId="0" borderId="0" xfId="0" applyFont="1" applyAlignment="1">
      <alignment horizontal="center"/>
    </xf>
    <xf numFmtId="9" fontId="0" fillId="0" borderId="0" xfId="4" applyFont="1"/>
    <xf numFmtId="172" fontId="0" fillId="18" borderId="0" xfId="0" applyNumberFormat="1" applyFill="1"/>
    <xf numFmtId="49" fontId="167" fillId="0" borderId="1" xfId="9" applyNumberFormat="1" applyFont="1" applyAlignment="1" applyProtection="1">
      <alignment horizontal="center" wrapText="1"/>
      <protection locked="0"/>
    </xf>
    <xf numFmtId="176" fontId="148" fillId="0" borderId="1" xfId="45" applyNumberFormat="1"/>
    <xf numFmtId="14" fontId="154" fillId="0" borderId="35" xfId="45" applyNumberFormat="1" applyFont="1" applyBorder="1" applyAlignment="1">
      <alignment horizontal="left" vertical="center"/>
    </xf>
    <xf numFmtId="171" fontId="190" fillId="0" borderId="35" xfId="46" applyNumberFormat="1" applyFont="1" applyBorder="1" applyAlignment="1">
      <alignment horizontal="center" vertical="center"/>
    </xf>
    <xf numFmtId="172" fontId="148" fillId="0" borderId="35" xfId="45" applyNumberFormat="1" applyBorder="1"/>
    <xf numFmtId="44" fontId="154" fillId="0" borderId="35" xfId="47" applyFont="1" applyFill="1" applyBorder="1" applyAlignment="1">
      <alignment horizontal="right" vertical="center"/>
    </xf>
    <xf numFmtId="44" fontId="167" fillId="0" borderId="35" xfId="45" applyNumberFormat="1" applyFont="1" applyBorder="1"/>
    <xf numFmtId="44" fontId="148" fillId="0" borderId="35" xfId="45" applyNumberFormat="1" applyBorder="1"/>
    <xf numFmtId="0" fontId="148" fillId="0" borderId="35" xfId="45" applyBorder="1"/>
    <xf numFmtId="0" fontId="154" fillId="0" borderId="35" xfId="0" applyFont="1" applyBorder="1" applyAlignment="1">
      <alignment horizontal="left" vertical="center"/>
    </xf>
    <xf numFmtId="171" fontId="190" fillId="0" borderId="10" xfId="46" applyNumberFormat="1" applyFont="1" applyFill="1" applyBorder="1" applyAlignment="1">
      <alignment horizontal="center" vertical="center"/>
    </xf>
    <xf numFmtId="0" fontId="148" fillId="12" borderId="10" xfId="45" applyFill="1" applyBorder="1"/>
    <xf numFmtId="14" fontId="148" fillId="0" borderId="10" xfId="45" applyNumberFormat="1" applyBorder="1"/>
    <xf numFmtId="44" fontId="148" fillId="14" borderId="10" xfId="45" applyNumberFormat="1" applyFill="1" applyBorder="1"/>
    <xf numFmtId="166" fontId="154" fillId="0" borderId="10" xfId="38" applyFont="1" applyFill="1" applyBorder="1" applyAlignment="1">
      <alignment horizontal="right" vertical="center"/>
    </xf>
    <xf numFmtId="44" fontId="148" fillId="14" borderId="13" xfId="45" applyNumberFormat="1" applyFill="1" applyBorder="1"/>
    <xf numFmtId="0" fontId="0" fillId="0" borderId="10" xfId="0" applyBorder="1"/>
    <xf numFmtId="172" fontId="167" fillId="0" borderId="10" xfId="45" applyNumberFormat="1" applyFont="1" applyBorder="1"/>
    <xf numFmtId="0" fontId="167" fillId="0" borderId="10" xfId="45" applyFont="1" applyBorder="1"/>
    <xf numFmtId="0" fontId="158" fillId="0" borderId="10" xfId="0" applyFont="1" applyBorder="1"/>
    <xf numFmtId="172" fontId="202" fillId="0" borderId="10" xfId="0" applyNumberFormat="1" applyFont="1" applyBorder="1" applyAlignment="1">
      <alignment horizontal="right" vertical="center"/>
    </xf>
    <xf numFmtId="44" fontId="202" fillId="0" borderId="10" xfId="47" applyFont="1" applyFill="1" applyBorder="1" applyAlignment="1">
      <alignment horizontal="right" vertical="center"/>
    </xf>
    <xf numFmtId="0" fontId="148" fillId="0" borderId="34" xfId="45" applyBorder="1"/>
    <xf numFmtId="0" fontId="158" fillId="0" borderId="35" xfId="0" applyFont="1" applyBorder="1"/>
    <xf numFmtId="172" fontId="154" fillId="0" borderId="35" xfId="0" applyNumberFormat="1" applyFont="1" applyBorder="1" applyAlignment="1">
      <alignment horizontal="right" vertical="center"/>
    </xf>
    <xf numFmtId="44" fontId="148" fillId="14" borderId="35" xfId="45" applyNumberFormat="1" applyFill="1" applyBorder="1"/>
    <xf numFmtId="44" fontId="148" fillId="14" borderId="36" xfId="45" applyNumberFormat="1" applyFill="1" applyBorder="1"/>
    <xf numFmtId="44" fontId="167" fillId="14" borderId="13" xfId="45" applyNumberFormat="1" applyFont="1" applyFill="1" applyBorder="1"/>
    <xf numFmtId="0" fontId="148" fillId="12" borderId="35" xfId="45" applyFill="1" applyBorder="1"/>
    <xf numFmtId="0" fontId="172" fillId="0" borderId="4" xfId="9" applyFont="1" applyBorder="1" applyAlignment="1">
      <alignment horizontal="left" vertical="center"/>
    </xf>
    <xf numFmtId="164" fontId="172" fillId="0" borderId="4" xfId="8" applyFont="1" applyFill="1" applyBorder="1" applyAlignment="1" applyProtection="1">
      <alignment vertical="top"/>
    </xf>
    <xf numFmtId="0" fontId="207" fillId="0" borderId="0" xfId="0" applyFont="1"/>
    <xf numFmtId="0" fontId="191" fillId="0" borderId="1" xfId="0" applyFont="1" applyBorder="1"/>
    <xf numFmtId="0" fontId="167" fillId="19" borderId="1" xfId="9" applyFont="1" applyFill="1" applyAlignment="1">
      <alignment horizontal="left" wrapText="1" indent="1"/>
    </xf>
    <xf numFmtId="164" fontId="167" fillId="19" borderId="1" xfId="8" applyFont="1" applyFill="1" applyBorder="1" applyAlignment="1" applyProtection="1">
      <alignment vertical="top"/>
    </xf>
    <xf numFmtId="0" fontId="167" fillId="19" borderId="1" xfId="9" applyFont="1" applyFill="1" applyAlignment="1" applyProtection="1">
      <protection locked="0"/>
    </xf>
    <xf numFmtId="49" fontId="167" fillId="0" borderId="1" xfId="9" applyNumberFormat="1" applyFont="1" applyAlignment="1" applyProtection="1">
      <alignment horizontal="center"/>
      <protection locked="0"/>
    </xf>
    <xf numFmtId="166" fontId="167" fillId="0" borderId="1" xfId="38" applyFont="1" applyBorder="1" applyAlignment="1" applyProtection="1">
      <protection locked="0"/>
    </xf>
    <xf numFmtId="164" fontId="167" fillId="0" borderId="1" xfId="4" applyNumberFormat="1" applyFont="1" applyBorder="1" applyAlignment="1" applyProtection="1">
      <protection locked="0"/>
    </xf>
    <xf numFmtId="44" fontId="167" fillId="0" borderId="1" xfId="9" applyNumberFormat="1" applyFont="1" applyAlignment="1" applyProtection="1">
      <protection locked="0"/>
    </xf>
    <xf numFmtId="0" fontId="154" fillId="0" borderId="10" xfId="45" applyFont="1" applyBorder="1" applyAlignment="1">
      <alignment horizontal="center" vertical="center"/>
    </xf>
    <xf numFmtId="0" fontId="148" fillId="20" borderId="10" xfId="45" applyFill="1" applyBorder="1"/>
    <xf numFmtId="164" fontId="210" fillId="0" borderId="1" xfId="8" applyFont="1" applyFill="1" applyBorder="1" applyAlignment="1">
      <alignment horizontal="center"/>
    </xf>
    <xf numFmtId="49" fontId="211" fillId="0" borderId="1" xfId="8" applyNumberFormat="1" applyFont="1" applyFill="1" applyBorder="1" applyAlignment="1" applyProtection="1">
      <alignment vertical="top"/>
    </xf>
    <xf numFmtId="49" fontId="212" fillId="0" borderId="1" xfId="8" applyNumberFormat="1" applyFont="1" applyFill="1" applyBorder="1" applyAlignment="1" applyProtection="1">
      <alignment vertical="top"/>
    </xf>
    <xf numFmtId="0" fontId="167" fillId="0" borderId="1" xfId="44" applyFont="1" applyAlignment="1">
      <alignment horizontal="right"/>
    </xf>
    <xf numFmtId="164" fontId="190" fillId="0" borderId="0" xfId="0" applyNumberFormat="1" applyFont="1"/>
    <xf numFmtId="173" fontId="158" fillId="0" borderId="0" xfId="38" applyNumberFormat="1" applyFont="1"/>
    <xf numFmtId="0" fontId="183" fillId="9" borderId="7" xfId="0" applyFont="1" applyFill="1" applyBorder="1"/>
    <xf numFmtId="0" fontId="183" fillId="9" borderId="8" xfId="0" applyFont="1" applyFill="1" applyBorder="1"/>
    <xf numFmtId="0" fontId="183" fillId="9" borderId="39" xfId="0" applyFont="1" applyFill="1" applyBorder="1"/>
    <xf numFmtId="14" fontId="167" fillId="0" borderId="29" xfId="9" applyNumberFormat="1" applyFont="1" applyBorder="1" applyAlignment="1" applyProtection="1">
      <protection locked="0"/>
    </xf>
    <xf numFmtId="0" fontId="187" fillId="0" borderId="29" xfId="0" applyFont="1" applyBorder="1" applyAlignment="1">
      <alignment wrapText="1"/>
    </xf>
    <xf numFmtId="0" fontId="184" fillId="0" borderId="12" xfId="0" applyFont="1" applyBorder="1"/>
    <xf numFmtId="0" fontId="187" fillId="0" borderId="10" xfId="0" applyFont="1" applyBorder="1" applyAlignment="1">
      <alignment wrapText="1"/>
    </xf>
    <xf numFmtId="164" fontId="184" fillId="0" borderId="13" xfId="3" applyFont="1" applyFill="1" applyBorder="1" applyAlignment="1"/>
    <xf numFmtId="0" fontId="184" fillId="0" borderId="34" xfId="0" applyFont="1" applyBorder="1"/>
    <xf numFmtId="0" fontId="187" fillId="0" borderId="35" xfId="0" applyFont="1" applyBorder="1" applyAlignment="1">
      <alignment wrapText="1"/>
    </xf>
    <xf numFmtId="164" fontId="184" fillId="0" borderId="36" xfId="3" applyFont="1" applyFill="1" applyBorder="1" applyAlignment="1"/>
    <xf numFmtId="164" fontId="0" fillId="0" borderId="13" xfId="0" applyNumberFormat="1" applyBorder="1"/>
    <xf numFmtId="164" fontId="183" fillId="0" borderId="36" xfId="0" applyNumberFormat="1" applyFont="1" applyBorder="1"/>
    <xf numFmtId="166" fontId="183" fillId="0" borderId="0" xfId="0" applyNumberFormat="1" applyFont="1"/>
    <xf numFmtId="44" fontId="0" fillId="0" borderId="0" xfId="0" applyNumberFormat="1"/>
    <xf numFmtId="44" fontId="183" fillId="0" borderId="0" xfId="0" applyNumberFormat="1" applyFont="1"/>
    <xf numFmtId="0" fontId="148" fillId="19" borderId="1" xfId="45" applyFill="1" applyAlignment="1">
      <alignment horizontal="center"/>
    </xf>
    <xf numFmtId="166" fontId="178" fillId="0" borderId="1" xfId="38" applyFont="1" applyBorder="1"/>
    <xf numFmtId="166" fontId="183" fillId="0" borderId="0" xfId="38" applyFont="1"/>
    <xf numFmtId="0" fontId="183" fillId="0" borderId="0" xfId="0" applyFont="1" applyAlignment="1">
      <alignment horizontal="right"/>
    </xf>
    <xf numFmtId="9" fontId="183" fillId="0" borderId="0" xfId="4" applyFont="1" applyAlignment="1">
      <alignment horizontal="center"/>
    </xf>
    <xf numFmtId="0" fontId="158" fillId="18" borderId="0" xfId="0" applyFont="1" applyFill="1"/>
    <xf numFmtId="44" fontId="197" fillId="0" borderId="0" xfId="0" applyNumberFormat="1" applyFont="1"/>
    <xf numFmtId="175" fontId="189" fillId="0" borderId="1" xfId="44" applyNumberFormat="1" applyFont="1" applyAlignment="1">
      <alignment horizontal="right"/>
    </xf>
    <xf numFmtId="164" fontId="189" fillId="0" borderId="1" xfId="8" applyFont="1" applyFill="1" applyBorder="1"/>
    <xf numFmtId="44" fontId="213" fillId="0" borderId="1" xfId="47" applyFont="1" applyFill="1" applyBorder="1" applyAlignment="1">
      <alignment horizontal="right" vertical="center"/>
    </xf>
    <xf numFmtId="44" fontId="190" fillId="0" borderId="1" xfId="47" applyFont="1" applyFill="1" applyBorder="1" applyAlignment="1">
      <alignment horizontal="right" vertical="center"/>
    </xf>
    <xf numFmtId="172" fontId="189" fillId="0" borderId="1" xfId="45" applyNumberFormat="1" applyFont="1"/>
    <xf numFmtId="0" fontId="181" fillId="0" borderId="1" xfId="44" applyFont="1" applyAlignment="1">
      <alignment horizontal="center"/>
    </xf>
    <xf numFmtId="0" fontId="189" fillId="0" borderId="1" xfId="44" applyFont="1" applyAlignment="1">
      <alignment horizontal="center"/>
    </xf>
    <xf numFmtId="0" fontId="214" fillId="0" borderId="1" xfId="44" applyFont="1"/>
    <xf numFmtId="0" fontId="188" fillId="0" borderId="1" xfId="44" applyFont="1"/>
    <xf numFmtId="174" fontId="188" fillId="0" borderId="1" xfId="44" applyNumberFormat="1" applyFont="1"/>
    <xf numFmtId="3" fontId="190" fillId="0" borderId="0" xfId="0" applyNumberFormat="1" applyFont="1"/>
    <xf numFmtId="0" fontId="154" fillId="0" borderId="10" xfId="0" applyFont="1" applyBorder="1" applyAlignment="1">
      <alignment horizontal="center" vertical="center" wrapText="1"/>
    </xf>
    <xf numFmtId="166" fontId="178" fillId="0" borderId="33" xfId="38" applyFont="1" applyBorder="1"/>
    <xf numFmtId="44" fontId="183" fillId="0" borderId="1" xfId="0" applyNumberFormat="1" applyFont="1" applyBorder="1"/>
    <xf numFmtId="164" fontId="176" fillId="19" borderId="1" xfId="8" applyFont="1" applyFill="1" applyBorder="1" applyAlignment="1" applyProtection="1">
      <alignment vertical="top"/>
    </xf>
    <xf numFmtId="164" fontId="178" fillId="0" borderId="1" xfId="8" applyFont="1" applyFill="1" applyBorder="1" applyAlignment="1">
      <alignment horizontal="center" wrapText="1"/>
    </xf>
    <xf numFmtId="0" fontId="216" fillId="20" borderId="10" xfId="45" applyFont="1" applyFill="1" applyBorder="1"/>
    <xf numFmtId="9" fontId="173" fillId="0" borderId="1" xfId="4" applyFont="1" applyFill="1" applyBorder="1" applyAlignment="1" applyProtection="1">
      <alignment horizontal="center"/>
      <protection locked="0"/>
    </xf>
    <xf numFmtId="166" fontId="167" fillId="0" borderId="1" xfId="38" applyFont="1" applyFill="1" applyBorder="1" applyAlignment="1" applyProtection="1">
      <protection locked="0"/>
    </xf>
    <xf numFmtId="9" fontId="167" fillId="0" borderId="1" xfId="4" applyFont="1" applyFill="1" applyBorder="1" applyAlignment="1" applyProtection="1">
      <protection locked="0"/>
    </xf>
    <xf numFmtId="0" fontId="215" fillId="0" borderId="0" xfId="0" applyFont="1"/>
    <xf numFmtId="0" fontId="206" fillId="12" borderId="10" xfId="45" applyFont="1" applyFill="1" applyBorder="1"/>
    <xf numFmtId="172" fontId="202" fillId="0" borderId="10" xfId="45" applyNumberFormat="1" applyFont="1" applyBorder="1" applyAlignment="1">
      <alignment horizontal="right" vertical="center"/>
    </xf>
    <xf numFmtId="0" fontId="202" fillId="0" borderId="10" xfId="0" applyFont="1" applyBorder="1" applyAlignment="1">
      <alignment horizontal="center" vertical="center"/>
    </xf>
    <xf numFmtId="0" fontId="206" fillId="20" borderId="10" xfId="45" applyFont="1" applyFill="1" applyBorder="1"/>
    <xf numFmtId="173" fontId="183" fillId="0" borderId="0" xfId="0" applyNumberFormat="1" applyFont="1"/>
    <xf numFmtId="0" fontId="158" fillId="0" borderId="0" xfId="0" applyFont="1" applyAlignment="1">
      <alignment horizontal="right"/>
    </xf>
    <xf numFmtId="14" fontId="154" fillId="0" borderId="10" xfId="0" applyNumberFormat="1" applyFont="1" applyBorder="1" applyAlignment="1">
      <alignment horizontal="left" vertical="center"/>
    </xf>
    <xf numFmtId="166" fontId="167" fillId="0" borderId="1" xfId="38" applyFont="1" applyFill="1" applyBorder="1"/>
    <xf numFmtId="0" fontId="183" fillId="9" borderId="25" xfId="0" applyFont="1" applyFill="1" applyBorder="1"/>
    <xf numFmtId="0" fontId="183" fillId="9" borderId="26" xfId="0" applyFont="1" applyFill="1" applyBorder="1"/>
    <xf numFmtId="0" fontId="183" fillId="9" borderId="40" xfId="0" applyFont="1" applyFill="1" applyBorder="1"/>
    <xf numFmtId="179" fontId="154" fillId="0" borderId="0" xfId="0" applyNumberFormat="1" applyFont="1"/>
    <xf numFmtId="0" fontId="167" fillId="0" borderId="23" xfId="9" applyFont="1" applyBorder="1" applyAlignment="1">
      <alignment wrapText="1"/>
    </xf>
    <xf numFmtId="44" fontId="181" fillId="0" borderId="1" xfId="4" applyNumberFormat="1" applyFont="1" applyBorder="1" applyAlignment="1">
      <alignment horizontal="center"/>
    </xf>
    <xf numFmtId="10" fontId="207" fillId="0" borderId="1" xfId="4" applyNumberFormat="1" applyFont="1" applyFill="1" applyBorder="1" applyAlignment="1">
      <alignment horizontal="right" vertical="center"/>
    </xf>
    <xf numFmtId="172" fontId="158" fillId="0" borderId="1" xfId="0" applyNumberFormat="1" applyFont="1" applyBorder="1"/>
    <xf numFmtId="0" fontId="189" fillId="0" borderId="1" xfId="7" applyFont="1"/>
    <xf numFmtId="164" fontId="198" fillId="0" borderId="1" xfId="8" applyFont="1" applyFill="1" applyBorder="1" applyAlignment="1" applyProtection="1">
      <alignment vertical="top"/>
    </xf>
    <xf numFmtId="164" fontId="196" fillId="21" borderId="4" xfId="8" applyFont="1" applyFill="1" applyBorder="1" applyAlignment="1" applyProtection="1">
      <alignment vertical="top"/>
    </xf>
    <xf numFmtId="0" fontId="148" fillId="22" borderId="10" xfId="45" applyFill="1" applyBorder="1"/>
    <xf numFmtId="0" fontId="154" fillId="0" borderId="1" xfId="9" applyFont="1" applyAlignment="1" applyProtection="1">
      <protection locked="0"/>
    </xf>
    <xf numFmtId="14" fontId="202" fillId="0" borderId="10" xfId="45" applyNumberFormat="1" applyFont="1" applyBorder="1" applyAlignment="1">
      <alignment horizontal="left" vertical="center"/>
    </xf>
    <xf numFmtId="0" fontId="208" fillId="0" borderId="1" xfId="9" applyFont="1" applyAlignment="1" applyProtection="1">
      <protection locked="0"/>
    </xf>
    <xf numFmtId="164" fontId="154" fillId="0" borderId="1" xfId="9" applyNumberFormat="1" applyFont="1" applyAlignment="1" applyProtection="1">
      <protection locked="0"/>
    </xf>
    <xf numFmtId="172" fontId="167" fillId="0" borderId="1" xfId="8" applyNumberFormat="1" applyFont="1" applyFill="1" applyBorder="1" applyAlignment="1">
      <alignment horizontal="right"/>
    </xf>
    <xf numFmtId="4" fontId="167" fillId="0" borderId="1" xfId="8" applyNumberFormat="1" applyFont="1" applyFill="1" applyBorder="1" applyAlignment="1">
      <alignment horizontal="right"/>
    </xf>
    <xf numFmtId="177" fontId="167" fillId="0" borderId="1" xfId="8" applyNumberFormat="1" applyFont="1" applyFill="1" applyBorder="1" applyAlignment="1">
      <alignment horizontal="right"/>
    </xf>
    <xf numFmtId="164" fontId="0" fillId="0" borderId="6" xfId="0" applyNumberFormat="1" applyBorder="1"/>
    <xf numFmtId="0" fontId="219" fillId="0" borderId="0" xfId="0" applyFont="1"/>
    <xf numFmtId="164" fontId="219" fillId="0" borderId="0" xfId="0" applyNumberFormat="1" applyFont="1"/>
    <xf numFmtId="0" fontId="167" fillId="0" borderId="1" xfId="9" applyFont="1" applyAlignment="1">
      <alignment horizontal="left" indent="1"/>
    </xf>
    <xf numFmtId="172" fontId="167" fillId="0" borderId="1" xfId="45" applyNumberFormat="1" applyFont="1"/>
    <xf numFmtId="0" fontId="158" fillId="0" borderId="28" xfId="0" applyFont="1" applyBorder="1"/>
    <xf numFmtId="0" fontId="158" fillId="0" borderId="12" xfId="0" applyFont="1" applyBorder="1"/>
    <xf numFmtId="14" fontId="167" fillId="0" borderId="10" xfId="9" applyNumberFormat="1" applyFont="1" applyBorder="1" applyAlignment="1" applyProtection="1">
      <protection locked="0"/>
    </xf>
    <xf numFmtId="49" fontId="154" fillId="0" borderId="1" xfId="9" applyNumberFormat="1" applyFont="1" applyAlignment="1" applyProtection="1">
      <alignment horizontal="center" wrapText="1"/>
      <protection locked="0"/>
    </xf>
    <xf numFmtId="172" fontId="188" fillId="0" borderId="1" xfId="8" applyNumberFormat="1" applyFont="1" applyFill="1" applyBorder="1" applyAlignment="1" applyProtection="1">
      <alignment vertical="top"/>
    </xf>
    <xf numFmtId="0" fontId="196" fillId="21" borderId="4" xfId="9" applyFont="1" applyFill="1" applyBorder="1" applyAlignment="1">
      <alignment horizontal="left" vertical="center" indent="1"/>
    </xf>
    <xf numFmtId="4" fontId="149" fillId="0" borderId="1" xfId="44" applyNumberFormat="1"/>
    <xf numFmtId="177" fontId="149" fillId="0" borderId="1" xfId="44" applyNumberFormat="1"/>
    <xf numFmtId="44" fontId="167" fillId="0" borderId="1" xfId="45" applyNumberFormat="1" applyFont="1"/>
    <xf numFmtId="164" fontId="167" fillId="0" borderId="1" xfId="8" applyFont="1" applyFill="1" applyBorder="1" applyAlignment="1">
      <alignment horizontal="right"/>
    </xf>
    <xf numFmtId="180" fontId="202" fillId="0" borderId="10" xfId="0" applyNumberFormat="1" applyFont="1" applyBorder="1" applyAlignment="1">
      <alignment horizontal="right" vertical="center"/>
    </xf>
    <xf numFmtId="178" fontId="167" fillId="0" borderId="0" xfId="0" applyNumberFormat="1" applyFont="1"/>
    <xf numFmtId="164" fontId="184" fillId="0" borderId="1" xfId="3" applyFont="1" applyBorder="1" applyAlignment="1"/>
    <xf numFmtId="164" fontId="185" fillId="0" borderId="1" xfId="3" applyFont="1" applyFill="1" applyBorder="1" applyAlignment="1"/>
    <xf numFmtId="164" fontId="184" fillId="0" borderId="1" xfId="3" applyFont="1" applyFill="1" applyBorder="1" applyAlignment="1">
      <alignment horizontal="left"/>
    </xf>
    <xf numFmtId="173" fontId="158" fillId="0" borderId="0" xfId="38" applyNumberFormat="1" applyFont="1" applyFill="1"/>
    <xf numFmtId="0" fontId="196" fillId="0" borderId="1" xfId="9" applyFont="1" applyAlignment="1">
      <alignment horizontal="left" vertical="center" indent="1"/>
    </xf>
    <xf numFmtId="164" fontId="196" fillId="0" borderId="1" xfId="8" applyFont="1" applyFill="1" applyBorder="1" applyAlignment="1" applyProtection="1">
      <alignment vertical="top"/>
    </xf>
    <xf numFmtId="164" fontId="189" fillId="0" borderId="1" xfId="44" applyNumberFormat="1" applyFont="1" applyAlignment="1">
      <alignment horizontal="center"/>
    </xf>
    <xf numFmtId="172" fontId="178" fillId="0" borderId="1" xfId="44" applyNumberFormat="1" applyFont="1" applyAlignment="1">
      <alignment horizontal="center"/>
    </xf>
    <xf numFmtId="173" fontId="0" fillId="0" borderId="0" xfId="0" applyNumberFormat="1"/>
    <xf numFmtId="173" fontId="0" fillId="21" borderId="0" xfId="0" applyNumberFormat="1" applyFill="1"/>
    <xf numFmtId="164" fontId="167" fillId="21" borderId="1" xfId="8" applyFont="1" applyFill="1" applyBorder="1" applyAlignment="1" applyProtection="1">
      <alignment vertical="top"/>
    </xf>
    <xf numFmtId="164" fontId="0" fillId="21" borderId="0" xfId="0" applyNumberFormat="1" applyFill="1"/>
    <xf numFmtId="164" fontId="140" fillId="0" borderId="1" xfId="8" applyFont="1" applyFill="1" applyBorder="1"/>
    <xf numFmtId="0" fontId="140" fillId="0" borderId="1" xfId="9" applyFont="1" applyAlignment="1">
      <alignment horizontal="left" wrapText="1" indent="1"/>
    </xf>
    <xf numFmtId="164" fontId="140" fillId="19" borderId="1" xfId="8" applyFont="1" applyFill="1" applyBorder="1" applyAlignment="1" applyProtection="1">
      <alignment vertical="top"/>
    </xf>
    <xf numFmtId="49" fontId="140" fillId="0" borderId="1" xfId="8" applyNumberFormat="1" applyFont="1" applyFill="1" applyBorder="1" applyAlignment="1" applyProtection="1">
      <alignment vertical="top"/>
    </xf>
    <xf numFmtId="164" fontId="140" fillId="0" borderId="1" xfId="8" applyFont="1" applyFill="1" applyBorder="1" applyAlignment="1" applyProtection="1">
      <alignment vertical="top"/>
    </xf>
    <xf numFmtId="0" fontId="168" fillId="5" borderId="41" xfId="9" applyFont="1" applyFill="1" applyBorder="1" applyAlignment="1">
      <alignment horizontal="left" vertical="center"/>
    </xf>
    <xf numFmtId="164" fontId="168" fillId="5" borderId="42" xfId="8" applyFont="1" applyFill="1" applyBorder="1" applyAlignment="1" applyProtection="1">
      <alignment horizontal="center" vertical="center"/>
    </xf>
    <xf numFmtId="14" fontId="140" fillId="0" borderId="1" xfId="9" applyNumberFormat="1" applyFont="1" applyAlignment="1" applyProtection="1">
      <protection locked="0"/>
    </xf>
    <xf numFmtId="0" fontId="170" fillId="5" borderId="41" xfId="9" applyFont="1" applyFill="1" applyBorder="1" applyAlignment="1">
      <alignment horizontal="left" vertical="center"/>
    </xf>
    <xf numFmtId="0" fontId="140" fillId="0" borderId="1" xfId="9" applyFont="1" applyAlignment="1" applyProtection="1">
      <protection locked="0"/>
    </xf>
    <xf numFmtId="0" fontId="154" fillId="0" borderId="1" xfId="9" applyFont="1" applyAlignment="1" applyProtection="1">
      <alignment horizontal="center"/>
      <protection locked="0"/>
    </xf>
    <xf numFmtId="0" fontId="154" fillId="0" borderId="1" xfId="9" applyFont="1" applyAlignment="1">
      <alignment horizontal="left" wrapText="1" indent="1"/>
    </xf>
    <xf numFmtId="164" fontId="167" fillId="0" borderId="1" xfId="8" applyFont="1" applyFill="1" applyBorder="1" applyAlignment="1">
      <alignment vertical="top"/>
    </xf>
    <xf numFmtId="0" fontId="209" fillId="0" borderId="1" xfId="9" applyFont="1" applyAlignment="1" applyProtection="1">
      <protection locked="0"/>
    </xf>
    <xf numFmtId="164" fontId="166" fillId="4" borderId="43" xfId="8" applyFont="1" applyFill="1" applyBorder="1" applyAlignment="1" applyProtection="1">
      <alignment vertical="top"/>
    </xf>
    <xf numFmtId="164" fontId="140" fillId="0" borderId="1" xfId="44" applyNumberFormat="1" applyFont="1"/>
    <xf numFmtId="0" fontId="140" fillId="0" borderId="1" xfId="44" applyFont="1"/>
    <xf numFmtId="164" fontId="140" fillId="0" borderId="17" xfId="8" applyFont="1" applyFill="1" applyBorder="1"/>
    <xf numFmtId="0" fontId="140" fillId="0" borderId="2" xfId="44" applyFont="1" applyBorder="1"/>
    <xf numFmtId="164" fontId="140" fillId="0" borderId="3" xfId="8" applyFont="1" applyFill="1" applyBorder="1"/>
    <xf numFmtId="0" fontId="140" fillId="0" borderId="1" xfId="44" applyFont="1" applyAlignment="1">
      <alignment horizontal="right"/>
    </xf>
    <xf numFmtId="0" fontId="140" fillId="0" borderId="1" xfId="44" applyFont="1" applyAlignment="1">
      <alignment horizontal="right" wrapText="1"/>
    </xf>
    <xf numFmtId="172" fontId="140" fillId="0" borderId="1" xfId="8" applyNumberFormat="1" applyFont="1" applyFill="1" applyBorder="1"/>
    <xf numFmtId="172" fontId="140" fillId="15" borderId="1" xfId="8" applyNumberFormat="1" applyFont="1" applyFill="1" applyBorder="1"/>
    <xf numFmtId="172" fontId="140" fillId="16" borderId="1" xfId="8" applyNumberFormat="1" applyFont="1" applyFill="1" applyBorder="1"/>
    <xf numFmtId="166" fontId="140" fillId="0" borderId="1" xfId="38" applyFont="1" applyFill="1" applyBorder="1"/>
    <xf numFmtId="166" fontId="140" fillId="0" borderId="1" xfId="38" applyFont="1" applyBorder="1"/>
    <xf numFmtId="0" fontId="140" fillId="0" borderId="1" xfId="9" applyFont="1" applyAlignment="1" applyProtection="1">
      <alignment horizontal="center"/>
      <protection locked="0"/>
    </xf>
    <xf numFmtId="49" fontId="140" fillId="0" borderId="1" xfId="9" applyNumberFormat="1" applyFont="1" applyAlignment="1" applyProtection="1">
      <alignment horizontal="center"/>
      <protection locked="0"/>
    </xf>
    <xf numFmtId="164" fontId="140" fillId="0" borderId="1" xfId="8" applyFont="1" applyFill="1" applyBorder="1" applyAlignment="1">
      <alignment vertical="top"/>
    </xf>
    <xf numFmtId="164" fontId="140" fillId="0" borderId="6" xfId="8" applyFont="1" applyFill="1" applyBorder="1"/>
    <xf numFmtId="172" fontId="140" fillId="21" borderId="1" xfId="8" applyNumberFormat="1" applyFont="1" applyFill="1" applyBorder="1"/>
    <xf numFmtId="172" fontId="140" fillId="0" borderId="1" xfId="8" applyNumberFormat="1" applyFont="1" applyFill="1" applyBorder="1" applyAlignment="1">
      <alignment horizontal="right"/>
    </xf>
    <xf numFmtId="14" fontId="140" fillId="0" borderId="29" xfId="7" applyNumberFormat="1" applyFont="1" applyBorder="1"/>
    <xf numFmtId="14" fontId="140" fillId="0" borderId="10" xfId="7" applyNumberFormat="1" applyFont="1" applyBorder="1"/>
    <xf numFmtId="164" fontId="185" fillId="0" borderId="40" xfId="3" applyFont="1" applyBorder="1" applyAlignment="1"/>
    <xf numFmtId="0" fontId="140" fillId="0" borderId="1" xfId="9" applyFont="1" applyAlignment="1">
      <alignment horizontal="left" wrapText="1"/>
    </xf>
    <xf numFmtId="14" fontId="140" fillId="0" borderId="1" xfId="7" applyNumberFormat="1" applyFont="1"/>
    <xf numFmtId="164" fontId="166" fillId="4" borderId="44" xfId="8" applyFont="1" applyFill="1" applyBorder="1" applyAlignment="1" applyProtection="1">
      <alignment vertical="top"/>
    </xf>
    <xf numFmtId="164" fontId="198" fillId="10" borderId="44" xfId="8" applyFont="1" applyFill="1" applyBorder="1" applyAlignment="1" applyProtection="1">
      <alignment vertical="top"/>
    </xf>
    <xf numFmtId="0" fontId="168" fillId="5" borderId="45" xfId="9" applyFont="1" applyFill="1" applyBorder="1" applyAlignment="1">
      <alignment horizontal="left" vertical="center"/>
    </xf>
    <xf numFmtId="164" fontId="168" fillId="5" borderId="46" xfId="8" applyFont="1" applyFill="1" applyBorder="1" applyAlignment="1" applyProtection="1">
      <alignment horizontal="center" vertical="center"/>
    </xf>
    <xf numFmtId="0" fontId="168" fillId="0" borderId="45" xfId="9" applyFont="1" applyBorder="1" applyAlignment="1">
      <alignment horizontal="left" vertical="center"/>
    </xf>
    <xf numFmtId="164" fontId="168" fillId="0" borderId="46" xfId="8" applyFont="1" applyFill="1" applyBorder="1" applyAlignment="1" applyProtection="1">
      <alignment horizontal="center" vertical="center"/>
    </xf>
    <xf numFmtId="0" fontId="178" fillId="19" borderId="26" xfId="45" applyFont="1" applyFill="1" applyBorder="1" applyAlignment="1">
      <alignment horizontal="center"/>
    </xf>
    <xf numFmtId="0" fontId="140" fillId="0" borderId="1" xfId="45" applyFont="1"/>
    <xf numFmtId="172" fontId="140" fillId="0" borderId="1" xfId="45" applyNumberFormat="1" applyFont="1"/>
    <xf numFmtId="0" fontId="140" fillId="0" borderId="10" xfId="45" applyFont="1" applyBorder="1"/>
    <xf numFmtId="14" fontId="140" fillId="0" borderId="10" xfId="45" applyNumberFormat="1" applyFont="1" applyBorder="1"/>
    <xf numFmtId="44" fontId="140" fillId="0" borderId="10" xfId="45" applyNumberFormat="1" applyFont="1" applyBorder="1"/>
    <xf numFmtId="172" fontId="140" fillId="0" borderId="10" xfId="45" applyNumberFormat="1" applyFont="1" applyBorder="1"/>
    <xf numFmtId="44" fontId="140" fillId="14" borderId="10" xfId="45" applyNumberFormat="1" applyFont="1" applyFill="1" applyBorder="1"/>
    <xf numFmtId="0" fontId="140" fillId="0" borderId="10" xfId="9" applyFont="1" applyBorder="1" applyAlignment="1">
      <alignment wrapText="1"/>
    </xf>
    <xf numFmtId="0" fontId="140" fillId="0" borderId="10" xfId="45" applyFont="1" applyBorder="1" applyAlignment="1">
      <alignment wrapText="1"/>
    </xf>
    <xf numFmtId="14" fontId="140" fillId="0" borderId="35" xfId="45" applyNumberFormat="1" applyFont="1" applyBorder="1"/>
    <xf numFmtId="0" fontId="140" fillId="0" borderId="35" xfId="45" applyFont="1" applyBorder="1"/>
    <xf numFmtId="0" fontId="140" fillId="0" borderId="33" xfId="45" applyFont="1" applyBorder="1"/>
    <xf numFmtId="173" fontId="140" fillId="0" borderId="1" xfId="38" applyNumberFormat="1" applyFont="1" applyBorder="1"/>
    <xf numFmtId="173" fontId="140" fillId="0" borderId="1" xfId="38" applyNumberFormat="1" applyFont="1" applyFill="1" applyBorder="1"/>
    <xf numFmtId="0" fontId="184" fillId="0" borderId="48" xfId="0" applyFont="1" applyBorder="1"/>
    <xf numFmtId="14" fontId="140" fillId="0" borderId="49" xfId="7" applyNumberFormat="1" applyFont="1" applyBorder="1"/>
    <xf numFmtId="14" fontId="167" fillId="0" borderId="49" xfId="9" applyNumberFormat="1" applyFont="1" applyBorder="1" applyAlignment="1" applyProtection="1">
      <protection locked="0"/>
    </xf>
    <xf numFmtId="0" fontId="187" fillId="0" borderId="49" xfId="0" applyFont="1" applyBorder="1" applyAlignment="1">
      <alignment wrapText="1"/>
    </xf>
    <xf numFmtId="164" fontId="184" fillId="0" borderId="50" xfId="3" applyFont="1" applyFill="1" applyBorder="1" applyAlignment="1"/>
    <xf numFmtId="14" fontId="140" fillId="0" borderId="35" xfId="7" applyNumberFormat="1" applyFont="1" applyBorder="1"/>
    <xf numFmtId="164" fontId="158" fillId="0" borderId="50" xfId="0" applyNumberFormat="1" applyFont="1" applyBorder="1"/>
    <xf numFmtId="0" fontId="148" fillId="0" borderId="51" xfId="45" applyBorder="1"/>
    <xf numFmtId="0" fontId="178" fillId="0" borderId="52" xfId="45" applyFont="1" applyBorder="1" applyAlignment="1">
      <alignment horizontal="center"/>
    </xf>
    <xf numFmtId="0" fontId="178" fillId="0" borderId="52" xfId="45" applyFont="1" applyBorder="1" applyAlignment="1">
      <alignment horizontal="center" wrapText="1"/>
    </xf>
    <xf numFmtId="0" fontId="178" fillId="11" borderId="52" xfId="45" applyFont="1" applyFill="1" applyBorder="1" applyAlignment="1">
      <alignment horizontal="center" wrapText="1"/>
    </xf>
    <xf numFmtId="49" fontId="140" fillId="0" borderId="1" xfId="45" applyNumberFormat="1" applyFont="1" applyAlignment="1">
      <alignment horizontal="right"/>
    </xf>
    <xf numFmtId="0" fontId="139" fillId="0" borderId="1" xfId="9" applyFont="1" applyAlignment="1">
      <alignment horizontal="left" wrapText="1" indent="1"/>
    </xf>
    <xf numFmtId="0" fontId="138" fillId="0" borderId="1" xfId="9" applyFont="1" applyAlignment="1">
      <alignment horizontal="left" wrapText="1" indent="1"/>
    </xf>
    <xf numFmtId="164" fontId="137" fillId="0" borderId="1" xfId="8" applyFont="1" applyFill="1" applyBorder="1" applyAlignment="1" applyProtection="1">
      <alignment vertical="top"/>
    </xf>
    <xf numFmtId="0" fontId="154" fillId="17" borderId="1" xfId="9" applyFont="1" applyFill="1" applyAlignment="1" applyProtection="1">
      <protection locked="0"/>
    </xf>
    <xf numFmtId="0" fontId="167" fillId="17" borderId="1" xfId="9" applyFont="1" applyFill="1" applyAlignment="1" applyProtection="1">
      <protection locked="0"/>
    </xf>
    <xf numFmtId="0" fontId="136" fillId="0" borderId="1" xfId="9" applyFont="1" applyAlignment="1" applyProtection="1">
      <alignment horizontal="center"/>
      <protection locked="0"/>
    </xf>
    <xf numFmtId="49" fontId="176" fillId="0" borderId="1" xfId="9" applyNumberFormat="1" applyFont="1" applyAlignment="1" applyProtection="1">
      <alignment horizontal="center"/>
      <protection locked="0"/>
    </xf>
    <xf numFmtId="0" fontId="136" fillId="0" borderId="1" xfId="9" applyFont="1" applyAlignment="1" applyProtection="1">
      <alignment horizontal="center" wrapText="1"/>
      <protection locked="0"/>
    </xf>
    <xf numFmtId="0" fontId="135" fillId="0" borderId="1" xfId="9" applyFont="1" applyAlignment="1">
      <alignment horizontal="left" wrapText="1" indent="1"/>
    </xf>
    <xf numFmtId="14" fontId="135" fillId="0" borderId="10" xfId="7" applyNumberFormat="1" applyFont="1" applyBorder="1"/>
    <xf numFmtId="164" fontId="184" fillId="0" borderId="53" xfId="3" applyFont="1" applyFill="1" applyBorder="1" applyAlignment="1"/>
    <xf numFmtId="0" fontId="158" fillId="0" borderId="34" xfId="0" applyFont="1" applyBorder="1"/>
    <xf numFmtId="14" fontId="0" fillId="0" borderId="35" xfId="0" applyNumberFormat="1" applyBorder="1"/>
    <xf numFmtId="0" fontId="135" fillId="0" borderId="1" xfId="9" applyFont="1" applyAlignment="1">
      <alignment horizontal="left" wrapText="1"/>
    </xf>
    <xf numFmtId="0" fontId="134" fillId="19" borderId="1" xfId="9" applyFont="1" applyFill="1" applyAlignment="1">
      <alignment horizontal="left" wrapText="1" indent="1"/>
    </xf>
    <xf numFmtId="0" fontId="134" fillId="0" borderId="1" xfId="9" applyFont="1" applyAlignment="1">
      <alignment horizontal="left" wrapText="1" indent="1"/>
    </xf>
    <xf numFmtId="172" fontId="134" fillId="0" borderId="0" xfId="0" applyNumberFormat="1" applyFont="1"/>
    <xf numFmtId="172" fontId="169" fillId="0" borderId="1" xfId="9" applyNumberFormat="1" applyFont="1" applyAlignment="1" applyProtection="1">
      <protection locked="0"/>
    </xf>
    <xf numFmtId="164" fontId="134" fillId="0" borderId="1" xfId="8" applyFont="1" applyFill="1" applyBorder="1" applyAlignment="1" applyProtection="1">
      <alignment vertical="top"/>
    </xf>
    <xf numFmtId="0" fontId="134" fillId="0" borderId="1" xfId="9" applyFont="1" applyAlignment="1">
      <alignment horizontal="left" wrapText="1"/>
    </xf>
    <xf numFmtId="0" fontId="218" fillId="0" borderId="1" xfId="9" applyFont="1" applyAlignment="1" applyProtection="1">
      <protection locked="0"/>
    </xf>
    <xf numFmtId="0" fontId="133" fillId="0" borderId="1" xfId="9" applyFont="1" applyAlignment="1">
      <alignment horizontal="left" wrapText="1" indent="1"/>
    </xf>
    <xf numFmtId="49" fontId="132" fillId="0" borderId="1" xfId="9" applyNumberFormat="1" applyFont="1" applyAlignment="1" applyProtection="1">
      <alignment horizontal="center"/>
      <protection locked="0"/>
    </xf>
    <xf numFmtId="0" fontId="132" fillId="0" borderId="1" xfId="9" applyFont="1" applyAlignment="1" applyProtection="1">
      <alignment horizontal="center"/>
      <protection locked="0"/>
    </xf>
    <xf numFmtId="0" fontId="132" fillId="19" borderId="1" xfId="9" applyFont="1" applyFill="1" applyAlignment="1">
      <alignment horizontal="left" wrapText="1" indent="1"/>
    </xf>
    <xf numFmtId="0" fontId="131" fillId="0" borderId="1" xfId="9" applyFont="1" applyAlignment="1">
      <alignment horizontal="left" wrapText="1" indent="1"/>
    </xf>
    <xf numFmtId="0" fontId="129" fillId="19" borderId="1" xfId="9" applyFont="1" applyFill="1" applyAlignment="1">
      <alignment horizontal="left" wrapText="1" indent="1"/>
    </xf>
    <xf numFmtId="0" fontId="130" fillId="19" borderId="1" xfId="9" applyFont="1" applyFill="1" applyAlignment="1">
      <alignment horizontal="left" wrapText="1" indent="1"/>
    </xf>
    <xf numFmtId="14" fontId="154" fillId="21" borderId="10" xfId="45" applyNumberFormat="1" applyFont="1" applyFill="1" applyBorder="1" applyAlignment="1">
      <alignment horizontal="left" vertical="center"/>
    </xf>
    <xf numFmtId="0" fontId="167" fillId="21" borderId="10" xfId="9" applyFont="1" applyFill="1" applyBorder="1" applyAlignment="1">
      <alignment wrapText="1"/>
    </xf>
    <xf numFmtId="0" fontId="154" fillId="21" borderId="10" xfId="0" applyFont="1" applyFill="1" applyBorder="1" applyAlignment="1">
      <alignment horizontal="center" vertical="center"/>
    </xf>
    <xf numFmtId="172" fontId="154" fillId="21" borderId="10" xfId="0" applyNumberFormat="1" applyFont="1" applyFill="1" applyBorder="1" applyAlignment="1">
      <alignment horizontal="right" vertical="center"/>
    </xf>
    <xf numFmtId="172" fontId="202" fillId="21" borderId="10" xfId="0" applyNumberFormat="1" applyFont="1" applyFill="1" applyBorder="1" applyAlignment="1">
      <alignment horizontal="right" vertical="center"/>
    </xf>
    <xf numFmtId="172" fontId="148" fillId="21" borderId="10" xfId="45" applyNumberFormat="1" applyFill="1" applyBorder="1"/>
    <xf numFmtId="44" fontId="202" fillId="21" borderId="10" xfId="47" applyFont="1" applyFill="1" applyBorder="1" applyAlignment="1">
      <alignment horizontal="right" vertical="center"/>
    </xf>
    <xf numFmtId="44" fontId="167" fillId="21" borderId="10" xfId="45" applyNumberFormat="1" applyFont="1" applyFill="1" applyBorder="1"/>
    <xf numFmtId="44" fontId="148" fillId="21" borderId="10" xfId="45" applyNumberFormat="1" applyFill="1" applyBorder="1"/>
    <xf numFmtId="0" fontId="148" fillId="21" borderId="10" xfId="45" applyFill="1" applyBorder="1"/>
    <xf numFmtId="0" fontId="128" fillId="0" borderId="1" xfId="9" applyFont="1" applyAlignment="1" applyProtection="1">
      <alignment horizontal="center"/>
      <protection locked="0"/>
    </xf>
    <xf numFmtId="0" fontId="127" fillId="19" borderId="1" xfId="9" applyFont="1" applyFill="1" applyAlignment="1">
      <alignment horizontal="left" wrapText="1" indent="1"/>
    </xf>
    <xf numFmtId="174" fontId="149" fillId="0" borderId="1" xfId="8" applyNumberFormat="1" applyFont="1" applyFill="1" applyBorder="1"/>
    <xf numFmtId="0" fontId="129" fillId="0" borderId="1" xfId="9" applyFont="1" applyAlignment="1">
      <alignment horizontal="left" wrapText="1" indent="1"/>
    </xf>
    <xf numFmtId="0" fontId="126" fillId="19" borderId="1" xfId="9" applyFont="1" applyFill="1" applyAlignment="1">
      <alignment horizontal="left" wrapText="1" indent="1"/>
    </xf>
    <xf numFmtId="0" fontId="125" fillId="0" borderId="1" xfId="9" applyFont="1" applyAlignment="1">
      <alignment horizontal="left" wrapText="1" indent="1"/>
    </xf>
    <xf numFmtId="0" fontId="124" fillId="0" borderId="1" xfId="9" applyFont="1" applyAlignment="1">
      <alignment horizontal="left" wrapText="1" indent="1"/>
    </xf>
    <xf numFmtId="0" fontId="123" fillId="0" borderId="1" xfId="9" applyFont="1" applyAlignment="1">
      <alignment horizontal="left" wrapText="1" indent="1"/>
    </xf>
    <xf numFmtId="0" fontId="123" fillId="19" borderId="1" xfId="9" applyFont="1" applyFill="1" applyAlignment="1">
      <alignment horizontal="left" wrapText="1" indent="1"/>
    </xf>
    <xf numFmtId="0" fontId="122" fillId="0" borderId="1" xfId="9" applyFont="1" applyAlignment="1">
      <alignment horizontal="left" wrapText="1" indent="1"/>
    </xf>
    <xf numFmtId="14" fontId="122" fillId="0" borderId="1" xfId="9" applyNumberFormat="1" applyFont="1" applyAlignment="1" applyProtection="1">
      <protection locked="0"/>
    </xf>
    <xf numFmtId="0" fontId="122" fillId="0" borderId="10" xfId="45" applyFont="1" applyBorder="1"/>
    <xf numFmtId="0" fontId="121" fillId="0" borderId="1" xfId="9" applyFont="1" applyAlignment="1">
      <alignment horizontal="left" wrapText="1" indent="1"/>
    </xf>
    <xf numFmtId="0" fontId="120" fillId="0" borderId="1" xfId="9" applyFont="1" applyAlignment="1">
      <alignment horizontal="left" wrapText="1" indent="1"/>
    </xf>
    <xf numFmtId="0" fontId="119" fillId="0" borderId="1" xfId="9" applyFont="1" applyAlignment="1">
      <alignment horizontal="left" wrapText="1" indent="1"/>
    </xf>
    <xf numFmtId="0" fontId="118" fillId="19" borderId="1" xfId="9" applyFont="1" applyFill="1" applyAlignment="1">
      <alignment horizontal="left" wrapText="1" indent="1"/>
    </xf>
    <xf numFmtId="0" fontId="118" fillId="0" borderId="1" xfId="9" applyFont="1" applyAlignment="1">
      <alignment horizontal="left" wrapText="1" indent="1"/>
    </xf>
    <xf numFmtId="0" fontId="118" fillId="0" borderId="1" xfId="9" applyFont="1" applyAlignment="1" applyProtection="1">
      <alignment horizontal="center" wrapText="1"/>
      <protection locked="0"/>
    </xf>
    <xf numFmtId="0" fontId="118" fillId="0" borderId="1" xfId="9" applyFont="1" applyAlignment="1" applyProtection="1">
      <alignment horizontal="center"/>
      <protection locked="0"/>
    </xf>
    <xf numFmtId="175" fontId="118" fillId="0" borderId="1" xfId="44" applyNumberFormat="1" applyFont="1" applyAlignment="1">
      <alignment horizontal="right"/>
    </xf>
    <xf numFmtId="0" fontId="117" fillId="0" borderId="1" xfId="9" applyFont="1" applyAlignment="1">
      <alignment horizontal="left" wrapText="1" indent="1"/>
    </xf>
    <xf numFmtId="0" fontId="121" fillId="19" borderId="1" xfId="9" applyFont="1" applyFill="1" applyAlignment="1">
      <alignment horizontal="left" wrapText="1" indent="1"/>
    </xf>
    <xf numFmtId="14" fontId="116" fillId="0" borderId="1" xfId="9" applyNumberFormat="1" applyFont="1" applyAlignment="1" applyProtection="1">
      <protection locked="0"/>
    </xf>
    <xf numFmtId="0" fontId="116" fillId="19" borderId="1" xfId="9" applyFont="1" applyFill="1" applyAlignment="1">
      <alignment horizontal="left" wrapText="1" indent="1"/>
    </xf>
    <xf numFmtId="164" fontId="116" fillId="19" borderId="1" xfId="8" applyFont="1" applyFill="1" applyBorder="1" applyAlignment="1" applyProtection="1">
      <alignment vertical="top"/>
    </xf>
    <xf numFmtId="10" fontId="148" fillId="0" borderId="1" xfId="4" applyNumberFormat="1" applyFont="1" applyBorder="1"/>
    <xf numFmtId="0" fontId="167" fillId="16" borderId="1" xfId="9" applyFont="1" applyFill="1" applyAlignment="1">
      <alignment horizontal="left" wrapText="1" indent="1"/>
    </xf>
    <xf numFmtId="0" fontId="115" fillId="0" borderId="1" xfId="9" applyFont="1" applyAlignment="1">
      <alignment horizontal="left" wrapText="1" indent="1"/>
    </xf>
    <xf numFmtId="0" fontId="114" fillId="0" borderId="1" xfId="9" applyFont="1" applyAlignment="1" applyProtection="1">
      <alignment horizontal="center"/>
      <protection locked="0"/>
    </xf>
    <xf numFmtId="0" fontId="113" fillId="0" borderId="1" xfId="9" applyFont="1" applyAlignment="1">
      <alignment horizontal="left" wrapText="1" indent="1"/>
    </xf>
    <xf numFmtId="44" fontId="112" fillId="0" borderId="10" xfId="45" applyNumberFormat="1" applyFont="1" applyBorder="1"/>
    <xf numFmtId="0" fontId="112" fillId="0" borderId="10" xfId="45" applyFont="1" applyBorder="1"/>
    <xf numFmtId="0" fontId="112" fillId="19" borderId="1" xfId="9" applyFont="1" applyFill="1" applyAlignment="1">
      <alignment horizontal="left" wrapText="1" indent="1"/>
    </xf>
    <xf numFmtId="0" fontId="112" fillId="0" borderId="1" xfId="9" applyFont="1" applyAlignment="1">
      <alignment horizontal="left" wrapText="1" indent="1"/>
    </xf>
    <xf numFmtId="164" fontId="112" fillId="0" borderId="1" xfId="8" applyFont="1" applyFill="1" applyBorder="1" applyAlignment="1" applyProtection="1">
      <alignment vertical="top"/>
    </xf>
    <xf numFmtId="0" fontId="111" fillId="0" borderId="1" xfId="9" applyFont="1" applyAlignment="1">
      <alignment horizontal="left" wrapText="1" indent="1"/>
    </xf>
    <xf numFmtId="0" fontId="110" fillId="0" borderId="1" xfId="9" applyFont="1" applyAlignment="1">
      <alignment horizontal="left" wrapText="1" indent="1"/>
    </xf>
    <xf numFmtId="164" fontId="109" fillId="0" borderId="1" xfId="8" applyFont="1" applyFill="1" applyBorder="1" applyAlignment="1" applyProtection="1">
      <alignment vertical="top"/>
    </xf>
    <xf numFmtId="0" fontId="108" fillId="0" borderId="1" xfId="9" applyFont="1" applyAlignment="1">
      <alignment horizontal="left" wrapText="1" indent="1"/>
    </xf>
    <xf numFmtId="0" fontId="107" fillId="19" borderId="1" xfId="9" applyFont="1" applyFill="1" applyAlignment="1">
      <alignment horizontal="left" wrapText="1" indent="1"/>
    </xf>
    <xf numFmtId="0" fontId="106" fillId="0" borderId="1" xfId="9" applyFont="1" applyAlignment="1">
      <alignment horizontal="left" wrapText="1" indent="1"/>
    </xf>
    <xf numFmtId="0" fontId="105" fillId="0" borderId="1" xfId="9" applyFont="1" applyAlignment="1" applyProtection="1">
      <alignment horizontal="center"/>
      <protection locked="0"/>
    </xf>
    <xf numFmtId="0" fontId="104" fillId="0" borderId="1" xfId="9" applyFont="1" applyAlignment="1">
      <alignment horizontal="left" wrapText="1" indent="1"/>
    </xf>
    <xf numFmtId="0" fontId="102" fillId="19" borderId="1" xfId="9" applyFont="1" applyFill="1" applyAlignment="1">
      <alignment horizontal="left" wrapText="1" indent="1"/>
    </xf>
    <xf numFmtId="0" fontId="118" fillId="0" borderId="1" xfId="44" applyFont="1" applyAlignment="1">
      <alignment horizontal="right"/>
    </xf>
    <xf numFmtId="0" fontId="103" fillId="0" borderId="1" xfId="44" applyFont="1" applyAlignment="1">
      <alignment horizontal="right"/>
    </xf>
    <xf numFmtId="14" fontId="118" fillId="0" borderId="1" xfId="44" applyNumberFormat="1" applyFont="1" applyAlignment="1">
      <alignment horizontal="right" wrapText="1"/>
    </xf>
    <xf numFmtId="0" fontId="118" fillId="0" borderId="1" xfId="44" applyFont="1" applyAlignment="1">
      <alignment horizontal="right" wrapText="1"/>
    </xf>
    <xf numFmtId="0" fontId="101" fillId="0" borderId="1" xfId="9" applyFont="1" applyAlignment="1">
      <alignment horizontal="left" wrapText="1" indent="1"/>
    </xf>
    <xf numFmtId="178" fontId="197" fillId="19" borderId="0" xfId="38" applyNumberFormat="1" applyFont="1" applyFill="1" applyAlignment="1">
      <alignment horizontal="left" vertical="center"/>
    </xf>
    <xf numFmtId="0" fontId="114" fillId="19" borderId="1" xfId="9" applyFont="1" applyFill="1" applyAlignment="1">
      <alignment horizontal="left" wrapText="1" indent="1"/>
    </xf>
    <xf numFmtId="178" fontId="176" fillId="19" borderId="0" xfId="0" applyNumberFormat="1" applyFont="1" applyFill="1"/>
    <xf numFmtId="0" fontId="100" fillId="0" borderId="1" xfId="9" applyFont="1" applyAlignment="1">
      <alignment horizontal="left" wrapText="1" indent="1"/>
    </xf>
    <xf numFmtId="164" fontId="100" fillId="0" borderId="1" xfId="8" applyFont="1" applyFill="1" applyBorder="1" applyAlignment="1" applyProtection="1">
      <alignment vertical="top"/>
    </xf>
    <xf numFmtId="0" fontId="179" fillId="0" borderId="1" xfId="0" applyFont="1" applyBorder="1" applyAlignment="1">
      <alignment vertical="center"/>
    </xf>
    <xf numFmtId="49" fontId="158" fillId="0" borderId="1" xfId="0" applyNumberFormat="1" applyFont="1" applyBorder="1" applyAlignment="1">
      <alignment horizontal="right"/>
    </xf>
    <xf numFmtId="0" fontId="99" fillId="0" borderId="1" xfId="9" applyFont="1" applyAlignment="1">
      <alignment horizontal="left" wrapText="1" indent="1"/>
    </xf>
    <xf numFmtId="0" fontId="97" fillId="0" borderId="1" xfId="9" applyFont="1" applyAlignment="1">
      <alignment horizontal="left" wrapText="1" indent="1"/>
    </xf>
    <xf numFmtId="49" fontId="96" fillId="0" borderId="1" xfId="9" applyNumberFormat="1" applyFont="1" applyAlignment="1" applyProtection="1">
      <alignment horizontal="center"/>
      <protection locked="0"/>
    </xf>
    <xf numFmtId="0" fontId="96" fillId="0" borderId="1" xfId="9" applyFont="1" applyAlignment="1" applyProtection="1">
      <alignment horizontal="center"/>
      <protection locked="0"/>
    </xf>
    <xf numFmtId="0" fontId="98" fillId="0" borderId="1" xfId="9" applyFont="1" applyAlignment="1">
      <alignment horizontal="left" wrapText="1" indent="1"/>
    </xf>
    <xf numFmtId="164" fontId="95" fillId="0" borderId="1" xfId="8" applyFont="1" applyFill="1" applyBorder="1" applyAlignment="1" applyProtection="1">
      <alignment vertical="top"/>
    </xf>
    <xf numFmtId="14" fontId="95" fillId="0" borderId="1" xfId="9" applyNumberFormat="1" applyFont="1" applyAlignment="1" applyProtection="1">
      <protection locked="0"/>
    </xf>
    <xf numFmtId="0" fontId="95" fillId="0" borderId="1" xfId="9" applyFont="1" applyAlignment="1">
      <alignment horizontal="left" wrapText="1" indent="1"/>
    </xf>
    <xf numFmtId="0" fontId="94" fillId="19" borderId="1" xfId="9" applyFont="1" applyFill="1" applyAlignment="1">
      <alignment horizontal="left" wrapText="1" indent="1"/>
    </xf>
    <xf numFmtId="0" fontId="92" fillId="0" borderId="1" xfId="9" applyFont="1" applyAlignment="1">
      <alignment horizontal="left" wrapText="1" indent="1"/>
    </xf>
    <xf numFmtId="0" fontId="91" fillId="0" borderId="1" xfId="9" applyFont="1" applyAlignment="1">
      <alignment horizontal="left" wrapText="1" indent="1"/>
    </xf>
    <xf numFmtId="14" fontId="90" fillId="0" borderId="1" xfId="9" applyNumberFormat="1" applyFont="1" applyAlignment="1" applyProtection="1">
      <protection locked="0"/>
    </xf>
    <xf numFmtId="0" fontId="89" fillId="19" borderId="1" xfId="9" applyFont="1" applyFill="1" applyAlignment="1">
      <alignment horizontal="left" wrapText="1" indent="1"/>
    </xf>
    <xf numFmtId="164" fontId="89" fillId="19" borderId="1" xfId="8" applyFont="1" applyFill="1" applyBorder="1" applyAlignment="1" applyProtection="1">
      <alignment vertical="top"/>
    </xf>
    <xf numFmtId="49" fontId="88" fillId="0" borderId="1" xfId="9" applyNumberFormat="1" applyFont="1" applyAlignment="1" applyProtection="1">
      <alignment horizontal="center"/>
      <protection locked="0"/>
    </xf>
    <xf numFmtId="0" fontId="88" fillId="0" borderId="1" xfId="9" applyFont="1" applyAlignment="1">
      <alignment horizontal="left" wrapText="1" indent="1"/>
    </xf>
    <xf numFmtId="0" fontId="87" fillId="0" borderId="1" xfId="9" applyFont="1" applyAlignment="1">
      <alignment horizontal="left" wrapText="1" indent="1"/>
    </xf>
    <xf numFmtId="0" fontId="85" fillId="0" borderId="1" xfId="9" applyFont="1" applyAlignment="1">
      <alignment horizontal="left" wrapText="1" indent="1"/>
    </xf>
    <xf numFmtId="0" fontId="84" fillId="19" borderId="1" xfId="9" applyFont="1" applyFill="1" applyAlignment="1">
      <alignment horizontal="left" wrapText="1" indent="1"/>
    </xf>
    <xf numFmtId="0" fontId="100" fillId="19" borderId="1" xfId="9" applyFont="1" applyFill="1" applyAlignment="1">
      <alignment horizontal="left" wrapText="1" indent="1"/>
    </xf>
    <xf numFmtId="0" fontId="83" fillId="0" borderId="1" xfId="9" applyFont="1" applyAlignment="1">
      <alignment horizontal="left" wrapText="1" indent="1"/>
    </xf>
    <xf numFmtId="164" fontId="83" fillId="0" borderId="1" xfId="8" applyFont="1" applyFill="1" applyBorder="1" applyAlignment="1" applyProtection="1">
      <alignment vertical="top"/>
    </xf>
    <xf numFmtId="0" fontId="82" fillId="0" borderId="1" xfId="9" applyFont="1" applyAlignment="1">
      <alignment horizontal="left" wrapText="1" indent="1"/>
    </xf>
    <xf numFmtId="0" fontId="81" fillId="0" borderId="1" xfId="9" applyFont="1" applyAlignment="1" applyProtection="1">
      <alignment horizontal="center" wrapText="1"/>
      <protection locked="0"/>
    </xf>
    <xf numFmtId="164" fontId="81" fillId="0" borderId="1" xfId="8" applyFont="1" applyFill="1" applyBorder="1" applyAlignment="1" applyProtection="1">
      <alignment vertical="top"/>
    </xf>
    <xf numFmtId="0" fontId="80" fillId="0" borderId="1" xfId="9" applyFont="1" applyAlignment="1" applyProtection="1">
      <alignment horizontal="center"/>
      <protection locked="0"/>
    </xf>
    <xf numFmtId="0" fontId="83" fillId="19" borderId="1" xfId="9" applyFont="1" applyFill="1" applyAlignment="1">
      <alignment horizontal="left" wrapText="1" indent="1"/>
    </xf>
    <xf numFmtId="0" fontId="79" fillId="0" borderId="1" xfId="9" applyFont="1" applyAlignment="1">
      <alignment horizontal="left" wrapText="1" indent="1"/>
    </xf>
    <xf numFmtId="178" fontId="167" fillId="0" borderId="0" xfId="0" applyNumberFormat="1" applyFont="1" applyAlignment="1">
      <alignment horizontal="right"/>
    </xf>
    <xf numFmtId="0" fontId="78" fillId="0" borderId="1" xfId="9" applyFont="1" applyAlignment="1">
      <alignment horizontal="left" wrapText="1" indent="1"/>
    </xf>
    <xf numFmtId="0" fontId="77" fillId="0" borderId="1" xfId="9" applyFont="1" applyAlignment="1">
      <alignment horizontal="left" wrapText="1" indent="1"/>
    </xf>
    <xf numFmtId="0" fontId="76" fillId="19" borderId="1" xfId="9" applyFont="1" applyFill="1" applyAlignment="1">
      <alignment horizontal="left" wrapText="1" indent="1"/>
    </xf>
    <xf numFmtId="0" fontId="74" fillId="0" borderId="1" xfId="9" applyFont="1" applyAlignment="1">
      <alignment horizontal="left" wrapText="1" indent="1"/>
    </xf>
    <xf numFmtId="164" fontId="74" fillId="0" borderId="1" xfId="8" applyFont="1" applyFill="1" applyBorder="1" applyAlignment="1" applyProtection="1">
      <alignment vertical="top"/>
    </xf>
    <xf numFmtId="0" fontId="75" fillId="19" borderId="1" xfId="9" applyFont="1" applyFill="1" applyAlignment="1">
      <alignment horizontal="left" wrapText="1" indent="1"/>
    </xf>
    <xf numFmtId="0" fontId="74" fillId="19" borderId="1" xfId="9" applyFont="1" applyFill="1" applyAlignment="1">
      <alignment horizontal="left" wrapText="1" indent="1"/>
    </xf>
    <xf numFmtId="175" fontId="74" fillId="0" borderId="1" xfId="44" applyNumberFormat="1" applyFont="1" applyAlignment="1">
      <alignment horizontal="right"/>
    </xf>
    <xf numFmtId="0" fontId="73" fillId="19" borderId="1" xfId="9" applyFont="1" applyFill="1" applyAlignment="1">
      <alignment horizontal="left" wrapText="1" indent="1"/>
    </xf>
    <xf numFmtId="0" fontId="0" fillId="0" borderId="0" xfId="0" applyAlignment="1">
      <alignment horizontal="center"/>
    </xf>
    <xf numFmtId="0" fontId="72" fillId="0" borderId="1" xfId="9" applyFont="1" applyAlignment="1">
      <alignment horizontal="left" wrapText="1" indent="1"/>
    </xf>
    <xf numFmtId="0" fontId="113" fillId="19" borderId="1" xfId="9" applyFont="1" applyFill="1" applyAlignment="1">
      <alignment horizontal="left" wrapText="1" indent="1"/>
    </xf>
    <xf numFmtId="0" fontId="71" fillId="19" borderId="1" xfId="9" applyFont="1" applyFill="1" applyAlignment="1">
      <alignment horizontal="left" wrapText="1" indent="1"/>
    </xf>
    <xf numFmtId="0" fontId="71" fillId="0" borderId="10" xfId="45" applyFont="1" applyBorder="1"/>
    <xf numFmtId="44" fontId="202" fillId="0" borderId="1" xfId="47" applyFont="1" applyFill="1" applyBorder="1" applyAlignment="1">
      <alignment horizontal="right" vertical="center"/>
    </xf>
    <xf numFmtId="9" fontId="148" fillId="0" borderId="1" xfId="4" applyFont="1" applyFill="1" applyBorder="1"/>
    <xf numFmtId="14" fontId="154" fillId="0" borderId="55" xfId="45" applyNumberFormat="1" applyFont="1" applyBorder="1" applyAlignment="1">
      <alignment horizontal="left" vertical="center"/>
    </xf>
    <xf numFmtId="171" fontId="190" fillId="0" borderId="55" xfId="46" applyNumberFormat="1" applyFont="1" applyFill="1" applyBorder="1" applyAlignment="1">
      <alignment horizontal="center" vertical="center"/>
    </xf>
    <xf numFmtId="172" fontId="148" fillId="0" borderId="55" xfId="45" applyNumberFormat="1" applyBorder="1"/>
    <xf numFmtId="44" fontId="154" fillId="0" borderId="55" xfId="47" applyFont="1" applyFill="1" applyBorder="1" applyAlignment="1">
      <alignment horizontal="right" vertical="center"/>
    </xf>
    <xf numFmtId="44" fontId="167" fillId="0" borderId="55" xfId="45" applyNumberFormat="1" applyFont="1" applyBorder="1"/>
    <xf numFmtId="0" fontId="206" fillId="12" borderId="13" xfId="45" applyFont="1" applyFill="1" applyBorder="1"/>
    <xf numFmtId="0" fontId="70" fillId="0" borderId="1" xfId="9" applyFont="1" applyAlignment="1" applyProtection="1">
      <alignment horizontal="center"/>
      <protection locked="0"/>
    </xf>
    <xf numFmtId="0" fontId="69" fillId="0" borderId="1" xfId="9" applyFont="1" applyAlignment="1" applyProtection="1">
      <alignment horizontal="center"/>
      <protection locked="0"/>
    </xf>
    <xf numFmtId="0" fontId="69" fillId="19" borderId="1" xfId="9" applyFont="1" applyFill="1" applyAlignment="1">
      <alignment horizontal="left" wrapText="1" indent="1"/>
    </xf>
    <xf numFmtId="0" fontId="68" fillId="0" borderId="1" xfId="9" applyFont="1" applyAlignment="1" applyProtection="1">
      <alignment horizontal="center"/>
      <protection locked="0"/>
    </xf>
    <xf numFmtId="0" fontId="67" fillId="0" borderId="1" xfId="9" applyFont="1" applyAlignment="1">
      <alignment horizontal="left" wrapText="1" indent="1"/>
    </xf>
    <xf numFmtId="0" fontId="66" fillId="0" borderId="1" xfId="9" applyFont="1" applyAlignment="1">
      <alignment horizontal="left" wrapText="1" indent="1"/>
    </xf>
    <xf numFmtId="0" fontId="66" fillId="19" borderId="1" xfId="9" applyFont="1" applyFill="1" applyAlignment="1">
      <alignment horizontal="left" wrapText="1" indent="1"/>
    </xf>
    <xf numFmtId="0" fontId="65" fillId="0" borderId="1" xfId="9" applyFont="1" applyAlignment="1">
      <alignment horizontal="left" wrapText="1" indent="1"/>
    </xf>
    <xf numFmtId="0" fontId="64" fillId="0" borderId="1" xfId="9" applyFont="1" applyAlignment="1">
      <alignment horizontal="left" wrapText="1" indent="1"/>
    </xf>
    <xf numFmtId="0" fontId="72" fillId="21" borderId="1" xfId="44" applyFont="1" applyFill="1" applyAlignment="1">
      <alignment horizontal="right" wrapText="1"/>
    </xf>
    <xf numFmtId="14" fontId="86" fillId="21" borderId="1" xfId="44" applyNumberFormat="1" applyFont="1" applyFill="1" applyAlignment="1">
      <alignment horizontal="right" wrapText="1"/>
    </xf>
    <xf numFmtId="0" fontId="93" fillId="21" borderId="1" xfId="44" applyFont="1" applyFill="1" applyAlignment="1">
      <alignment horizontal="right"/>
    </xf>
    <xf numFmtId="0" fontId="167" fillId="21" borderId="1" xfId="44" applyFont="1" applyFill="1" applyAlignment="1">
      <alignment horizontal="right"/>
    </xf>
    <xf numFmtId="0" fontId="89" fillId="21" borderId="1" xfId="44" applyFont="1" applyFill="1" applyAlignment="1">
      <alignment horizontal="right"/>
    </xf>
    <xf numFmtId="0" fontId="63" fillId="19" borderId="1" xfId="9" applyFont="1" applyFill="1" applyAlignment="1">
      <alignment horizontal="left" wrapText="1" indent="1"/>
    </xf>
    <xf numFmtId="0" fontId="62" fillId="19" borderId="1" xfId="9" applyFont="1" applyFill="1" applyAlignment="1">
      <alignment horizontal="left" wrapText="1" indent="1"/>
    </xf>
    <xf numFmtId="164" fontId="62" fillId="0" borderId="1" xfId="8" applyFont="1" applyFill="1" applyBorder="1" applyAlignment="1" applyProtection="1">
      <alignment vertical="top"/>
    </xf>
    <xf numFmtId="0" fontId="62" fillId="0" borderId="1" xfId="9" applyFont="1" applyAlignment="1">
      <alignment horizontal="left" wrapText="1" indent="1"/>
    </xf>
    <xf numFmtId="178" fontId="154" fillId="0" borderId="0" xfId="38" applyNumberFormat="1" applyFont="1" applyFill="1" applyAlignment="1">
      <alignment horizontal="left" vertical="center"/>
    </xf>
    <xf numFmtId="49" fontId="62" fillId="0" borderId="1" xfId="9" applyNumberFormat="1" applyFont="1" applyAlignment="1" applyProtection="1">
      <alignment horizontal="center"/>
      <protection locked="0"/>
    </xf>
    <xf numFmtId="0" fontId="167" fillId="0" borderId="55" xfId="9" applyFont="1" applyBorder="1" applyAlignment="1">
      <alignment wrapText="1"/>
    </xf>
    <xf numFmtId="14" fontId="140" fillId="0" borderId="55" xfId="7" applyNumberFormat="1" applyFont="1" applyBorder="1"/>
    <xf numFmtId="14" fontId="167" fillId="0" borderId="55" xfId="9" applyNumberFormat="1" applyFont="1" applyBorder="1" applyAlignment="1" applyProtection="1">
      <protection locked="0"/>
    </xf>
    <xf numFmtId="0" fontId="187" fillId="0" borderId="55" xfId="0" applyFont="1" applyBorder="1" applyAlignment="1">
      <alignment wrapText="1"/>
    </xf>
    <xf numFmtId="14" fontId="167" fillId="0" borderId="35" xfId="9" applyNumberFormat="1" applyFont="1" applyBorder="1" applyAlignment="1" applyProtection="1">
      <protection locked="0"/>
    </xf>
    <xf numFmtId="0" fontId="62" fillId="0" borderId="1" xfId="9" applyFont="1" applyAlignment="1">
      <alignment horizontal="left" wrapText="1"/>
    </xf>
    <xf numFmtId="0" fontId="219" fillId="23" borderId="0" xfId="0" applyFont="1" applyFill="1"/>
    <xf numFmtId="164" fontId="219" fillId="23" borderId="0" xfId="0" applyNumberFormat="1" applyFont="1" applyFill="1"/>
    <xf numFmtId="49" fontId="61" fillId="0" borderId="1" xfId="9" applyNumberFormat="1" applyFont="1" applyAlignment="1" applyProtection="1">
      <alignment horizontal="center"/>
      <protection locked="0"/>
    </xf>
    <xf numFmtId="0" fontId="60" fillId="0" borderId="1" xfId="9" applyFont="1" applyAlignment="1">
      <alignment horizontal="left" wrapText="1" indent="1"/>
    </xf>
    <xf numFmtId="164" fontId="221" fillId="0" borderId="0" xfId="0" applyNumberFormat="1" applyFont="1"/>
    <xf numFmtId="0" fontId="59" fillId="19" borderId="1" xfId="9" applyFont="1" applyFill="1" applyAlignment="1">
      <alignment horizontal="left" wrapText="1" indent="1"/>
    </xf>
    <xf numFmtId="0" fontId="58" fillId="0" borderId="1" xfId="9" applyFont="1" applyAlignment="1">
      <alignment horizontal="left" wrapText="1" indent="1"/>
    </xf>
    <xf numFmtId="164" fontId="222" fillId="0" borderId="1" xfId="8" applyFont="1" applyFill="1" applyBorder="1" applyAlignment="1">
      <alignment horizontal="center"/>
    </xf>
    <xf numFmtId="0" fontId="56" fillId="0" borderId="1" xfId="44" applyFont="1"/>
    <xf numFmtId="0" fontId="56" fillId="0" borderId="1" xfId="44" applyFont="1" applyAlignment="1">
      <alignment horizontal="right"/>
    </xf>
    <xf numFmtId="164" fontId="56" fillId="0" borderId="1" xfId="44" applyNumberFormat="1" applyFont="1"/>
    <xf numFmtId="0" fontId="178" fillId="0" borderId="1" xfId="44" applyFont="1"/>
    <xf numFmtId="9" fontId="56" fillId="0" borderId="1" xfId="44" applyNumberFormat="1" applyFont="1" applyAlignment="1">
      <alignment horizontal="right"/>
    </xf>
    <xf numFmtId="181" fontId="56" fillId="0" borderId="1" xfId="44" applyNumberFormat="1" applyFont="1" applyAlignment="1">
      <alignment horizontal="right"/>
    </xf>
    <xf numFmtId="164" fontId="178" fillId="0" borderId="1" xfId="8" applyFont="1" applyFill="1" applyBorder="1" applyAlignment="1">
      <alignment horizontal="center"/>
    </xf>
    <xf numFmtId="182" fontId="149" fillId="0" borderId="1" xfId="44" applyNumberFormat="1"/>
    <xf numFmtId="0" fontId="178" fillId="0" borderId="1" xfId="44" applyFont="1" applyAlignment="1">
      <alignment horizontal="center"/>
    </xf>
    <xf numFmtId="0" fontId="56" fillId="0" borderId="1" xfId="44" applyFont="1" applyAlignment="1">
      <alignment horizontal="center"/>
    </xf>
    <xf numFmtId="0" fontId="57" fillId="0" borderId="1" xfId="44" applyFont="1" applyAlignment="1">
      <alignment horizontal="center"/>
    </xf>
    <xf numFmtId="164" fontId="55" fillId="0" borderId="1" xfId="44" applyNumberFormat="1" applyFont="1"/>
    <xf numFmtId="0" fontId="53" fillId="0" borderId="10" xfId="45" applyFont="1" applyBorder="1"/>
    <xf numFmtId="0" fontId="148" fillId="0" borderId="54" xfId="45" applyBorder="1"/>
    <xf numFmtId="0" fontId="154" fillId="0" borderId="55" xfId="45" applyFont="1" applyBorder="1" applyAlignment="1">
      <alignment horizontal="center" vertical="center"/>
    </xf>
    <xf numFmtId="172" fontId="154" fillId="0" borderId="55" xfId="45" applyNumberFormat="1" applyFont="1" applyBorder="1" applyAlignment="1">
      <alignment horizontal="right" vertical="center"/>
    </xf>
    <xf numFmtId="44" fontId="148" fillId="0" borderId="55" xfId="45" applyNumberFormat="1" applyBorder="1"/>
    <xf numFmtId="0" fontId="148" fillId="0" borderId="55" xfId="45" applyBorder="1"/>
    <xf numFmtId="0" fontId="148" fillId="20" borderId="55" xfId="45" applyFill="1" applyBorder="1"/>
    <xf numFmtId="14" fontId="148" fillId="0" borderId="55" xfId="45" applyNumberFormat="1" applyBorder="1"/>
    <xf numFmtId="0" fontId="140" fillId="0" borderId="55" xfId="45" applyFont="1" applyBorder="1"/>
    <xf numFmtId="44" fontId="148" fillId="14" borderId="55" xfId="45" applyNumberFormat="1" applyFill="1" applyBorder="1"/>
    <xf numFmtId="44" fontId="167" fillId="14" borderId="56" xfId="45" applyNumberFormat="1" applyFont="1" applyFill="1" applyBorder="1"/>
    <xf numFmtId="0" fontId="53" fillId="19" borderId="1" xfId="9" applyFont="1" applyFill="1" applyAlignment="1">
      <alignment horizontal="left" wrapText="1" indent="1"/>
    </xf>
    <xf numFmtId="178" fontId="167" fillId="19" borderId="0" xfId="0" applyNumberFormat="1" applyFont="1" applyFill="1" applyAlignment="1">
      <alignment horizontal="right"/>
    </xf>
    <xf numFmtId="164" fontId="112" fillId="19" borderId="1" xfId="8" applyFont="1" applyFill="1" applyBorder="1" applyAlignment="1" applyProtection="1">
      <alignment vertical="top"/>
    </xf>
    <xf numFmtId="164" fontId="83" fillId="19" borderId="1" xfId="8" applyFont="1" applyFill="1" applyBorder="1" applyAlignment="1" applyProtection="1">
      <alignment vertical="top"/>
    </xf>
    <xf numFmtId="166" fontId="169" fillId="0" borderId="9" xfId="38" applyFont="1" applyBorder="1"/>
    <xf numFmtId="164" fontId="53" fillId="0" borderId="1" xfId="8" applyFont="1" applyFill="1" applyBorder="1" applyAlignment="1" applyProtection="1">
      <alignment vertical="top"/>
    </xf>
    <xf numFmtId="0" fontId="52" fillId="0" borderId="1" xfId="9" applyFont="1" applyAlignment="1">
      <alignment horizontal="left" wrapText="1" indent="1"/>
    </xf>
    <xf numFmtId="0" fontId="206" fillId="20" borderId="13" xfId="45" applyFont="1" applyFill="1" applyBorder="1"/>
    <xf numFmtId="164" fontId="53" fillId="19" borderId="1" xfId="8" applyFont="1" applyFill="1" applyBorder="1" applyAlignment="1" applyProtection="1">
      <alignment vertical="top"/>
    </xf>
    <xf numFmtId="0" fontId="51" fillId="0" borderId="1" xfId="9" applyFont="1" applyAlignment="1">
      <alignment horizontal="left" wrapText="1" indent="1"/>
    </xf>
    <xf numFmtId="0" fontId="50" fillId="0" borderId="1" xfId="9" applyFont="1" applyAlignment="1">
      <alignment horizontal="left" wrapText="1" indent="1"/>
    </xf>
    <xf numFmtId="0" fontId="148" fillId="0" borderId="34" xfId="45" applyBorder="1" applyAlignment="1">
      <alignment vertical="center"/>
    </xf>
    <xf numFmtId="0" fontId="167" fillId="0" borderId="35" xfId="9" applyFont="1" applyBorder="1" applyAlignment="1">
      <alignment wrapText="1"/>
    </xf>
    <xf numFmtId="0" fontId="154" fillId="0" borderId="35" xfId="0" applyFont="1" applyBorder="1" applyAlignment="1">
      <alignment horizontal="center" vertical="center"/>
    </xf>
    <xf numFmtId="2" fontId="154" fillId="0" borderId="35" xfId="45" applyNumberFormat="1" applyFont="1" applyBorder="1" applyAlignment="1">
      <alignment horizontal="left" vertical="center"/>
    </xf>
    <xf numFmtId="171" fontId="190" fillId="0" borderId="35" xfId="46" applyNumberFormat="1" applyFont="1" applyFill="1" applyBorder="1" applyAlignment="1">
      <alignment horizontal="center" vertical="center"/>
    </xf>
    <xf numFmtId="172" fontId="202" fillId="0" borderId="35" xfId="0" applyNumberFormat="1" applyFont="1" applyBorder="1" applyAlignment="1">
      <alignment horizontal="right" vertical="center"/>
    </xf>
    <xf numFmtId="0" fontId="167" fillId="0" borderId="35" xfId="45" applyFont="1" applyBorder="1"/>
    <xf numFmtId="0" fontId="206" fillId="12" borderId="36" xfId="45" applyFont="1" applyFill="1" applyBorder="1"/>
    <xf numFmtId="0" fontId="50" fillId="0" borderId="10" xfId="45" applyFont="1" applyBorder="1"/>
    <xf numFmtId="0" fontId="50" fillId="19" borderId="1" xfId="9" applyFont="1" applyFill="1" applyAlignment="1">
      <alignment horizontal="left" wrapText="1" indent="1"/>
    </xf>
    <xf numFmtId="44" fontId="173" fillId="0" borderId="1" xfId="4" applyNumberFormat="1" applyFont="1" applyBorder="1" applyAlignment="1">
      <alignment horizontal="center"/>
    </xf>
    <xf numFmtId="0" fontId="49" fillId="19" borderId="1" xfId="9" applyFont="1" applyFill="1" applyAlignment="1">
      <alignment horizontal="left" wrapText="1" indent="1"/>
    </xf>
    <xf numFmtId="0" fontId="48" fillId="0" borderId="1" xfId="9" applyFont="1" applyAlignment="1">
      <alignment horizontal="left" wrapText="1" indent="1"/>
    </xf>
    <xf numFmtId="0" fontId="47" fillId="0" borderId="1" xfId="9" applyFont="1" applyAlignment="1">
      <alignment horizontal="left" wrapText="1" indent="1"/>
    </xf>
    <xf numFmtId="0" fontId="46" fillId="0" borderId="1" xfId="9" applyFont="1" applyAlignment="1">
      <alignment horizontal="left" wrapText="1" indent="1"/>
    </xf>
    <xf numFmtId="49" fontId="54" fillId="0" borderId="1" xfId="9" applyNumberFormat="1" applyFont="1" applyAlignment="1" applyProtection="1">
      <alignment horizontal="center"/>
      <protection locked="0"/>
    </xf>
    <xf numFmtId="0" fontId="45" fillId="0" borderId="1" xfId="9" applyFont="1" applyAlignment="1">
      <alignment horizontal="left" wrapText="1" indent="1"/>
    </xf>
    <xf numFmtId="164" fontId="140" fillId="0" borderId="1" xfId="8" applyFont="1" applyFill="1" applyBorder="1" applyAlignment="1" applyProtection="1">
      <alignment horizontal="center" vertical="center"/>
    </xf>
    <xf numFmtId="0" fontId="44" fillId="0" borderId="1" xfId="9" applyFont="1" applyAlignment="1">
      <alignment horizontal="left" wrapText="1" indent="1"/>
    </xf>
    <xf numFmtId="0" fontId="43" fillId="19" borderId="1" xfId="9" applyFont="1" applyFill="1" applyAlignment="1">
      <alignment horizontal="left" wrapText="1" indent="1"/>
    </xf>
    <xf numFmtId="0" fontId="42" fillId="0" borderId="1" xfId="9" applyFont="1" applyAlignment="1">
      <alignment horizontal="left" wrapText="1" indent="1"/>
    </xf>
    <xf numFmtId="0" fontId="41" fillId="0" borderId="1" xfId="9" applyFont="1" applyAlignment="1">
      <alignment horizontal="left" wrapText="1" indent="1"/>
    </xf>
    <xf numFmtId="0" fontId="167" fillId="0" borderId="57" xfId="9" applyFont="1" applyBorder="1" applyAlignment="1">
      <alignment wrapText="1"/>
    </xf>
    <xf numFmtId="175" fontId="40" fillId="0" borderId="1" xfId="44" applyNumberFormat="1" applyFont="1" applyAlignment="1">
      <alignment horizontal="right"/>
    </xf>
    <xf numFmtId="0" fontId="42" fillId="19" borderId="1" xfId="9" applyFont="1" applyFill="1" applyAlignment="1">
      <alignment horizontal="left" wrapText="1" indent="1"/>
    </xf>
    <xf numFmtId="0" fontId="39" fillId="0" borderId="1" xfId="9" applyFont="1" applyAlignment="1">
      <alignment horizontal="left" wrapText="1" indent="1"/>
    </xf>
    <xf numFmtId="0" fontId="38" fillId="19" borderId="1" xfId="9" applyFont="1" applyFill="1" applyAlignment="1">
      <alignment horizontal="left" wrapText="1" indent="1"/>
    </xf>
    <xf numFmtId="164" fontId="100" fillId="21" borderId="1" xfId="8" applyFont="1" applyFill="1" applyBorder="1" applyAlignment="1" applyProtection="1">
      <alignment vertical="top"/>
    </xf>
    <xf numFmtId="164" fontId="100" fillId="17" borderId="1" xfId="8" applyFont="1" applyFill="1" applyBorder="1" applyAlignment="1" applyProtection="1">
      <alignment vertical="top"/>
    </xf>
    <xf numFmtId="164" fontId="100" fillId="14" borderId="1" xfId="8" applyFont="1" applyFill="1" applyBorder="1" applyAlignment="1" applyProtection="1">
      <alignment vertical="top"/>
    </xf>
    <xf numFmtId="164" fontId="40" fillId="19" borderId="1" xfId="8" applyFont="1" applyFill="1" applyBorder="1" applyAlignment="1" applyProtection="1">
      <alignment vertical="top"/>
    </xf>
    <xf numFmtId="172" fontId="37" fillId="0" borderId="10" xfId="45" applyNumberFormat="1" applyFont="1" applyBorder="1"/>
    <xf numFmtId="44" fontId="37" fillId="0" borderId="10" xfId="45" applyNumberFormat="1" applyFont="1" applyBorder="1"/>
    <xf numFmtId="0" fontId="37" fillId="0" borderId="10" xfId="45" applyFont="1" applyBorder="1"/>
    <xf numFmtId="0" fontId="35" fillId="0" borderId="1" xfId="9" applyFont="1" applyAlignment="1">
      <alignment horizontal="left" wrapText="1" indent="1"/>
    </xf>
    <xf numFmtId="0" fontId="34" fillId="21" borderId="1" xfId="44" applyFont="1" applyFill="1" applyAlignment="1">
      <alignment horizontal="right" wrapText="1"/>
    </xf>
    <xf numFmtId="164" fontId="176" fillId="0" borderId="1" xfId="8" applyFont="1" applyFill="1" applyBorder="1" applyAlignment="1">
      <alignment horizontal="right"/>
    </xf>
    <xf numFmtId="14" fontId="34" fillId="21" borderId="1" xfId="44" applyNumberFormat="1" applyFont="1" applyFill="1" applyAlignment="1">
      <alignment horizontal="right" wrapText="1"/>
    </xf>
    <xf numFmtId="0" fontId="36" fillId="21" borderId="1" xfId="44" applyFont="1" applyFill="1" applyAlignment="1">
      <alignment horizontal="right"/>
    </xf>
    <xf numFmtId="0" fontId="33" fillId="0" borderId="1" xfId="9" applyFont="1" applyAlignment="1" applyProtection="1">
      <alignment horizontal="center"/>
      <protection locked="0"/>
    </xf>
    <xf numFmtId="164" fontId="32" fillId="0" borderId="1" xfId="8" applyFont="1" applyFill="1" applyBorder="1" applyAlignment="1" applyProtection="1">
      <alignment vertical="top"/>
    </xf>
    <xf numFmtId="14" fontId="32" fillId="0" borderId="1" xfId="9" applyNumberFormat="1" applyFont="1" applyAlignment="1" applyProtection="1">
      <protection locked="0"/>
    </xf>
    <xf numFmtId="0" fontId="32" fillId="0" borderId="1" xfId="9" applyFont="1" applyAlignment="1">
      <alignment horizontal="left" wrapText="1" indent="1"/>
    </xf>
    <xf numFmtId="0" fontId="31" fillId="19" borderId="1" xfId="9" applyFont="1" applyFill="1" applyAlignment="1">
      <alignment horizontal="left" wrapText="1" indent="1"/>
    </xf>
    <xf numFmtId="49" fontId="31" fillId="0" borderId="1" xfId="9" applyNumberFormat="1" applyFont="1" applyAlignment="1" applyProtection="1">
      <alignment horizontal="center"/>
      <protection locked="0"/>
    </xf>
    <xf numFmtId="0" fontId="30" fillId="0" borderId="1" xfId="9" applyFont="1" applyAlignment="1">
      <alignment horizontal="left" wrapText="1" indent="1"/>
    </xf>
    <xf numFmtId="10" fontId="167" fillId="0" borderId="1" xfId="6" applyNumberFormat="1" applyFont="1" applyFill="1" applyBorder="1" applyAlignment="1" applyProtection="1">
      <alignment horizontal="right"/>
      <protection locked="0"/>
    </xf>
    <xf numFmtId="172" fontId="199" fillId="0" borderId="1" xfId="8" applyNumberFormat="1" applyFont="1" applyFill="1" applyBorder="1" applyAlignment="1" applyProtection="1">
      <alignment horizontal="right" vertical="top"/>
    </xf>
    <xf numFmtId="164" fontId="173" fillId="0" borderId="1" xfId="9" applyNumberFormat="1" applyFont="1" applyAlignment="1" applyProtection="1">
      <protection locked="0"/>
    </xf>
    <xf numFmtId="0" fontId="30" fillId="19" borderId="1" xfId="9" applyFont="1" applyFill="1" applyAlignment="1">
      <alignment horizontal="left" wrapText="1" indent="1"/>
    </xf>
    <xf numFmtId="164" fontId="29" fillId="19" borderId="1" xfId="8" applyFont="1" applyFill="1" applyBorder="1" applyAlignment="1" applyProtection="1">
      <alignment vertical="top"/>
    </xf>
    <xf numFmtId="164" fontId="28" fillId="0" borderId="1" xfId="8" applyFont="1" applyFill="1" applyBorder="1" applyAlignment="1" applyProtection="1">
      <alignment vertical="top"/>
    </xf>
    <xf numFmtId="14" fontId="28" fillId="0" borderId="1" xfId="9" applyNumberFormat="1" applyFont="1" applyAlignment="1" applyProtection="1">
      <protection locked="0"/>
    </xf>
    <xf numFmtId="0" fontId="27" fillId="0" borderId="1" xfId="9" applyFont="1" applyAlignment="1">
      <alignment horizontal="left" wrapText="1" indent="1"/>
    </xf>
    <xf numFmtId="49" fontId="176" fillId="0" borderId="1" xfId="9" applyNumberFormat="1" applyFont="1" applyAlignment="1" applyProtection="1">
      <alignment horizontal="center" wrapText="1"/>
      <protection locked="0"/>
    </xf>
    <xf numFmtId="0" fontId="158" fillId="0" borderId="58" xfId="0" applyFont="1" applyBorder="1"/>
    <xf numFmtId="164" fontId="184" fillId="0" borderId="56" xfId="3" applyFont="1" applyFill="1" applyBorder="1" applyAlignment="1"/>
    <xf numFmtId="0" fontId="27" fillId="0" borderId="1" xfId="9" applyFont="1" applyAlignment="1">
      <alignment horizontal="left" wrapText="1"/>
    </xf>
    <xf numFmtId="0" fontId="27" fillId="19" borderId="1" xfId="9" applyFont="1" applyFill="1" applyAlignment="1">
      <alignment horizontal="left" wrapText="1" indent="1"/>
    </xf>
    <xf numFmtId="3" fontId="0" fillId="0" borderId="0" xfId="0" applyNumberFormat="1"/>
    <xf numFmtId="174" fontId="140" fillId="0" borderId="1" xfId="44" applyNumberFormat="1" applyFont="1"/>
    <xf numFmtId="172" fontId="154" fillId="16" borderId="10" xfId="0" applyNumberFormat="1" applyFont="1" applyFill="1" applyBorder="1" applyAlignment="1">
      <alignment horizontal="right" vertical="center"/>
    </xf>
    <xf numFmtId="44" fontId="202" fillId="16" borderId="10" xfId="47" applyFont="1" applyFill="1" applyBorder="1" applyAlignment="1">
      <alignment horizontal="right" vertical="center"/>
    </xf>
    <xf numFmtId="0" fontId="148" fillId="0" borderId="58" xfId="45" applyBorder="1" applyAlignment="1">
      <alignment vertical="center"/>
    </xf>
    <xf numFmtId="0" fontId="154" fillId="0" borderId="55" xfId="0" applyFont="1" applyBorder="1" applyAlignment="1">
      <alignment horizontal="center" vertical="center"/>
    </xf>
    <xf numFmtId="172" fontId="154" fillId="21" borderId="55" xfId="0" applyNumberFormat="1" applyFont="1" applyFill="1" applyBorder="1" applyAlignment="1">
      <alignment horizontal="right" vertical="center"/>
    </xf>
    <xf numFmtId="172" fontId="37" fillId="0" borderId="55" xfId="45" applyNumberFormat="1" applyFont="1" applyBorder="1"/>
    <xf numFmtId="44" fontId="202" fillId="21" borderId="55" xfId="47" applyFont="1" applyFill="1" applyBorder="1" applyAlignment="1">
      <alignment horizontal="right" vertical="center"/>
    </xf>
    <xf numFmtId="0" fontId="167" fillId="0" borderId="55" xfId="45" applyFont="1" applyBorder="1"/>
    <xf numFmtId="0" fontId="206" fillId="12" borderId="56" xfId="45" applyFont="1" applyFill="1" applyBorder="1"/>
    <xf numFmtId="0" fontId="148" fillId="0" borderId="12" xfId="45" applyBorder="1" applyAlignment="1">
      <alignment vertical="center"/>
    </xf>
    <xf numFmtId="43" fontId="0" fillId="21" borderId="10" xfId="57" applyFont="1" applyFill="1" applyBorder="1"/>
    <xf numFmtId="43" fontId="0" fillId="16" borderId="10" xfId="57" applyFont="1" applyFill="1" applyBorder="1"/>
    <xf numFmtId="14" fontId="197" fillId="0" borderId="10" xfId="45" applyNumberFormat="1" applyFont="1" applyBorder="1" applyAlignment="1">
      <alignment horizontal="left" vertical="center"/>
    </xf>
    <xf numFmtId="2" fontId="197" fillId="0" borderId="10" xfId="45" applyNumberFormat="1" applyFont="1" applyBorder="1" applyAlignment="1">
      <alignment horizontal="left" vertical="center"/>
    </xf>
    <xf numFmtId="44" fontId="176" fillId="0" borderId="10" xfId="45" applyNumberFormat="1" applyFont="1" applyBorder="1"/>
    <xf numFmtId="0" fontId="176" fillId="0" borderId="1" xfId="45" applyFont="1"/>
    <xf numFmtId="4" fontId="176" fillId="0" borderId="1" xfId="45" applyNumberFormat="1" applyFont="1"/>
    <xf numFmtId="0" fontId="26" fillId="0" borderId="1" xfId="9" applyFont="1" applyAlignment="1">
      <alignment horizontal="left" wrapText="1" indent="1"/>
    </xf>
    <xf numFmtId="49" fontId="154" fillId="0" borderId="1" xfId="9" applyNumberFormat="1" applyFont="1" applyAlignment="1" applyProtection="1">
      <alignment horizontal="right" wrapText="1"/>
      <protection locked="0"/>
    </xf>
    <xf numFmtId="172" fontId="154" fillId="0" borderId="1" xfId="0" applyNumberFormat="1" applyFont="1" applyBorder="1" applyAlignment="1">
      <alignment horizontal="right" vertical="center"/>
    </xf>
    <xf numFmtId="0" fontId="224" fillId="0" borderId="1" xfId="45" applyFont="1" applyAlignment="1">
      <alignment horizontal="right"/>
    </xf>
    <xf numFmtId="172" fontId="224" fillId="0" borderId="1" xfId="45" applyNumberFormat="1" applyFont="1" applyAlignment="1">
      <alignment horizontal="right"/>
    </xf>
    <xf numFmtId="166" fontId="148" fillId="0" borderId="1" xfId="38" applyFont="1" applyBorder="1"/>
    <xf numFmtId="14" fontId="178" fillId="0" borderId="1" xfId="45" applyNumberFormat="1" applyFont="1"/>
    <xf numFmtId="14" fontId="25" fillId="0" borderId="1" xfId="9" applyNumberFormat="1" applyFont="1" applyAlignment="1" applyProtection="1">
      <protection locked="0"/>
    </xf>
    <xf numFmtId="49" fontId="24" fillId="0" borderId="1" xfId="9" applyNumberFormat="1" applyFont="1" applyAlignment="1" applyProtection="1">
      <alignment horizontal="center"/>
      <protection locked="0"/>
    </xf>
    <xf numFmtId="0" fontId="23" fillId="19" borderId="1" xfId="9" applyFont="1" applyFill="1" applyAlignment="1">
      <alignment horizontal="left" wrapText="1" indent="1"/>
    </xf>
    <xf numFmtId="14" fontId="154" fillId="0" borderId="23" xfId="45" applyNumberFormat="1" applyFont="1" applyBorder="1" applyAlignment="1">
      <alignment horizontal="left" vertical="center"/>
    </xf>
    <xf numFmtId="2" fontId="154" fillId="0" borderId="23" xfId="45" applyNumberFormat="1" applyFont="1" applyBorder="1" applyAlignment="1">
      <alignment horizontal="left" vertical="center"/>
    </xf>
    <xf numFmtId="171" fontId="190" fillId="0" borderId="23" xfId="46" applyNumberFormat="1" applyFont="1" applyFill="1" applyBorder="1" applyAlignment="1">
      <alignment horizontal="center" vertical="center"/>
    </xf>
    <xf numFmtId="0" fontId="23" fillId="0" borderId="1" xfId="45" applyFont="1"/>
    <xf numFmtId="44" fontId="169" fillId="0" borderId="1" xfId="45" applyNumberFormat="1" applyFont="1"/>
    <xf numFmtId="4" fontId="22" fillId="0" borderId="1" xfId="8" applyNumberFormat="1" applyFont="1" applyFill="1" applyBorder="1" applyAlignment="1">
      <alignment horizontal="right"/>
    </xf>
    <xf numFmtId="0" fontId="22" fillId="19" borderId="1" xfId="9" applyFont="1" applyFill="1" applyAlignment="1">
      <alignment horizontal="left" wrapText="1" indent="1"/>
    </xf>
    <xf numFmtId="0" fontId="22" fillId="0" borderId="10" xfId="45" applyFont="1" applyBorder="1"/>
    <xf numFmtId="14" fontId="22" fillId="0" borderId="10" xfId="45" applyNumberFormat="1" applyFont="1" applyBorder="1"/>
    <xf numFmtId="164" fontId="21" fillId="0" borderId="1" xfId="8" applyFont="1" applyFill="1" applyBorder="1" applyAlignment="1" applyProtection="1">
      <alignment vertical="top"/>
    </xf>
    <xf numFmtId="0" fontId="20" fillId="0" borderId="1" xfId="44" applyFont="1"/>
    <xf numFmtId="0" fontId="20" fillId="0" borderId="1" xfId="44" applyFont="1" applyAlignment="1">
      <alignment horizontal="right"/>
    </xf>
    <xf numFmtId="172" fontId="154" fillId="19" borderId="10" xfId="0" applyNumberFormat="1" applyFont="1" applyFill="1" applyBorder="1" applyAlignment="1">
      <alignment horizontal="right" vertical="center"/>
    </xf>
    <xf numFmtId="0" fontId="23" fillId="24" borderId="1" xfId="45" applyFont="1" applyFill="1"/>
    <xf numFmtId="172" fontId="154" fillId="24" borderId="1" xfId="0" applyNumberFormat="1" applyFont="1" applyFill="1" applyBorder="1" applyAlignment="1">
      <alignment horizontal="right" vertical="center"/>
    </xf>
    <xf numFmtId="0" fontId="19" fillId="0" borderId="1" xfId="9" applyFont="1" applyAlignment="1">
      <alignment horizontal="left" wrapText="1" indent="1"/>
    </xf>
    <xf numFmtId="0" fontId="18" fillId="0" borderId="1" xfId="9" applyFont="1" applyAlignment="1">
      <alignment horizontal="left" wrapText="1" indent="1"/>
    </xf>
    <xf numFmtId="0" fontId="148" fillId="21" borderId="12" xfId="45" applyFill="1" applyBorder="1" applyAlignment="1">
      <alignment vertical="center"/>
    </xf>
    <xf numFmtId="14" fontId="154" fillId="21" borderId="23" xfId="45" applyNumberFormat="1" applyFont="1" applyFill="1" applyBorder="1" applyAlignment="1">
      <alignment horizontal="left" vertical="center"/>
    </xf>
    <xf numFmtId="2" fontId="154" fillId="21" borderId="23" xfId="45" applyNumberFormat="1" applyFont="1" applyFill="1" applyBorder="1" applyAlignment="1">
      <alignment horizontal="left" vertical="center"/>
    </xf>
    <xf numFmtId="171" fontId="190" fillId="21" borderId="23" xfId="46" applyNumberFormat="1" applyFont="1" applyFill="1" applyBorder="1" applyAlignment="1">
      <alignment horizontal="center" vertical="center"/>
    </xf>
    <xf numFmtId="172" fontId="37" fillId="21" borderId="10" xfId="45" applyNumberFormat="1" applyFont="1" applyFill="1" applyBorder="1"/>
    <xf numFmtId="44" fontId="154" fillId="21" borderId="10" xfId="47" applyFont="1" applyFill="1" applyBorder="1" applyAlignment="1">
      <alignment horizontal="right" vertical="center"/>
    </xf>
    <xf numFmtId="0" fontId="167" fillId="21" borderId="10" xfId="45" applyFont="1" applyFill="1" applyBorder="1"/>
    <xf numFmtId="0" fontId="206" fillId="21" borderId="13" xfId="45" applyFont="1" applyFill="1" applyBorder="1"/>
    <xf numFmtId="14" fontId="148" fillId="21" borderId="1" xfId="45" applyNumberFormat="1" applyFill="1"/>
    <xf numFmtId="0" fontId="148" fillId="21" borderId="1" xfId="45" applyFill="1"/>
    <xf numFmtId="4" fontId="148" fillId="21" borderId="1" xfId="45" applyNumberFormat="1" applyFill="1"/>
    <xf numFmtId="164" fontId="17" fillId="0" borderId="6" xfId="8" applyFont="1" applyFill="1" applyBorder="1"/>
    <xf numFmtId="175" fontId="17" fillId="0" borderId="1" xfId="44" applyNumberFormat="1" applyFont="1" applyAlignment="1">
      <alignment horizontal="right"/>
    </xf>
    <xf numFmtId="0" fontId="20" fillId="16" borderId="1" xfId="44" applyFont="1" applyFill="1" applyAlignment="1">
      <alignment horizontal="right"/>
    </xf>
    <xf numFmtId="0" fontId="20" fillId="16" borderId="1" xfId="44" applyFont="1" applyFill="1"/>
    <xf numFmtId="172" fontId="167" fillId="16" borderId="1" xfId="8" applyNumberFormat="1" applyFont="1" applyFill="1" applyBorder="1" applyAlignment="1">
      <alignment horizontal="right"/>
    </xf>
    <xf numFmtId="0" fontId="16" fillId="0" borderId="10" xfId="45" applyFont="1" applyBorder="1"/>
    <xf numFmtId="172" fontId="154" fillId="20" borderId="10" xfId="0" applyNumberFormat="1" applyFont="1" applyFill="1" applyBorder="1" applyAlignment="1">
      <alignment horizontal="right" vertical="center"/>
    </xf>
    <xf numFmtId="172" fontId="37" fillId="20" borderId="10" xfId="45" applyNumberFormat="1" applyFont="1" applyFill="1" applyBorder="1"/>
    <xf numFmtId="172" fontId="154" fillId="25" borderId="10" xfId="0" applyNumberFormat="1" applyFont="1" applyFill="1" applyBorder="1" applyAlignment="1">
      <alignment horizontal="right" vertical="center"/>
    </xf>
    <xf numFmtId="172" fontId="37" fillId="25" borderId="10" xfId="45" applyNumberFormat="1" applyFont="1" applyFill="1" applyBorder="1"/>
    <xf numFmtId="172" fontId="154" fillId="26" borderId="10" xfId="0" applyNumberFormat="1" applyFont="1" applyFill="1" applyBorder="1" applyAlignment="1">
      <alignment horizontal="right" vertical="center"/>
    </xf>
    <xf numFmtId="172" fontId="37" fillId="26" borderId="10" xfId="45" applyNumberFormat="1" applyFont="1" applyFill="1" applyBorder="1"/>
    <xf numFmtId="0" fontId="15" fillId="0" borderId="1" xfId="9" applyFont="1" applyAlignment="1">
      <alignment horizontal="left" wrapText="1" indent="1"/>
    </xf>
    <xf numFmtId="164" fontId="17" fillId="0" borderId="1" xfId="8" applyFont="1" applyFill="1" applyBorder="1"/>
    <xf numFmtId="0" fontId="26" fillId="0" borderId="1" xfId="44" applyFont="1" applyAlignment="1">
      <alignment horizontal="right"/>
    </xf>
    <xf numFmtId="0" fontId="14" fillId="19" borderId="1" xfId="9" applyFont="1" applyFill="1" applyAlignment="1">
      <alignment horizontal="left" wrapText="1" indent="1"/>
    </xf>
    <xf numFmtId="0" fontId="21" fillId="19" borderId="1" xfId="9" applyFont="1" applyFill="1" applyAlignment="1">
      <alignment horizontal="left" wrapText="1" indent="1"/>
    </xf>
    <xf numFmtId="0" fontId="13" fillId="0" borderId="1" xfId="9" applyFont="1" applyAlignment="1">
      <alignment horizontal="left" wrapText="1" indent="1"/>
    </xf>
    <xf numFmtId="0" fontId="12" fillId="0" borderId="1" xfId="9" applyFont="1" applyAlignment="1" applyProtection="1">
      <alignment horizontal="center"/>
      <protection locked="0"/>
    </xf>
    <xf numFmtId="164" fontId="11" fillId="19" borderId="1" xfId="8" applyFont="1" applyFill="1" applyBorder="1" applyAlignment="1" applyProtection="1">
      <alignment vertical="top"/>
    </xf>
    <xf numFmtId="0" fontId="11" fillId="19" borderId="1" xfId="9" applyFont="1" applyFill="1" applyAlignment="1">
      <alignment horizontal="left" wrapText="1" indent="1"/>
    </xf>
    <xf numFmtId="49" fontId="11" fillId="0" borderId="1" xfId="9" applyNumberFormat="1" applyFont="1" applyAlignment="1" applyProtection="1">
      <alignment horizontal="center"/>
      <protection locked="0"/>
    </xf>
    <xf numFmtId="0" fontId="11" fillId="0" borderId="1" xfId="9" applyFont="1" applyAlignment="1" applyProtection="1">
      <alignment horizontal="center"/>
      <protection locked="0"/>
    </xf>
    <xf numFmtId="0" fontId="10" fillId="0" borderId="1" xfId="9" applyFont="1" applyAlignment="1">
      <alignment horizontal="left" wrapText="1" indent="1"/>
    </xf>
    <xf numFmtId="164" fontId="7" fillId="19" borderId="1" xfId="8" applyFont="1" applyFill="1" applyBorder="1" applyAlignment="1" applyProtection="1">
      <alignment vertical="top"/>
    </xf>
    <xf numFmtId="49" fontId="6" fillId="0" borderId="1" xfId="9" applyNumberFormat="1" applyFont="1" applyAlignment="1" applyProtection="1">
      <alignment horizontal="center"/>
      <protection locked="0"/>
    </xf>
    <xf numFmtId="164" fontId="5" fillId="19" borderId="1" xfId="8" applyFont="1" applyFill="1" applyBorder="1" applyAlignment="1" applyProtection="1">
      <alignment vertical="top"/>
    </xf>
    <xf numFmtId="178" fontId="202" fillId="19" borderId="0" xfId="38" applyNumberFormat="1" applyFont="1" applyFill="1" applyAlignment="1">
      <alignment horizontal="left" vertical="center"/>
    </xf>
    <xf numFmtId="164" fontId="5" fillId="0" borderId="1" xfId="8" applyFont="1" applyFill="1" applyBorder="1" applyAlignment="1" applyProtection="1">
      <alignment vertical="top"/>
    </xf>
    <xf numFmtId="178" fontId="5" fillId="19" borderId="0" xfId="0" applyNumberFormat="1" applyFont="1" applyFill="1" applyAlignment="1">
      <alignment horizontal="right"/>
    </xf>
    <xf numFmtId="164" fontId="5" fillId="19" borderId="1" xfId="8" applyFont="1" applyFill="1" applyBorder="1"/>
    <xf numFmtId="0" fontId="8" fillId="21" borderId="1" xfId="44" applyFont="1" applyFill="1" applyAlignment="1">
      <alignment horizontal="right" wrapText="1"/>
    </xf>
    <xf numFmtId="14" fontId="9" fillId="21" borderId="1" xfId="44" applyNumberFormat="1" applyFont="1" applyFill="1" applyAlignment="1">
      <alignment horizontal="right" wrapText="1"/>
    </xf>
    <xf numFmtId="0" fontId="9" fillId="21" borderId="1" xfId="44" applyFont="1" applyFill="1" applyAlignment="1">
      <alignment horizontal="right"/>
    </xf>
    <xf numFmtId="0" fontId="5" fillId="0" borderId="1" xfId="9" applyFont="1" applyAlignment="1">
      <alignment horizontal="left" wrapText="1" indent="1"/>
    </xf>
    <xf numFmtId="44" fontId="154" fillId="27" borderId="10" xfId="47" applyFont="1" applyFill="1" applyBorder="1" applyAlignment="1">
      <alignment horizontal="right" vertical="center"/>
    </xf>
    <xf numFmtId="0" fontId="14" fillId="0" borderId="1" xfId="9" applyFont="1" applyAlignment="1">
      <alignment horizontal="left" wrapText="1" indent="1"/>
    </xf>
    <xf numFmtId="0" fontId="5" fillId="19" borderId="1" xfId="9" applyFont="1" applyFill="1" applyAlignment="1">
      <alignment horizontal="left" wrapText="1" indent="1"/>
    </xf>
    <xf numFmtId="164" fontId="176" fillId="0" borderId="1" xfId="8" applyFont="1" applyFill="1" applyBorder="1"/>
    <xf numFmtId="0" fontId="176" fillId="0" borderId="1" xfId="9" applyFont="1" applyAlignment="1" applyProtection="1">
      <alignment horizontal="center" wrapText="1"/>
      <protection locked="0"/>
    </xf>
    <xf numFmtId="0" fontId="197" fillId="0" borderId="1" xfId="9" applyFont="1" applyAlignment="1" applyProtection="1">
      <alignment horizontal="center"/>
      <protection locked="0"/>
    </xf>
    <xf numFmtId="0" fontId="197" fillId="0" borderId="0" xfId="0" applyFont="1"/>
    <xf numFmtId="178" fontId="202" fillId="0" borderId="0" xfId="38" applyNumberFormat="1" applyFont="1" applyFill="1" applyAlignment="1">
      <alignment horizontal="left" vertical="center"/>
    </xf>
    <xf numFmtId="164" fontId="11" fillId="0" borderId="1" xfId="8" applyFont="1" applyFill="1" applyBorder="1" applyAlignment="1" applyProtection="1">
      <alignment vertical="top"/>
    </xf>
    <xf numFmtId="178" fontId="5" fillId="0" borderId="0" xfId="0" applyNumberFormat="1" applyFont="1" applyAlignment="1">
      <alignment horizontal="right"/>
    </xf>
    <xf numFmtId="0" fontId="167" fillId="28" borderId="10" xfId="9" applyFont="1" applyFill="1" applyBorder="1" applyAlignment="1">
      <alignment wrapText="1"/>
    </xf>
    <xf numFmtId="14" fontId="207" fillId="0" borderId="10" xfId="45" applyNumberFormat="1" applyFont="1" applyBorder="1" applyAlignment="1">
      <alignment horizontal="left" vertical="center"/>
    </xf>
    <xf numFmtId="0" fontId="5" fillId="0" borderId="1" xfId="9" applyFont="1" applyAlignment="1">
      <alignment horizontal="left" wrapText="1"/>
    </xf>
    <xf numFmtId="164" fontId="185" fillId="0" borderId="0" xfId="0" applyNumberFormat="1" applyFont="1" applyAlignment="1">
      <alignment horizontal="right"/>
    </xf>
    <xf numFmtId="49" fontId="5" fillId="0" borderId="1" xfId="9" applyNumberFormat="1" applyFont="1" applyAlignment="1" applyProtection="1">
      <alignment horizontal="center"/>
      <protection locked="0"/>
    </xf>
    <xf numFmtId="0" fontId="4" fillId="0" borderId="1" xfId="9" applyFont="1" applyAlignment="1">
      <alignment horizontal="left" wrapText="1" indent="1"/>
    </xf>
    <xf numFmtId="164" fontId="4" fillId="0" borderId="1" xfId="8" applyFont="1" applyFill="1" applyBorder="1" applyAlignment="1" applyProtection="1">
      <alignment vertical="top"/>
    </xf>
    <xf numFmtId="0" fontId="9" fillId="0" borderId="1" xfId="44" applyFont="1" applyAlignment="1">
      <alignment horizontal="right"/>
    </xf>
    <xf numFmtId="0" fontId="8" fillId="0" borderId="1" xfId="44" applyFont="1" applyAlignment="1">
      <alignment horizontal="right" wrapText="1"/>
    </xf>
    <xf numFmtId="14" fontId="9" fillId="0" borderId="1" xfId="44" applyNumberFormat="1" applyFont="1" applyAlignment="1">
      <alignment horizontal="right" wrapText="1"/>
    </xf>
    <xf numFmtId="175" fontId="3" fillId="0" borderId="1" xfId="44" applyNumberFormat="1" applyFont="1" applyAlignment="1">
      <alignment horizontal="right"/>
    </xf>
    <xf numFmtId="49" fontId="2" fillId="0" borderId="1" xfId="9" applyNumberFormat="1" applyFont="1" applyAlignment="1" applyProtection="1">
      <alignment horizontal="center"/>
      <protection locked="0"/>
    </xf>
    <xf numFmtId="0" fontId="180" fillId="10" borderId="37" xfId="9" applyFont="1" applyFill="1" applyBorder="1" applyAlignment="1">
      <alignment horizontal="center" vertical="center"/>
    </xf>
    <xf numFmtId="0" fontId="180" fillId="10" borderId="38" xfId="9" applyFont="1" applyFill="1" applyBorder="1" applyAlignment="1">
      <alignment horizontal="center" vertical="center"/>
    </xf>
    <xf numFmtId="0" fontId="183" fillId="0" borderId="30" xfId="0" applyFont="1" applyBorder="1" applyAlignment="1">
      <alignment horizontal="center"/>
    </xf>
    <xf numFmtId="0" fontId="183" fillId="0" borderId="31" xfId="0" applyFont="1" applyBorder="1" applyAlignment="1">
      <alignment horizontal="center"/>
    </xf>
    <xf numFmtId="0" fontId="183" fillId="0" borderId="32" xfId="0" applyFont="1" applyBorder="1" applyAlignment="1">
      <alignment horizontal="center"/>
    </xf>
    <xf numFmtId="0" fontId="185" fillId="0" borderId="25" xfId="0" applyFont="1" applyBorder="1" applyAlignment="1">
      <alignment horizontal="center"/>
    </xf>
    <xf numFmtId="0" fontId="185" fillId="0" borderId="26" xfId="0" applyFont="1" applyBorder="1" applyAlignment="1">
      <alignment horizontal="center"/>
    </xf>
    <xf numFmtId="0" fontId="204" fillId="0" borderId="0" xfId="0" applyFont="1" applyAlignment="1">
      <alignment horizontal="center"/>
    </xf>
    <xf numFmtId="0" fontId="149" fillId="0" borderId="1" xfId="44"/>
    <xf numFmtId="164" fontId="149" fillId="0" borderId="1" xfId="8" applyFont="1" applyFill="1" applyBorder="1"/>
    <xf numFmtId="0" fontId="189" fillId="0" borderId="1" xfId="44" applyFont="1" applyAlignment="1">
      <alignment horizontal="right"/>
    </xf>
    <xf numFmtId="0" fontId="178" fillId="0" borderId="1" xfId="45" applyFont="1" applyAlignment="1">
      <alignment horizontal="center"/>
    </xf>
    <xf numFmtId="0" fontId="178" fillId="14" borderId="47" xfId="45" applyFont="1" applyFill="1" applyBorder="1" applyAlignment="1">
      <alignment horizontal="center"/>
    </xf>
    <xf numFmtId="0" fontId="178" fillId="14" borderId="32" xfId="45" applyFont="1" applyFill="1" applyBorder="1" applyAlignment="1">
      <alignment horizontal="center"/>
    </xf>
    <xf numFmtId="0" fontId="178" fillId="0" borderId="27" xfId="45" applyFont="1" applyBorder="1" applyAlignment="1">
      <alignment horizontal="center"/>
    </xf>
    <xf numFmtId="0" fontId="178" fillId="0" borderId="5" xfId="45" applyFont="1" applyBorder="1" applyAlignment="1">
      <alignment horizontal="center"/>
    </xf>
    <xf numFmtId="0" fontId="178" fillId="0" borderId="14" xfId="45" applyFont="1" applyBorder="1" applyAlignment="1">
      <alignment horizontal="center"/>
    </xf>
    <xf numFmtId="0" fontId="178" fillId="0" borderId="33" xfId="45" applyFont="1" applyBorder="1" applyAlignment="1">
      <alignment horizontal="center"/>
    </xf>
    <xf numFmtId="0" fontId="178" fillId="0" borderId="47" xfId="45" applyFont="1" applyBorder="1" applyAlignment="1">
      <alignment horizontal="center"/>
    </xf>
    <xf numFmtId="0" fontId="178" fillId="0" borderId="31" xfId="45" applyFont="1" applyBorder="1" applyAlignment="1">
      <alignment horizontal="center"/>
    </xf>
    <xf numFmtId="0" fontId="178" fillId="0" borderId="32" xfId="45" applyFont="1" applyBorder="1" applyAlignment="1">
      <alignment horizontal="center"/>
    </xf>
    <xf numFmtId="172" fontId="158" fillId="0" borderId="1" xfId="0" applyNumberFormat="1" applyFont="1" applyBorder="1" applyAlignment="1">
      <alignment horizontal="center"/>
    </xf>
    <xf numFmtId="44" fontId="158" fillId="0" borderId="1" xfId="0" applyNumberFormat="1" applyFont="1" applyBorder="1" applyAlignment="1">
      <alignment horizontal="center"/>
    </xf>
    <xf numFmtId="0" fontId="179" fillId="0" borderId="1" xfId="0" applyFont="1" applyBorder="1" applyAlignment="1">
      <alignment horizontal="center" vertical="center"/>
    </xf>
    <xf numFmtId="0" fontId="203" fillId="0" borderId="0" xfId="0" applyFont="1" applyAlignment="1">
      <alignment horizontal="center"/>
    </xf>
    <xf numFmtId="0" fontId="183" fillId="0" borderId="0" xfId="0" applyFont="1" applyAlignment="1">
      <alignment horizontal="center"/>
    </xf>
    <xf numFmtId="0" fontId="158" fillId="0" borderId="48" xfId="0" applyFont="1" applyBorder="1" applyAlignment="1">
      <alignment horizontal="center"/>
    </xf>
    <xf numFmtId="0" fontId="158" fillId="0" borderId="49" xfId="0" applyFont="1" applyBorder="1" applyAlignment="1">
      <alignment horizontal="center"/>
    </xf>
    <xf numFmtId="0" fontId="158" fillId="0" borderId="12" xfId="0" applyFont="1" applyBorder="1" applyAlignment="1">
      <alignment horizontal="center"/>
    </xf>
    <xf numFmtId="0" fontId="158" fillId="0" borderId="10" xfId="0" applyFont="1" applyBorder="1" applyAlignment="1">
      <alignment horizontal="center"/>
    </xf>
    <xf numFmtId="0" fontId="183" fillId="0" borderId="34" xfId="0" applyFont="1" applyBorder="1" applyAlignment="1">
      <alignment horizontal="center"/>
    </xf>
    <xf numFmtId="0" fontId="183" fillId="0" borderId="35" xfId="0" applyFont="1" applyBorder="1" applyAlignment="1">
      <alignment horizontal="center"/>
    </xf>
    <xf numFmtId="44" fontId="197" fillId="0" borderId="1" xfId="0" applyNumberFormat="1" applyFont="1" applyBorder="1" applyAlignment="1">
      <alignment horizontal="center" vertical="center"/>
    </xf>
    <xf numFmtId="0" fontId="178" fillId="0" borderId="9" xfId="45" applyFont="1" applyBorder="1" applyAlignment="1">
      <alignment horizontal="center"/>
    </xf>
    <xf numFmtId="164" fontId="1" fillId="19" borderId="1" xfId="8" applyFont="1" applyFill="1" applyBorder="1" applyAlignment="1" applyProtection="1">
      <alignment vertical="top"/>
    </xf>
    <xf numFmtId="164" fontId="1" fillId="0" borderId="1" xfId="8" applyFont="1" applyFill="1" applyBorder="1" applyAlignment="1" applyProtection="1">
      <alignment vertical="top"/>
    </xf>
    <xf numFmtId="178" fontId="202" fillId="0" borderId="0" xfId="38" applyNumberFormat="1" applyFont="1" applyAlignment="1">
      <alignment horizontal="right" vertical="center"/>
    </xf>
    <xf numFmtId="178" fontId="1" fillId="0" borderId="0" xfId="0" applyNumberFormat="1" applyFont="1" applyAlignment="1">
      <alignment horizontal="right"/>
    </xf>
  </cellXfs>
  <cellStyles count="58">
    <cellStyle name="Millares" xfId="57" builtinId="3"/>
    <cellStyle name="Millares [0] 2" xfId="11" xr:uid="{00000000-0005-0000-0000-000000000000}"/>
    <cellStyle name="Millares [0] 2 2" xfId="31" xr:uid="{00000000-0005-0000-0000-000001000000}"/>
    <cellStyle name="Millares [0] 3" xfId="24" xr:uid="{00000000-0005-0000-0000-000002000000}"/>
    <cellStyle name="Millares 2" xfId="2" xr:uid="{00000000-0005-0000-0000-000003000000}"/>
    <cellStyle name="Millares 2 2" xfId="13" xr:uid="{00000000-0005-0000-0000-000004000000}"/>
    <cellStyle name="Millares 2 2 2" xfId="33" xr:uid="{00000000-0005-0000-0000-000005000000}"/>
    <cellStyle name="Millares 2 3" xfId="26" xr:uid="{00000000-0005-0000-0000-000006000000}"/>
    <cellStyle name="Millares 3" xfId="41" xr:uid="{00000000-0005-0000-0000-000007000000}"/>
    <cellStyle name="Millares 4" xfId="43" xr:uid="{00000000-0005-0000-0000-000008000000}"/>
    <cellStyle name="Millares 5" xfId="49" xr:uid="{4C84AE3B-9751-49B3-9B83-EBF802CDB93D}"/>
    <cellStyle name="Millares 6" xfId="50" xr:uid="{558028D4-2DD4-43D7-AB12-5AE6884C60C5}"/>
    <cellStyle name="Millares 7" xfId="51" xr:uid="{AEF612C0-58FD-478A-953F-6B909BF9D66F}"/>
    <cellStyle name="Moneda" xfId="38" builtinId="4"/>
    <cellStyle name="Moneda [0]" xfId="3" builtinId="7"/>
    <cellStyle name="Moneda [0] 2" xfId="8" xr:uid="{00000000-0005-0000-0000-00000B000000}"/>
    <cellStyle name="Moneda [0] 2 2" xfId="18" xr:uid="{00000000-0005-0000-0000-00000C000000}"/>
    <cellStyle name="Moneda [0] 2 2 2" xfId="37" xr:uid="{00000000-0005-0000-0000-00000D000000}"/>
    <cellStyle name="Moneda [0] 2 3" xfId="30" xr:uid="{00000000-0005-0000-0000-00000E000000}"/>
    <cellStyle name="Moneda [0] 3" xfId="14" xr:uid="{00000000-0005-0000-0000-00000F000000}"/>
    <cellStyle name="Moneda [0] 3 2" xfId="34" xr:uid="{00000000-0005-0000-0000-000010000000}"/>
    <cellStyle name="Moneda [0] 4" xfId="27" xr:uid="{00000000-0005-0000-0000-000011000000}"/>
    <cellStyle name="Moneda 2" xfId="47" xr:uid="{223DAB67-48E5-4430-9E92-63ED682019F7}"/>
    <cellStyle name="Normal" xfId="0" builtinId="0"/>
    <cellStyle name="Normal 10" xfId="23" xr:uid="{00000000-0005-0000-0000-000013000000}"/>
    <cellStyle name="Normal 11" xfId="28" xr:uid="{00000000-0005-0000-0000-000014000000}"/>
    <cellStyle name="Normal 12" xfId="35" xr:uid="{00000000-0005-0000-0000-000015000000}"/>
    <cellStyle name="Normal 13" xfId="39" xr:uid="{00000000-0005-0000-0000-000016000000}"/>
    <cellStyle name="Normal 14" xfId="45" xr:uid="{427BC832-713B-4914-9431-1CF5E36DA7C6}"/>
    <cellStyle name="Normal 15" xfId="48" xr:uid="{2F83E4A2-647E-42FC-BEFC-5BBC17352756}"/>
    <cellStyle name="Normal 16" xfId="52" xr:uid="{5F6075BB-6DD5-48F7-B526-C46DFC518616}"/>
    <cellStyle name="Normal 17" xfId="53" xr:uid="{858160D5-5FC0-43E3-A9B5-E0BFB8BCB6F7}"/>
    <cellStyle name="Normal 18" xfId="54" xr:uid="{2AE5F280-FFCD-4650-AAC4-CB7BA4BD0989}"/>
    <cellStyle name="Normal 19" xfId="55" xr:uid="{FDD93F89-2F9F-4244-A333-D2AC26D1883A}"/>
    <cellStyle name="Normal 2" xfId="1" xr:uid="{00000000-0005-0000-0000-000017000000}"/>
    <cellStyle name="Normal 2 2" xfId="12" xr:uid="{00000000-0005-0000-0000-000018000000}"/>
    <cellStyle name="Normal 2 2 2" xfId="32" xr:uid="{00000000-0005-0000-0000-000019000000}"/>
    <cellStyle name="Normal 2 3" xfId="25" xr:uid="{00000000-0005-0000-0000-00001A000000}"/>
    <cellStyle name="Normal 2 4" xfId="9" xr:uid="{00000000-0005-0000-0000-00001B000000}"/>
    <cellStyle name="Normal 2 5" xfId="42" xr:uid="{00000000-0005-0000-0000-00001C000000}"/>
    <cellStyle name="Normal 20" xfId="56" xr:uid="{A2A710C6-F71A-4B20-AE2B-578F7EF36ABF}"/>
    <cellStyle name="Normal 3" xfId="5" xr:uid="{00000000-0005-0000-0000-00001D000000}"/>
    <cellStyle name="Normal 3 2" xfId="7" xr:uid="{00000000-0005-0000-0000-00001E000000}"/>
    <cellStyle name="Normal 3 2 2" xfId="17" xr:uid="{00000000-0005-0000-0000-00001F000000}"/>
    <cellStyle name="Normal 3 2 2 2" xfId="36" xr:uid="{00000000-0005-0000-0000-000020000000}"/>
    <cellStyle name="Normal 3 2 3" xfId="29" xr:uid="{00000000-0005-0000-0000-000021000000}"/>
    <cellStyle name="Normal 3 2 4" xfId="44" xr:uid="{00000000-0005-0000-0000-000022000000}"/>
    <cellStyle name="Normal 3 3" xfId="15" xr:uid="{00000000-0005-0000-0000-000023000000}"/>
    <cellStyle name="Normal 3 4" xfId="40" xr:uid="{00000000-0005-0000-0000-000024000000}"/>
    <cellStyle name="Normal 4" xfId="10" xr:uid="{00000000-0005-0000-0000-000025000000}"/>
    <cellStyle name="Normal 5" xfId="16" xr:uid="{00000000-0005-0000-0000-000026000000}"/>
    <cellStyle name="Normal 6" xfId="20" xr:uid="{00000000-0005-0000-0000-000027000000}"/>
    <cellStyle name="Normal 7" xfId="21" xr:uid="{00000000-0005-0000-0000-000028000000}"/>
    <cellStyle name="Normal 8" xfId="19" xr:uid="{00000000-0005-0000-0000-000029000000}"/>
    <cellStyle name="Normal 9" xfId="22" xr:uid="{00000000-0005-0000-0000-00002A000000}"/>
    <cellStyle name="Porcentaje" xfId="4" builtinId="5"/>
    <cellStyle name="Porcentaje 2" xfId="6" xr:uid="{00000000-0005-0000-0000-00002C000000}"/>
    <cellStyle name="Porcentaje 3" xfId="46" xr:uid="{8886196D-2640-47DC-9997-E0E75F1D3CDF}"/>
  </cellStyles>
  <dxfs count="141">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ont>
        <strike val="0"/>
      </font>
      <fill>
        <patternFill>
          <bgColor theme="2" tint="-0.499984740745262"/>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strike val="0"/>
      </font>
      <fill>
        <patternFill>
          <bgColor theme="2" tint="-0.499984740745262"/>
        </patternFill>
      </fill>
    </dxf>
  </dxfs>
  <tableStyles count="0" defaultTableStyle="TableStyleMedium2" defaultPivotStyle="PivotStyleLight16"/>
  <colors>
    <mruColors>
      <color rgb="FFFFFFCC"/>
      <color rgb="FF0000CC"/>
      <color rgb="FFCC66FF"/>
      <color rgb="FFFFCCFF"/>
      <color rgb="FF6405AB"/>
      <color rgb="FF008000"/>
      <color rgb="FF3005AB"/>
      <color rgb="FFCC0000"/>
      <color rgb="FF3333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15</xdr:row>
      <xdr:rowOff>28575</xdr:rowOff>
    </xdr:from>
    <xdr:to>
      <xdr:col>13</xdr:col>
      <xdr:colOff>694317</xdr:colOff>
      <xdr:row>36</xdr:row>
      <xdr:rowOff>28075</xdr:rowOff>
    </xdr:to>
    <xdr:pic>
      <xdr:nvPicPr>
        <xdr:cNvPr id="2" name="Imagen 1">
          <a:extLst>
            <a:ext uri="{FF2B5EF4-FFF2-40B4-BE49-F238E27FC236}">
              <a16:creationId xmlns:a16="http://schemas.microsoft.com/office/drawing/2014/main" id="{1A09CA6C-8321-60DF-A26A-E84F20FAE044}"/>
            </a:ext>
          </a:extLst>
        </xdr:cNvPr>
        <xdr:cNvPicPr>
          <a:picLocks noChangeAspect="1"/>
        </xdr:cNvPicPr>
      </xdr:nvPicPr>
      <xdr:blipFill>
        <a:blip xmlns:r="http://schemas.openxmlformats.org/officeDocument/2006/relationships" r:embed="rId1"/>
        <a:stretch>
          <a:fillRect/>
        </a:stretch>
      </xdr:blipFill>
      <xdr:spPr>
        <a:xfrm>
          <a:off x="3505200" y="2886075"/>
          <a:ext cx="8066667" cy="400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C1AE57-F388-4940-9DBA-4E3D851EFAF6}">
  <we:reference id="22ff87a5-132f-4d52-9e97-94d888e4dd91" version="3.1.0.0" store="EXCatalog" storeType="EXCatalog"/>
  <we:alternateReferences>
    <we:reference id="WA104380050" version="3.1.0.0"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D35"/>
  <sheetViews>
    <sheetView topLeftCell="A3" workbookViewId="0">
      <selection activeCell="A3" sqref="A3:A22"/>
    </sheetView>
  </sheetViews>
  <sheetFormatPr baseColWidth="10" defaultColWidth="11.42578125" defaultRowHeight="15"/>
  <cols>
    <col min="1" max="16384" width="11.42578125" style="1"/>
  </cols>
  <sheetData>
    <row r="2" spans="1:1">
      <c r="A2" s="40" t="s">
        <v>0</v>
      </c>
    </row>
    <row r="3" spans="1:1">
      <c r="A3" s="54">
        <v>46023</v>
      </c>
    </row>
    <row r="4" spans="1:1">
      <c r="A4" s="54">
        <v>46034</v>
      </c>
    </row>
    <row r="5" spans="1:1">
      <c r="A5" s="54">
        <v>46104</v>
      </c>
    </row>
    <row r="6" spans="1:1">
      <c r="A6" s="54">
        <v>46110</v>
      </c>
    </row>
    <row r="7" spans="1:1">
      <c r="A7" s="54">
        <v>46114</v>
      </c>
    </row>
    <row r="8" spans="1:1">
      <c r="A8" s="54">
        <v>46115</v>
      </c>
    </row>
    <row r="9" spans="1:1">
      <c r="A9" s="54">
        <v>46117</v>
      </c>
    </row>
    <row r="10" spans="1:1">
      <c r="A10" s="54">
        <v>46143</v>
      </c>
    </row>
    <row r="11" spans="1:1">
      <c r="A11" s="54">
        <v>46160</v>
      </c>
    </row>
    <row r="12" spans="1:1">
      <c r="A12" s="54">
        <v>46181</v>
      </c>
    </row>
    <row r="13" spans="1:1">
      <c r="A13" s="54">
        <v>46188</v>
      </c>
    </row>
    <row r="14" spans="1:1">
      <c r="A14" s="54">
        <v>46202</v>
      </c>
    </row>
    <row r="15" spans="1:1">
      <c r="A15" s="54">
        <v>46223</v>
      </c>
    </row>
    <row r="16" spans="1:1">
      <c r="A16" s="54">
        <v>46241</v>
      </c>
    </row>
    <row r="17" spans="1:4">
      <c r="A17" s="54">
        <v>46251</v>
      </c>
    </row>
    <row r="18" spans="1:4">
      <c r="A18" s="54">
        <v>46307</v>
      </c>
    </row>
    <row r="19" spans="1:4">
      <c r="A19" s="54">
        <v>46328</v>
      </c>
    </row>
    <row r="20" spans="1:4">
      <c r="A20" s="55">
        <v>46342</v>
      </c>
    </row>
    <row r="21" spans="1:4">
      <c r="A21" s="55">
        <v>46364</v>
      </c>
      <c r="C21" s="3"/>
      <c r="D21" s="2"/>
    </row>
    <row r="22" spans="1:4">
      <c r="A22" s="55">
        <v>46381</v>
      </c>
      <c r="C22" s="3"/>
      <c r="D22" s="2"/>
    </row>
    <row r="23" spans="1:4">
      <c r="C23" s="3"/>
      <c r="D23" s="2"/>
    </row>
    <row r="24" spans="1:4">
      <c r="C24" s="3"/>
      <c r="D24" s="2"/>
    </row>
    <row r="25" spans="1:4">
      <c r="C25" s="3"/>
      <c r="D25" s="2"/>
    </row>
    <row r="26" spans="1:4">
      <c r="C26" s="3"/>
      <c r="D26" s="2"/>
    </row>
    <row r="27" spans="1:4">
      <c r="C27" s="3"/>
      <c r="D27" s="2"/>
    </row>
    <row r="28" spans="1:4">
      <c r="C28" s="3"/>
      <c r="D28" s="2"/>
    </row>
    <row r="29" spans="1:4">
      <c r="C29" s="3"/>
      <c r="D29" s="2"/>
    </row>
    <row r="30" spans="1:4">
      <c r="C30" s="3"/>
      <c r="D30" s="2"/>
    </row>
    <row r="31" spans="1:4">
      <c r="C31" s="3"/>
      <c r="D31" s="2"/>
    </row>
    <row r="32" spans="1:4">
      <c r="C32" s="3"/>
      <c r="D32" s="2"/>
    </row>
    <row r="33" spans="3:4">
      <c r="C33" s="3"/>
      <c r="D33" s="2"/>
    </row>
    <row r="34" spans="3:4">
      <c r="C34" s="3"/>
      <c r="D34" s="2"/>
    </row>
    <row r="35" spans="3:4">
      <c r="C35" s="3"/>
      <c r="D3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99C2-C6D2-4EA7-9274-20E8EAB3B664}">
  <sheetPr codeName="Hoja2"/>
  <dimension ref="A1:X372"/>
  <sheetViews>
    <sheetView showGridLines="0" topLeftCell="C340" zoomScaleNormal="100" workbookViewId="0">
      <selection activeCell="E212" sqref="E212:E213"/>
    </sheetView>
  </sheetViews>
  <sheetFormatPr baseColWidth="10" defaultColWidth="11.42578125" defaultRowHeight="15" outlineLevelRow="1"/>
  <cols>
    <col min="1" max="1" width="10.140625" style="69" hidden="1" customWidth="1"/>
    <col min="2" max="2" width="6.5703125" style="69" hidden="1" customWidth="1"/>
    <col min="3" max="3" width="16.42578125" style="70" customWidth="1"/>
    <col min="4" max="4" width="81.42578125" style="69" customWidth="1"/>
    <col min="5" max="5" width="24.42578125" style="71" customWidth="1"/>
    <col min="6" max="6" width="24.7109375" style="69" customWidth="1"/>
    <col min="7" max="7" width="16.85546875" style="69" bestFit="1" customWidth="1"/>
    <col min="8" max="8" width="3" style="69" hidden="1" customWidth="1"/>
    <col min="9" max="9" width="6.7109375" style="69" hidden="1" customWidth="1"/>
    <col min="10" max="10" width="16.5703125" style="69" bestFit="1" customWidth="1"/>
    <col min="11" max="11" width="19.5703125" style="69" customWidth="1"/>
    <col min="12" max="12" width="21.5703125" style="69" bestFit="1" customWidth="1"/>
    <col min="13" max="13" width="15.7109375" style="69" customWidth="1"/>
    <col min="14" max="14" width="13.85546875" style="69" bestFit="1" customWidth="1"/>
    <col min="15" max="17" width="15.85546875" style="69" customWidth="1"/>
    <col min="18" max="18" width="14.5703125" style="69" bestFit="1" customWidth="1"/>
    <col min="19" max="19" width="13.140625" style="69" bestFit="1" customWidth="1"/>
    <col min="20" max="20" width="26.140625" style="69" customWidth="1"/>
    <col min="21" max="21" width="19.28515625" style="69" bestFit="1" customWidth="1"/>
    <col min="22" max="22" width="15.28515625" style="69" bestFit="1" customWidth="1"/>
    <col min="23" max="23" width="14" style="69" bestFit="1" customWidth="1"/>
    <col min="24" max="24" width="13" style="69" bestFit="1" customWidth="1"/>
    <col min="25" max="16384" width="11.42578125" style="69"/>
  </cols>
  <sheetData>
    <row r="1" spans="1:11" ht="15" hidden="1" customHeight="1">
      <c r="E1" s="346">
        <v>42400</v>
      </c>
    </row>
    <row r="2" spans="1:11">
      <c r="E2" s="23"/>
      <c r="I2" s="16">
        <v>1</v>
      </c>
    </row>
    <row r="3" spans="1:11">
      <c r="E3" s="23"/>
      <c r="I3" s="16">
        <v>2</v>
      </c>
    </row>
    <row r="4" spans="1:11" s="21" customFormat="1" ht="15.75">
      <c r="D4" s="20" t="s">
        <v>1</v>
      </c>
      <c r="E4" s="19">
        <f>SUBTOTAL(9,E5:E11)</f>
        <v>1339387045.5999999</v>
      </c>
      <c r="F4" s="22"/>
      <c r="I4" s="16">
        <v>3</v>
      </c>
    </row>
    <row r="5" spans="1:11" s="16" customFormat="1" outlineLevel="1">
      <c r="C5" s="24"/>
      <c r="D5" s="9" t="s">
        <v>2</v>
      </c>
      <c r="E5" s="350">
        <v>1139744261.5999999</v>
      </c>
      <c r="F5" s="350"/>
      <c r="G5" s="350"/>
      <c r="I5" s="16">
        <v>4</v>
      </c>
    </row>
    <row r="6" spans="1:11" s="16" customFormat="1" outlineLevel="1">
      <c r="C6" s="24"/>
      <c r="D6" s="9" t="s">
        <v>614</v>
      </c>
      <c r="E6" s="41">
        <v>139474</v>
      </c>
      <c r="F6" s="350"/>
      <c r="G6" s="350"/>
    </row>
    <row r="7" spans="1:11" s="16" customFormat="1" outlineLevel="1">
      <c r="C7" s="24"/>
      <c r="D7" s="9" t="s">
        <v>607</v>
      </c>
      <c r="E7" s="41">
        <v>183919680</v>
      </c>
      <c r="F7" s="350"/>
      <c r="G7" s="350"/>
    </row>
    <row r="8" spans="1:11" s="16" customFormat="1" outlineLevel="1">
      <c r="C8" s="24"/>
      <c r="D8" s="9" t="s">
        <v>674</v>
      </c>
      <c r="E8" s="41">
        <v>5000000</v>
      </c>
      <c r="F8" s="350"/>
      <c r="G8" s="350"/>
    </row>
    <row r="9" spans="1:11" s="16" customFormat="1" outlineLevel="1">
      <c r="C9" s="24"/>
      <c r="D9" s="9" t="s">
        <v>100</v>
      </c>
      <c r="E9" s="41">
        <v>4808596</v>
      </c>
      <c r="F9" s="350"/>
      <c r="G9" s="350"/>
    </row>
    <row r="10" spans="1:11" s="16" customFormat="1" outlineLevel="1">
      <c r="C10" s="24"/>
      <c r="D10" s="9" t="s">
        <v>731</v>
      </c>
      <c r="E10" s="8">
        <v>215700</v>
      </c>
      <c r="F10" s="350"/>
      <c r="G10" s="350"/>
    </row>
    <row r="11" spans="1:11" s="16" customFormat="1" outlineLevel="1">
      <c r="C11" s="24"/>
      <c r="D11" s="9" t="s">
        <v>756</v>
      </c>
      <c r="E11" s="8">
        <v>5559334</v>
      </c>
      <c r="F11" s="350"/>
      <c r="G11" s="350"/>
    </row>
    <row r="12" spans="1:11" s="16" customFormat="1" ht="15.75">
      <c r="C12" s="24"/>
      <c r="D12" s="20" t="s">
        <v>3</v>
      </c>
      <c r="E12" s="19">
        <f>SUBTOTAL(9,E13:E58)</f>
        <v>342202086.40769994</v>
      </c>
      <c r="F12" s="99"/>
    </row>
    <row r="13" spans="1:11" s="16" customFormat="1" ht="14.25" customHeight="1" outlineLevel="1">
      <c r="A13" s="24"/>
      <c r="B13" s="347"/>
      <c r="C13" s="348" t="s">
        <v>4</v>
      </c>
      <c r="D13" s="431" t="s">
        <v>529</v>
      </c>
      <c r="E13" s="504">
        <v>4524531.51</v>
      </c>
      <c r="F13" s="241" t="s">
        <v>125</v>
      </c>
      <c r="G13" s="25"/>
      <c r="J13" s="25"/>
      <c r="K13" s="25"/>
    </row>
    <row r="14" spans="1:11" s="16" customFormat="1" ht="14.25" customHeight="1" outlineLevel="1">
      <c r="A14" s="24"/>
      <c r="B14" s="347"/>
      <c r="C14" s="348" t="s">
        <v>4</v>
      </c>
      <c r="D14" s="441" t="s">
        <v>575</v>
      </c>
      <c r="E14" s="504">
        <v>1549380</v>
      </c>
      <c r="F14" s="241" t="s">
        <v>125</v>
      </c>
      <c r="G14" s="25"/>
      <c r="J14" s="25"/>
      <c r="K14" s="25"/>
    </row>
    <row r="15" spans="1:11" s="16" customFormat="1" ht="14.25" customHeight="1" outlineLevel="1">
      <c r="A15" s="24"/>
      <c r="B15" s="347"/>
      <c r="C15" s="348" t="s">
        <v>4</v>
      </c>
      <c r="D15" s="459" t="s">
        <v>616</v>
      </c>
      <c r="E15" s="283">
        <v>51544068.979999997</v>
      </c>
      <c r="F15" s="8"/>
      <c r="G15" s="25"/>
      <c r="J15" s="25"/>
      <c r="K15" s="25"/>
    </row>
    <row r="16" spans="1:11" s="16" customFormat="1" ht="14.25" customHeight="1" outlineLevel="1">
      <c r="A16" s="24"/>
      <c r="B16" s="347"/>
      <c r="C16" s="348" t="s">
        <v>4</v>
      </c>
      <c r="D16" s="459" t="s">
        <v>617</v>
      </c>
      <c r="E16" s="283">
        <v>5260000</v>
      </c>
      <c r="F16" s="8"/>
      <c r="G16" s="25"/>
      <c r="J16" s="25"/>
      <c r="K16" s="25"/>
    </row>
    <row r="17" spans="1:11" s="16" customFormat="1" ht="14.25" customHeight="1" outlineLevel="1">
      <c r="A17" s="24"/>
      <c r="B17" s="347"/>
      <c r="C17" s="348" t="s">
        <v>4</v>
      </c>
      <c r="D17" s="494" t="s">
        <v>733</v>
      </c>
      <c r="E17" s="283">
        <v>34362712.649999999</v>
      </c>
      <c r="F17" s="8"/>
      <c r="G17" s="25"/>
      <c r="J17" s="25"/>
      <c r="K17" s="25"/>
    </row>
    <row r="18" spans="1:11" s="16" customFormat="1" outlineLevel="1">
      <c r="C18" s="348" t="s">
        <v>4</v>
      </c>
      <c r="D18" s="463" t="s">
        <v>530</v>
      </c>
      <c r="E18" s="283">
        <v>2455029.1800000002</v>
      </c>
      <c r="F18" s="241" t="s">
        <v>125</v>
      </c>
      <c r="G18" s="25"/>
      <c r="K18" s="25"/>
    </row>
    <row r="19" spans="1:11" s="16" customFormat="1" outlineLevel="1">
      <c r="C19" s="348" t="s">
        <v>4</v>
      </c>
      <c r="D19" s="231" t="s">
        <v>631</v>
      </c>
      <c r="E19" s="283">
        <v>6563937.3399999999</v>
      </c>
      <c r="F19" s="49"/>
      <c r="G19" s="25"/>
      <c r="K19" s="25"/>
    </row>
    <row r="20" spans="1:11" s="16" customFormat="1" outlineLevel="1">
      <c r="C20" s="348" t="s">
        <v>4</v>
      </c>
      <c r="D20" s="456" t="s">
        <v>604</v>
      </c>
      <c r="E20" s="283">
        <v>9784261</v>
      </c>
      <c r="F20" s="49"/>
      <c r="G20" s="25"/>
      <c r="K20" s="25"/>
    </row>
    <row r="21" spans="1:11" s="16" customFormat="1" outlineLevel="1">
      <c r="C21" s="348" t="s">
        <v>4</v>
      </c>
      <c r="D21" s="456" t="s">
        <v>604</v>
      </c>
      <c r="E21" s="283">
        <v>1880863</v>
      </c>
      <c r="F21" s="49"/>
      <c r="J21" s="25">
        <f>E20+E21+E23+E40+E41+E42+E43</f>
        <v>87943892</v>
      </c>
      <c r="K21" s="25"/>
    </row>
    <row r="22" spans="1:11" s="16" customFormat="1" outlineLevel="1">
      <c r="C22" s="350" t="s">
        <v>5</v>
      </c>
      <c r="D22" s="432" t="s">
        <v>531</v>
      </c>
      <c r="E22" s="350">
        <f>1341880.13*0</f>
        <v>0</v>
      </c>
      <c r="F22" s="49"/>
      <c r="G22" s="25"/>
      <c r="K22" s="25"/>
    </row>
    <row r="23" spans="1:11" s="16" customFormat="1" outlineLevel="1">
      <c r="C23" s="348" t="s">
        <v>4</v>
      </c>
      <c r="D23" s="431" t="s">
        <v>532</v>
      </c>
      <c r="E23" s="283">
        <f>605371</f>
        <v>605371</v>
      </c>
      <c r="F23" s="49"/>
      <c r="G23" s="25"/>
      <c r="K23" s="25"/>
    </row>
    <row r="24" spans="1:11" s="16" customFormat="1" outlineLevel="1">
      <c r="C24" s="348" t="s">
        <v>4</v>
      </c>
      <c r="D24" s="431" t="s">
        <v>533</v>
      </c>
      <c r="E24" s="283">
        <f>229392</f>
        <v>229392</v>
      </c>
      <c r="F24" s="49" t="s">
        <v>125</v>
      </c>
      <c r="G24" s="25"/>
      <c r="K24" s="25"/>
    </row>
    <row r="25" spans="1:11" s="16" customFormat="1" outlineLevel="1">
      <c r="C25" s="348" t="s">
        <v>4</v>
      </c>
      <c r="D25" s="494" t="s">
        <v>732</v>
      </c>
      <c r="E25" s="283">
        <f>229392</f>
        <v>229392</v>
      </c>
      <c r="F25" s="49"/>
      <c r="G25" s="25"/>
      <c r="K25" s="25"/>
    </row>
    <row r="26" spans="1:11" s="16" customFormat="1" outlineLevel="1">
      <c r="C26" s="350" t="s">
        <v>5</v>
      </c>
      <c r="D26" s="432" t="s">
        <v>534</v>
      </c>
      <c r="E26" s="350">
        <f>1692717.2*0</f>
        <v>0</v>
      </c>
      <c r="F26" s="241" t="s">
        <v>125</v>
      </c>
      <c r="G26" s="25"/>
      <c r="K26" s="25"/>
    </row>
    <row r="27" spans="1:11" s="16" customFormat="1" outlineLevel="1">
      <c r="C27" s="350" t="s">
        <v>5</v>
      </c>
      <c r="D27" s="9" t="s">
        <v>109</v>
      </c>
      <c r="E27" s="350">
        <f>7528323*0</f>
        <v>0</v>
      </c>
      <c r="F27" s="349"/>
      <c r="G27" s="137"/>
      <c r="K27" s="25"/>
    </row>
    <row r="28" spans="1:11" s="16" customFormat="1" outlineLevel="1">
      <c r="C28" s="350" t="s">
        <v>5</v>
      </c>
      <c r="D28" s="9" t="s">
        <v>110</v>
      </c>
      <c r="E28" s="350">
        <f>5391183.76*0</f>
        <v>0</v>
      </c>
      <c r="F28" s="136"/>
      <c r="G28" s="25"/>
      <c r="K28" s="25"/>
    </row>
    <row r="29" spans="1:11" s="16" customFormat="1" outlineLevel="1">
      <c r="C29" s="350" t="s">
        <v>5</v>
      </c>
      <c r="D29" s="9" t="s">
        <v>536</v>
      </c>
      <c r="E29" s="350">
        <f>9781142.24*0</f>
        <v>0</v>
      </c>
      <c r="F29" s="136"/>
      <c r="G29" s="25"/>
      <c r="K29" s="25"/>
    </row>
    <row r="30" spans="1:11" s="16" customFormat="1" outlineLevel="1">
      <c r="C30" s="350" t="s">
        <v>5</v>
      </c>
      <c r="D30" s="9" t="s">
        <v>535</v>
      </c>
      <c r="E30" s="350">
        <f>1007999.64*0</f>
        <v>0</v>
      </c>
      <c r="F30" s="136"/>
      <c r="G30" s="25"/>
      <c r="K30" s="25"/>
    </row>
    <row r="31" spans="1:11" s="16" customFormat="1" outlineLevel="1">
      <c r="C31" s="8" t="s">
        <v>5</v>
      </c>
      <c r="D31" s="9" t="s">
        <v>555</v>
      </c>
      <c r="E31" s="41">
        <f>9781142.24*2*0</f>
        <v>0</v>
      </c>
      <c r="F31" s="136"/>
      <c r="G31" s="25"/>
      <c r="K31" s="25"/>
    </row>
    <row r="32" spans="1:11" s="16" customFormat="1" outlineLevel="1">
      <c r="C32" s="8" t="s">
        <v>5</v>
      </c>
      <c r="D32" s="9" t="s">
        <v>555</v>
      </c>
      <c r="E32" s="41">
        <f>4713074*0</f>
        <v>0</v>
      </c>
      <c r="F32" s="136"/>
      <c r="G32" s="25"/>
      <c r="K32" s="25"/>
    </row>
    <row r="33" spans="3:11" s="16" customFormat="1" outlineLevel="1">
      <c r="C33" s="350" t="s">
        <v>5</v>
      </c>
      <c r="D33" s="347" t="s">
        <v>132</v>
      </c>
      <c r="E33" s="350">
        <f>1228866.62*0</f>
        <v>0</v>
      </c>
      <c r="F33" s="8"/>
      <c r="G33" s="25"/>
      <c r="K33" s="25"/>
    </row>
    <row r="34" spans="3:11" s="16" customFormat="1" outlineLevel="1">
      <c r="C34" s="348" t="s">
        <v>4</v>
      </c>
      <c r="D34" s="231" t="s">
        <v>702</v>
      </c>
      <c r="E34" s="283">
        <v>821905.26</v>
      </c>
      <c r="F34" s="169"/>
      <c r="K34" s="25"/>
    </row>
    <row r="35" spans="3:11" s="16" customFormat="1" outlineLevel="1">
      <c r="C35" s="348" t="s">
        <v>4</v>
      </c>
      <c r="D35" s="431" t="s">
        <v>537</v>
      </c>
      <c r="E35" s="283">
        <v>17406803.719999999</v>
      </c>
      <c r="F35" s="241" t="s">
        <v>125</v>
      </c>
      <c r="G35" s="25"/>
      <c r="K35" s="25"/>
    </row>
    <row r="36" spans="3:11" s="16" customFormat="1" outlineLevel="1">
      <c r="C36" s="348" t="s">
        <v>4</v>
      </c>
      <c r="D36" s="431" t="s">
        <v>538</v>
      </c>
      <c r="E36" s="283">
        <v>359994</v>
      </c>
      <c r="F36" s="241" t="s">
        <v>125</v>
      </c>
      <c r="G36" s="25"/>
      <c r="K36" s="25"/>
    </row>
    <row r="37" spans="3:11" s="16" customFormat="1" ht="14.25" customHeight="1" outlineLevel="1">
      <c r="C37" s="348" t="s">
        <v>4</v>
      </c>
      <c r="D37" s="431" t="s">
        <v>539</v>
      </c>
      <c r="E37" s="506">
        <v>2455134.4499999997</v>
      </c>
      <c r="F37" s="333">
        <v>2676010.9999999995</v>
      </c>
      <c r="G37" s="25">
        <f>(E37-F37)</f>
        <v>-220876.54999999981</v>
      </c>
      <c r="J37" s="241"/>
      <c r="K37" s="25"/>
    </row>
    <row r="38" spans="3:11" s="16" customFormat="1" ht="14.25" customHeight="1" outlineLevel="1">
      <c r="C38" s="350" t="s">
        <v>5</v>
      </c>
      <c r="D38" s="347" t="s">
        <v>133</v>
      </c>
      <c r="E38" s="333">
        <f>2709294*0</f>
        <v>0</v>
      </c>
      <c r="F38" s="350"/>
      <c r="G38" s="25"/>
      <c r="J38" s="241"/>
      <c r="K38" s="25"/>
    </row>
    <row r="39" spans="3:11" s="16" customFormat="1" outlineLevel="1">
      <c r="C39" s="350" t="s">
        <v>5</v>
      </c>
      <c r="D39" s="9" t="s">
        <v>134</v>
      </c>
      <c r="E39" s="350">
        <f>597907.31*0</f>
        <v>0</v>
      </c>
      <c r="F39" s="172"/>
      <c r="I39" s="16">
        <v>4</v>
      </c>
      <c r="K39" s="25"/>
    </row>
    <row r="40" spans="3:11" s="16" customFormat="1" outlineLevel="1">
      <c r="C40" s="348" t="s">
        <v>4</v>
      </c>
      <c r="D40" s="456" t="s">
        <v>605</v>
      </c>
      <c r="E40" s="283">
        <v>2568994</v>
      </c>
      <c r="F40" s="97"/>
      <c r="K40" s="25"/>
    </row>
    <row r="41" spans="3:11" s="16" customFormat="1" outlineLevel="1">
      <c r="C41" s="348" t="s">
        <v>4</v>
      </c>
      <c r="D41" s="470" t="s">
        <v>663</v>
      </c>
      <c r="E41" s="283">
        <v>383449</v>
      </c>
      <c r="F41" s="97"/>
      <c r="K41" s="25"/>
    </row>
    <row r="42" spans="3:11" s="16" customFormat="1" outlineLevel="1">
      <c r="C42" s="348" t="s">
        <v>4</v>
      </c>
      <c r="D42" s="443" t="s">
        <v>587</v>
      </c>
      <c r="E42" s="283">
        <v>46541148</v>
      </c>
      <c r="F42" s="97"/>
      <c r="K42" s="25"/>
    </row>
    <row r="43" spans="3:11" s="16" customFormat="1" outlineLevel="1">
      <c r="C43" s="348" t="s">
        <v>4</v>
      </c>
      <c r="D43" s="470" t="s">
        <v>662</v>
      </c>
      <c r="E43" s="283">
        <v>26179806</v>
      </c>
      <c r="F43" s="97"/>
      <c r="K43" s="25"/>
    </row>
    <row r="44" spans="3:11" s="16" customFormat="1" outlineLevel="1">
      <c r="C44" s="348" t="s">
        <v>4</v>
      </c>
      <c r="D44" s="505" t="s">
        <v>701</v>
      </c>
      <c r="E44" s="283">
        <f>1897290</f>
        <v>1897290</v>
      </c>
      <c r="F44" s="97"/>
      <c r="K44" s="25"/>
    </row>
    <row r="45" spans="3:11" s="16" customFormat="1" outlineLevel="1">
      <c r="C45" s="350" t="s">
        <v>5</v>
      </c>
      <c r="D45" s="9" t="s">
        <v>540</v>
      </c>
      <c r="E45" s="350">
        <f>1202975.28*0</f>
        <v>0</v>
      </c>
      <c r="F45" s="241"/>
      <c r="K45" s="25"/>
    </row>
    <row r="46" spans="3:11" s="16" customFormat="1" outlineLevel="1">
      <c r="C46" s="348" t="s">
        <v>4</v>
      </c>
      <c r="D46" s="431" t="s">
        <v>541</v>
      </c>
      <c r="E46" s="283">
        <f>1380793.13</f>
        <v>1380793.13</v>
      </c>
      <c r="F46" s="349"/>
      <c r="K46" s="25"/>
    </row>
    <row r="47" spans="3:11" s="16" customFormat="1" outlineLevel="1">
      <c r="C47" s="348" t="s">
        <v>4</v>
      </c>
      <c r="D47" s="431" t="s">
        <v>542</v>
      </c>
      <c r="E47" s="283">
        <v>17383715.23</v>
      </c>
      <c r="F47" s="241"/>
      <c r="K47" s="25"/>
    </row>
    <row r="48" spans="3:11" s="16" customFormat="1" outlineLevel="1">
      <c r="C48" s="348" t="s">
        <v>4</v>
      </c>
      <c r="D48" s="231" t="s">
        <v>543</v>
      </c>
      <c r="E48" s="283">
        <v>6565950.0599999996</v>
      </c>
      <c r="F48" s="241"/>
      <c r="K48" s="25"/>
    </row>
    <row r="49" spans="1:21" s="16" customFormat="1" outlineLevel="1">
      <c r="C49" s="348" t="s">
        <v>4</v>
      </c>
      <c r="D49" s="231" t="s">
        <v>594</v>
      </c>
      <c r="E49" s="283">
        <v>3462300</v>
      </c>
      <c r="F49" s="241"/>
      <c r="K49" s="25"/>
    </row>
    <row r="50" spans="1:21" s="16" customFormat="1" outlineLevel="1">
      <c r="C50" s="348" t="s">
        <v>4</v>
      </c>
      <c r="D50" s="231" t="s">
        <v>594</v>
      </c>
      <c r="E50" s="283">
        <f>'MONETIZACIONES PEND'!$R$348+'MONETIZACIONES PEND'!$R$349+'MONETIZACIONES PEND'!$R$350+'MONETIZACIONES PEND'!$R$351</f>
        <v>90383091.257700011</v>
      </c>
      <c r="F50" s="241"/>
      <c r="K50" s="25"/>
    </row>
    <row r="51" spans="1:21" s="16" customFormat="1" ht="14.25" customHeight="1" outlineLevel="1">
      <c r="A51" s="24"/>
      <c r="B51" s="347"/>
      <c r="C51" s="350" t="s">
        <v>5</v>
      </c>
      <c r="D51" s="432" t="s">
        <v>546</v>
      </c>
      <c r="E51" s="350">
        <f>87111218.1195*0</f>
        <v>0</v>
      </c>
      <c r="F51" s="350">
        <v>0</v>
      </c>
      <c r="G51" s="25">
        <f>(E51-F51)*0</f>
        <v>0</v>
      </c>
      <c r="J51" s="433">
        <v>20841.55</v>
      </c>
      <c r="K51" s="25"/>
    </row>
    <row r="52" spans="1:21" s="16" customFormat="1" ht="14.25" customHeight="1" outlineLevel="1">
      <c r="A52" s="24"/>
      <c r="B52" s="347"/>
      <c r="C52" s="350" t="s">
        <v>5</v>
      </c>
      <c r="D52" s="432" t="s">
        <v>547</v>
      </c>
      <c r="E52" s="350">
        <f>66875205.9551*0</f>
        <v>0</v>
      </c>
      <c r="F52" s="350">
        <v>0</v>
      </c>
      <c r="G52" s="25">
        <f>(E52-F52)*0</f>
        <v>0</v>
      </c>
      <c r="J52" s="433">
        <v>16639.39</v>
      </c>
      <c r="K52" s="25"/>
    </row>
    <row r="53" spans="1:21" s="16" customFormat="1" ht="14.25" customHeight="1" outlineLevel="1">
      <c r="A53" s="24"/>
      <c r="B53" s="347"/>
      <c r="C53" s="350" t="s">
        <v>5</v>
      </c>
      <c r="D53" s="432" t="s">
        <v>548</v>
      </c>
      <c r="E53" s="350">
        <f>63738690.8265*0</f>
        <v>0</v>
      </c>
      <c r="F53" s="350">
        <v>0</v>
      </c>
      <c r="G53" s="25">
        <f>(E53-F53)*0</f>
        <v>0</v>
      </c>
      <c r="J53" s="433">
        <v>16337.849999999999</v>
      </c>
      <c r="K53" s="25"/>
    </row>
    <row r="54" spans="1:21" s="16" customFormat="1" ht="30" outlineLevel="1">
      <c r="C54" s="350" t="s">
        <v>5</v>
      </c>
      <c r="D54" s="9" t="s">
        <v>103</v>
      </c>
      <c r="E54" s="350">
        <f>7370606*0</f>
        <v>0</v>
      </c>
      <c r="F54" s="100"/>
      <c r="J54" s="434">
        <f>SUM(J51:J53)</f>
        <v>53818.79</v>
      </c>
      <c r="K54" s="25"/>
    </row>
    <row r="55" spans="1:21" s="16" customFormat="1" outlineLevel="1">
      <c r="A55" s="233"/>
      <c r="B55" s="233"/>
      <c r="C55" s="348" t="s">
        <v>4</v>
      </c>
      <c r="D55" s="231" t="s">
        <v>734</v>
      </c>
      <c r="E55" s="283">
        <v>1843176</v>
      </c>
      <c r="F55" s="100"/>
      <c r="G55" s="25"/>
      <c r="J55" s="7"/>
      <c r="K55" s="25"/>
    </row>
    <row r="56" spans="1:21" s="16" customFormat="1" outlineLevel="1">
      <c r="C56" s="350" t="s">
        <v>5</v>
      </c>
      <c r="D56" s="9" t="s">
        <v>544</v>
      </c>
      <c r="E56" s="350">
        <f>694763.99*0</f>
        <v>0</v>
      </c>
      <c r="F56" s="241"/>
      <c r="G56" s="25"/>
      <c r="J56" s="235"/>
      <c r="K56" s="25"/>
      <c r="L56" s="237"/>
    </row>
    <row r="57" spans="1:21" s="16" customFormat="1" outlineLevel="1">
      <c r="C57" s="348" t="s">
        <v>4</v>
      </c>
      <c r="D57" s="231" t="s">
        <v>545</v>
      </c>
      <c r="E57" s="283">
        <f>1826568.28</f>
        <v>1826568.28</v>
      </c>
      <c r="F57" s="100"/>
      <c r="K57" s="25"/>
    </row>
    <row r="58" spans="1:21" s="16" customFormat="1" outlineLevel="1">
      <c r="C58" s="348" t="s">
        <v>4</v>
      </c>
      <c r="D58" s="231" t="s">
        <v>746</v>
      </c>
      <c r="E58" s="283">
        <v>1753029.36</v>
      </c>
      <c r="F58" s="100"/>
      <c r="K58" s="25"/>
    </row>
    <row r="59" spans="1:21" s="16" customFormat="1" ht="15" customHeight="1">
      <c r="C59" s="24"/>
      <c r="D59" s="20" t="s">
        <v>6</v>
      </c>
      <c r="E59" s="19" t="e">
        <f>SUBTOTAL(9,E60:E109)</f>
        <v>#REF!</v>
      </c>
      <c r="F59" s="72">
        <v>1</v>
      </c>
      <c r="S59" s="26"/>
    </row>
    <row r="60" spans="1:21" s="16" customFormat="1" ht="15" customHeight="1" outlineLevel="1">
      <c r="C60" s="8" t="s">
        <v>5</v>
      </c>
      <c r="D60" s="9" t="s">
        <v>7</v>
      </c>
      <c r="E60" s="350" t="e">
        <f>'MONETIZACIONES PEND'!#REF!*0</f>
        <v>#REF!</v>
      </c>
      <c r="F60" s="8"/>
      <c r="G60" s="25" t="e">
        <f>(E60-F60)*0</f>
        <v>#REF!</v>
      </c>
      <c r="J60" s="349"/>
      <c r="K60" s="8"/>
      <c r="L60" s="104"/>
      <c r="M60" s="30"/>
      <c r="T60" s="74"/>
      <c r="U60" s="74"/>
    </row>
    <row r="61" spans="1:21" s="16" customFormat="1" outlineLevel="1">
      <c r="C61" s="479" t="s">
        <v>4</v>
      </c>
      <c r="D61" s="478" t="s">
        <v>652</v>
      </c>
      <c r="E61" s="283">
        <v>1265173.3499999999</v>
      </c>
      <c r="F61" s="350">
        <v>1293165.9438</v>
      </c>
      <c r="G61" s="25">
        <f t="shared" ref="G61:G68" si="0">(E61-F61)</f>
        <v>-27992.593800000148</v>
      </c>
      <c r="S61" s="26"/>
    </row>
    <row r="62" spans="1:21" s="16" customFormat="1" outlineLevel="1">
      <c r="C62" s="479" t="s">
        <v>4</v>
      </c>
      <c r="D62" s="478" t="s">
        <v>653</v>
      </c>
      <c r="E62" s="283">
        <v>11501681.449999999</v>
      </c>
      <c r="F62" s="350">
        <v>11756161.910600001</v>
      </c>
      <c r="G62" s="25">
        <f t="shared" si="0"/>
        <v>-254480.46060000174</v>
      </c>
      <c r="S62" s="26"/>
    </row>
    <row r="63" spans="1:21" s="16" customFormat="1" outlineLevel="1">
      <c r="C63" s="232" t="s">
        <v>4</v>
      </c>
      <c r="D63" s="231" t="s">
        <v>753</v>
      </c>
      <c r="E63" s="283">
        <v>484792.18038345256</v>
      </c>
      <c r="F63" s="350">
        <v>493290.8003</v>
      </c>
      <c r="G63" s="25">
        <f t="shared" si="0"/>
        <v>-8498.6199165474391</v>
      </c>
      <c r="J63" s="73"/>
      <c r="K63" s="8"/>
      <c r="L63" s="286"/>
      <c r="M63" s="30"/>
      <c r="T63" s="74"/>
      <c r="U63" s="74"/>
    </row>
    <row r="64" spans="1:21" s="16" customFormat="1" outlineLevel="1">
      <c r="C64" s="232" t="s">
        <v>4</v>
      </c>
      <c r="D64" s="498" t="s">
        <v>754</v>
      </c>
      <c r="E64" s="283">
        <v>4407288.8381165471</v>
      </c>
      <c r="F64" s="350">
        <v>4484550.5477999998</v>
      </c>
      <c r="G64" s="25">
        <f t="shared" si="0"/>
        <v>-77261.709683452733</v>
      </c>
      <c r="J64" s="73"/>
      <c r="K64" s="8"/>
      <c r="L64" s="286"/>
      <c r="M64" s="30"/>
      <c r="T64" s="74"/>
      <c r="U64" s="74"/>
    </row>
    <row r="65" spans="3:21" s="16" customFormat="1" outlineLevel="1">
      <c r="C65" s="232" t="s">
        <v>4</v>
      </c>
      <c r="D65" s="231" t="s">
        <v>126</v>
      </c>
      <c r="E65" s="283">
        <v>2235488.0954</v>
      </c>
      <c r="F65" s="350">
        <v>2228468.5282000001</v>
      </c>
      <c r="G65" s="25">
        <f t="shared" si="0"/>
        <v>7019.5671999999322</v>
      </c>
      <c r="J65" s="52"/>
      <c r="L65" s="26"/>
      <c r="M65" s="26"/>
    </row>
    <row r="66" spans="3:21" s="16" customFormat="1" outlineLevel="1">
      <c r="C66" s="232" t="s">
        <v>4</v>
      </c>
      <c r="D66" s="231" t="s">
        <v>127</v>
      </c>
      <c r="E66" s="283">
        <v>40644342.782400005</v>
      </c>
      <c r="F66" s="350">
        <v>40516717.099200003</v>
      </c>
      <c r="G66" s="25">
        <f t="shared" si="0"/>
        <v>127625.68320000172</v>
      </c>
      <c r="J66" s="52"/>
      <c r="L66" s="26"/>
      <c r="M66" s="26"/>
    </row>
    <row r="67" spans="3:21" s="16" customFormat="1" outlineLevel="1">
      <c r="C67" s="232" t="s">
        <v>4</v>
      </c>
      <c r="D67" s="459" t="s">
        <v>619</v>
      </c>
      <c r="E67" s="283">
        <v>1621642.8</v>
      </c>
      <c r="F67" s="350">
        <v>1615169.9280000001</v>
      </c>
      <c r="G67" s="25">
        <f t="shared" si="0"/>
        <v>6472.8719999999739</v>
      </c>
      <c r="J67" s="52"/>
      <c r="L67" s="26"/>
      <c r="M67" s="26"/>
    </row>
    <row r="68" spans="3:21" s="16" customFormat="1" outlineLevel="1">
      <c r="C68" s="232" t="s">
        <v>4</v>
      </c>
      <c r="D68" s="459" t="s">
        <v>618</v>
      </c>
      <c r="E68" s="283">
        <v>29484466.199999999</v>
      </c>
      <c r="F68" s="350">
        <v>29366777.412</v>
      </c>
      <c r="G68" s="25">
        <f t="shared" si="0"/>
        <v>117688.78799999878</v>
      </c>
      <c r="J68" s="52"/>
      <c r="L68" s="26"/>
      <c r="M68" s="26"/>
    </row>
    <row r="69" spans="3:21" s="16" customFormat="1" outlineLevel="1">
      <c r="C69" s="232" t="s">
        <v>4</v>
      </c>
      <c r="D69" s="463" t="s">
        <v>632</v>
      </c>
      <c r="E69" s="283">
        <v>1004663</v>
      </c>
      <c r="F69" s="350"/>
      <c r="G69" s="25">
        <f t="shared" ref="G69:G109" si="1">(E69-F69)*0</f>
        <v>0</v>
      </c>
      <c r="J69" s="52"/>
      <c r="K69" s="8"/>
      <c r="L69" s="286"/>
      <c r="M69" s="30"/>
      <c r="T69" s="74"/>
      <c r="U69" s="74"/>
    </row>
    <row r="70" spans="3:21" s="16" customFormat="1" outlineLevel="1">
      <c r="C70" s="232" t="s">
        <v>4</v>
      </c>
      <c r="D70" s="463" t="s">
        <v>633</v>
      </c>
      <c r="E70" s="283">
        <v>10046625</v>
      </c>
      <c r="F70" s="350"/>
      <c r="G70" s="25">
        <f t="shared" si="1"/>
        <v>0</v>
      </c>
      <c r="J70" s="52"/>
      <c r="K70" s="8"/>
      <c r="L70" s="286"/>
      <c r="M70" s="30"/>
      <c r="T70" s="74"/>
      <c r="U70" s="74"/>
    </row>
    <row r="71" spans="3:21" s="16" customFormat="1" outlineLevel="1">
      <c r="C71" s="232" t="s">
        <v>4</v>
      </c>
      <c r="D71" s="459" t="s">
        <v>620</v>
      </c>
      <c r="E71" s="283">
        <v>676247.25</v>
      </c>
      <c r="F71" s="8">
        <v>670058.65500000003</v>
      </c>
      <c r="G71" s="25">
        <f>(E71-F71)</f>
        <v>6188.5949999999721</v>
      </c>
      <c r="J71" s="52"/>
      <c r="K71" s="8"/>
      <c r="L71" s="286"/>
      <c r="M71" s="30"/>
      <c r="T71" s="74"/>
      <c r="U71" s="74"/>
    </row>
    <row r="72" spans="3:21" s="16" customFormat="1" outlineLevel="1">
      <c r="C72" s="232" t="s">
        <v>4</v>
      </c>
      <c r="D72" s="459" t="s">
        <v>621</v>
      </c>
      <c r="E72" s="283">
        <v>5928055.375</v>
      </c>
      <c r="F72" s="8">
        <v>5873805.4924999997</v>
      </c>
      <c r="G72" s="25">
        <f>(E72-F72)</f>
        <v>54249.882500000298</v>
      </c>
      <c r="J72" s="52"/>
      <c r="K72" s="8"/>
      <c r="L72" s="286"/>
      <c r="M72" s="30"/>
      <c r="T72" s="74"/>
      <c r="U72" s="74"/>
    </row>
    <row r="73" spans="3:21" s="16" customFormat="1" outlineLevel="1">
      <c r="C73" s="232" t="s">
        <v>4</v>
      </c>
      <c r="D73" s="476" t="s">
        <v>622</v>
      </c>
      <c r="E73" s="283">
        <v>3109612.8003479433</v>
      </c>
      <c r="F73" s="8">
        <v>3100513.4268</v>
      </c>
      <c r="G73" s="25">
        <f>(E73-F73)</f>
        <v>9099.3735479433089</v>
      </c>
      <c r="J73" s="73"/>
      <c r="K73" s="8"/>
      <c r="L73" s="286"/>
      <c r="M73" s="30"/>
      <c r="T73" s="74"/>
      <c r="U73" s="74"/>
    </row>
    <row r="74" spans="3:21" s="16" customFormat="1" outlineLevel="1">
      <c r="C74" s="232" t="s">
        <v>4</v>
      </c>
      <c r="D74" s="476" t="s">
        <v>623</v>
      </c>
      <c r="E74" s="283">
        <v>53099097.010852054</v>
      </c>
      <c r="F74" s="8">
        <v>52943718.013599999</v>
      </c>
      <c r="G74" s="25">
        <f>(E74-F74)</f>
        <v>155378.99725205451</v>
      </c>
      <c r="J74" s="73"/>
      <c r="K74" s="8"/>
      <c r="L74" s="286"/>
      <c r="M74" s="30"/>
      <c r="T74" s="74"/>
      <c r="U74" s="74"/>
    </row>
    <row r="75" spans="3:21" s="16" customFormat="1" outlineLevel="1">
      <c r="C75" s="8" t="s">
        <v>5</v>
      </c>
      <c r="D75" s="484" t="s">
        <v>550</v>
      </c>
      <c r="E75" s="435">
        <f>683895.328*0</f>
        <v>0</v>
      </c>
      <c r="F75" s="350"/>
      <c r="G75" s="25">
        <f t="shared" si="1"/>
        <v>0</v>
      </c>
      <c r="J75" s="73"/>
      <c r="K75" s="8"/>
      <c r="L75" s="286"/>
      <c r="M75" s="30"/>
      <c r="T75" s="74"/>
      <c r="U75" s="74"/>
    </row>
    <row r="76" spans="3:21" s="16" customFormat="1" outlineLevel="1">
      <c r="C76" s="8" t="s">
        <v>5</v>
      </c>
      <c r="D76" s="432" t="s">
        <v>549</v>
      </c>
      <c r="E76" s="435">
        <f>6838916.456*0</f>
        <v>0</v>
      </c>
      <c r="F76" s="350"/>
      <c r="G76" s="25">
        <f t="shared" si="1"/>
        <v>0</v>
      </c>
      <c r="J76" s="73"/>
      <c r="K76" s="8"/>
      <c r="L76" s="286"/>
      <c r="M76" s="30"/>
      <c r="T76" s="74"/>
      <c r="U76" s="74"/>
    </row>
    <row r="77" spans="3:21" s="16" customFormat="1" outlineLevel="1">
      <c r="C77" s="8" t="s">
        <v>5</v>
      </c>
      <c r="D77" s="432" t="s">
        <v>552</v>
      </c>
      <c r="E77" s="435">
        <f>427452.992*0</f>
        <v>0</v>
      </c>
      <c r="F77" s="350"/>
      <c r="G77" s="25">
        <f t="shared" si="1"/>
        <v>0</v>
      </c>
      <c r="J77" s="242"/>
      <c r="K77" s="8"/>
      <c r="L77" s="286"/>
      <c r="M77" s="30"/>
      <c r="T77" s="74"/>
      <c r="U77" s="74"/>
    </row>
    <row r="78" spans="3:21" s="16" customFormat="1" outlineLevel="1">
      <c r="C78" s="8" t="s">
        <v>5</v>
      </c>
      <c r="D78" s="432" t="s">
        <v>551</v>
      </c>
      <c r="E78" s="435">
        <f>4274640.392*0</f>
        <v>0</v>
      </c>
      <c r="F78" s="350"/>
      <c r="G78" s="25">
        <f t="shared" si="1"/>
        <v>0</v>
      </c>
      <c r="J78" s="242"/>
      <c r="K78" s="8"/>
      <c r="L78" s="286"/>
      <c r="M78" s="30"/>
      <c r="T78" s="74"/>
      <c r="U78" s="74"/>
    </row>
    <row r="79" spans="3:21" s="16" customFormat="1" outlineLevel="1">
      <c r="C79" s="8" t="s">
        <v>5</v>
      </c>
      <c r="D79" s="462" t="s">
        <v>635</v>
      </c>
      <c r="E79" s="435">
        <f>427980.3884*0</f>
        <v>0</v>
      </c>
      <c r="F79" s="350"/>
      <c r="G79" s="25">
        <f t="shared" ref="G79:G80" si="2">(E79-F79)*0</f>
        <v>0</v>
      </c>
      <c r="J79" s="242"/>
      <c r="K79" s="8"/>
      <c r="L79" s="286"/>
      <c r="M79" s="30"/>
      <c r="T79" s="74"/>
      <c r="U79" s="74"/>
    </row>
    <row r="80" spans="3:21" s="16" customFormat="1" outlineLevel="1">
      <c r="C80" s="8" t="s">
        <v>5</v>
      </c>
      <c r="D80" s="462" t="s">
        <v>636</v>
      </c>
      <c r="E80" s="435">
        <f>4279879.4722*0</f>
        <v>0</v>
      </c>
      <c r="F80" s="350"/>
      <c r="G80" s="25">
        <f t="shared" si="2"/>
        <v>0</v>
      </c>
      <c r="J80" s="242"/>
      <c r="K80" s="8"/>
      <c r="L80" s="286"/>
      <c r="M80" s="30"/>
      <c r="T80" s="74"/>
      <c r="U80" s="74"/>
    </row>
    <row r="81" spans="3:23" s="16" customFormat="1" ht="30" outlineLevel="1">
      <c r="C81" s="8" t="s">
        <v>5</v>
      </c>
      <c r="D81" s="488" t="s">
        <v>711</v>
      </c>
      <c r="E81" s="8">
        <f>2855434.869*0</f>
        <v>0</v>
      </c>
      <c r="F81" s="350"/>
      <c r="G81" s="25">
        <f t="shared" si="1"/>
        <v>0</v>
      </c>
      <c r="J81" s="73"/>
      <c r="L81" s="26"/>
      <c r="M81" s="26"/>
    </row>
    <row r="82" spans="3:23" s="16" customFormat="1" ht="30" outlineLevel="1">
      <c r="C82" s="8" t="s">
        <v>5</v>
      </c>
      <c r="D82" s="488" t="s">
        <v>712</v>
      </c>
      <c r="E82" s="8">
        <f>53276427.2691*0</f>
        <v>0</v>
      </c>
      <c r="F82" s="350"/>
      <c r="G82" s="25">
        <f t="shared" si="1"/>
        <v>0</v>
      </c>
      <c r="J82" s="73"/>
      <c r="L82" s="26"/>
      <c r="M82" s="26"/>
    </row>
    <row r="83" spans="3:23" s="16" customFormat="1" outlineLevel="1">
      <c r="C83" s="232" t="s">
        <v>4</v>
      </c>
      <c r="D83" s="476" t="s">
        <v>654</v>
      </c>
      <c r="E83" s="283">
        <v>2230013.8633892382</v>
      </c>
      <c r="F83" s="350">
        <v>2282657.7489999998</v>
      </c>
      <c r="G83" s="25">
        <f t="shared" ref="G83:G84" si="3">(E83-F83)</f>
        <v>-52643.885610761587</v>
      </c>
      <c r="K83" s="25"/>
      <c r="S83" s="35"/>
      <c r="U83" s="25"/>
      <c r="V83" s="102"/>
      <c r="W83" s="26"/>
    </row>
    <row r="84" spans="3:23" s="16" customFormat="1" outlineLevel="1">
      <c r="C84" s="232" t="s">
        <v>4</v>
      </c>
      <c r="D84" s="476" t="s">
        <v>655</v>
      </c>
      <c r="E84" s="283">
        <v>24778064.786610764</v>
      </c>
      <c r="F84" s="350">
        <v>25362999.987999998</v>
      </c>
      <c r="G84" s="25">
        <f t="shared" si="3"/>
        <v>-584935.20138923451</v>
      </c>
      <c r="K84" s="25"/>
      <c r="S84" s="35"/>
      <c r="U84" s="25"/>
      <c r="V84" s="102"/>
      <c r="W84" s="26"/>
    </row>
    <row r="85" spans="3:23" s="16" customFormat="1" outlineLevel="1">
      <c r="C85" s="232" t="s">
        <v>4</v>
      </c>
      <c r="D85" s="463" t="s">
        <v>634</v>
      </c>
      <c r="E85" s="283">
        <v>144494834.04000002</v>
      </c>
      <c r="F85" s="8">
        <v>144570834.03</v>
      </c>
      <c r="G85" s="25">
        <f t="shared" ref="G85:G91" si="4">(E85-F85)</f>
        <v>-75999.989999979734</v>
      </c>
      <c r="J85" s="73"/>
      <c r="K85" s="25"/>
      <c r="L85" s="286"/>
      <c r="M85" s="30"/>
      <c r="T85" s="74"/>
      <c r="U85" s="74"/>
    </row>
    <row r="86" spans="3:23" s="16" customFormat="1" outlineLevel="1">
      <c r="C86" s="232" t="s">
        <v>4</v>
      </c>
      <c r="D86" s="487" t="s">
        <v>710</v>
      </c>
      <c r="E86" s="283">
        <v>761389470.89999998</v>
      </c>
      <c r="F86" s="489">
        <v>783834187.58499992</v>
      </c>
      <c r="G86" s="25">
        <f t="shared" si="4"/>
        <v>-22444716.684999943</v>
      </c>
      <c r="J86" s="73"/>
      <c r="K86" s="25"/>
      <c r="L86" s="286"/>
      <c r="M86" s="30"/>
      <c r="T86" s="74"/>
      <c r="U86" s="74"/>
    </row>
    <row r="87" spans="3:23" s="16" customFormat="1" outlineLevel="1">
      <c r="C87" s="8" t="s">
        <v>5</v>
      </c>
      <c r="D87" s="503" t="s">
        <v>774</v>
      </c>
      <c r="E87" s="489">
        <f>3973041.075*0</f>
        <v>0</v>
      </c>
      <c r="F87" s="489"/>
      <c r="G87" s="25">
        <f>(E87-F87)*0</f>
        <v>0</v>
      </c>
      <c r="J87" s="73"/>
      <c r="K87" s="25"/>
      <c r="L87" s="286"/>
      <c r="M87" s="30"/>
      <c r="T87" s="74"/>
      <c r="U87" s="74"/>
    </row>
    <row r="88" spans="3:23" s="16" customFormat="1" ht="14.25" customHeight="1" outlineLevel="1">
      <c r="C88" s="232" t="s">
        <v>4</v>
      </c>
      <c r="D88" s="443" t="s">
        <v>590</v>
      </c>
      <c r="E88" s="283">
        <v>645767.34299999999</v>
      </c>
      <c r="F88" s="8">
        <v>640408.65120000008</v>
      </c>
      <c r="G88" s="25">
        <f t="shared" si="4"/>
        <v>5358.6917999999132</v>
      </c>
      <c r="J88" s="52"/>
      <c r="L88" s="26"/>
      <c r="M88" s="26"/>
      <c r="U88" s="288"/>
    </row>
    <row r="89" spans="3:23" s="16" customFormat="1" ht="14.25" customHeight="1" outlineLevel="1">
      <c r="C89" s="232" t="s">
        <v>4</v>
      </c>
      <c r="D89" s="443" t="s">
        <v>591</v>
      </c>
      <c r="E89" s="283">
        <v>5870456.5724999998</v>
      </c>
      <c r="F89" s="8">
        <v>5821742.4840000002</v>
      </c>
      <c r="G89" s="25">
        <f t="shared" si="4"/>
        <v>48714.088499999605</v>
      </c>
      <c r="J89" s="52"/>
      <c r="L89" s="26"/>
      <c r="M89" s="26"/>
      <c r="U89" s="288"/>
    </row>
    <row r="90" spans="3:23" s="16" customFormat="1" outlineLevel="1">
      <c r="C90" s="232" t="s">
        <v>4</v>
      </c>
      <c r="D90" s="476" t="s">
        <v>656</v>
      </c>
      <c r="E90" s="283">
        <v>3725117.558913311</v>
      </c>
      <c r="F90" s="8">
        <v>3762553.8313999996</v>
      </c>
      <c r="G90" s="25">
        <f t="shared" si="4"/>
        <v>-37436.272486688569</v>
      </c>
      <c r="S90" s="26"/>
      <c r="U90" s="287"/>
    </row>
    <row r="91" spans="3:23" s="16" customFormat="1" outlineLevel="1">
      <c r="C91" s="232" t="s">
        <v>4</v>
      </c>
      <c r="D91" s="476" t="s">
        <v>657</v>
      </c>
      <c r="E91" s="283">
        <v>62084793.741086699</v>
      </c>
      <c r="F91" s="8">
        <v>62708726.601999998</v>
      </c>
      <c r="G91" s="25">
        <f t="shared" si="4"/>
        <v>-623932.86091329902</v>
      </c>
      <c r="S91" s="26"/>
      <c r="U91" s="287"/>
    </row>
    <row r="92" spans="3:23" s="16" customFormat="1" outlineLevel="1">
      <c r="C92" s="232" t="s">
        <v>4</v>
      </c>
      <c r="D92" s="498" t="s">
        <v>750</v>
      </c>
      <c r="E92" s="283">
        <v>7560646.4694504393</v>
      </c>
      <c r="F92" s="350">
        <v>7531872.2034999998</v>
      </c>
      <c r="G92" s="25">
        <f t="shared" ref="G92:G97" si="5">(E92-F92)</f>
        <v>28774.265950439498</v>
      </c>
      <c r="J92" s="241"/>
      <c r="K92" s="8"/>
      <c r="L92" s="286"/>
      <c r="M92" s="30"/>
      <c r="T92" s="74"/>
      <c r="U92" s="74"/>
    </row>
    <row r="93" spans="3:23" s="16" customFormat="1" outlineLevel="1">
      <c r="C93" s="232" t="s">
        <v>4</v>
      </c>
      <c r="D93" s="498" t="s">
        <v>751</v>
      </c>
      <c r="E93" s="283">
        <v>96515781.155780599</v>
      </c>
      <c r="F93" s="350">
        <v>96148461.936900005</v>
      </c>
      <c r="G93" s="25">
        <f t="shared" si="5"/>
        <v>367319.21888059378</v>
      </c>
      <c r="J93" s="241"/>
      <c r="K93" s="8"/>
      <c r="L93" s="286"/>
      <c r="M93" s="30"/>
      <c r="T93" s="74"/>
      <c r="U93" s="74"/>
    </row>
    <row r="94" spans="3:23" s="16" customFormat="1" outlineLevel="1">
      <c r="C94" s="232" t="s">
        <v>4</v>
      </c>
      <c r="D94" s="498" t="s">
        <v>752</v>
      </c>
      <c r="E94" s="283">
        <v>160637.12476895624</v>
      </c>
      <c r="F94" s="350">
        <v>160025.77290000001</v>
      </c>
      <c r="G94" s="25">
        <f t="shared" si="5"/>
        <v>611.35186895623337</v>
      </c>
      <c r="J94" s="241"/>
      <c r="K94" s="8"/>
      <c r="L94" s="286"/>
      <c r="M94" s="30"/>
      <c r="T94" s="74"/>
      <c r="U94" s="74"/>
    </row>
    <row r="95" spans="3:23" s="16" customFormat="1" outlineLevel="1">
      <c r="C95" s="232" t="s">
        <v>4</v>
      </c>
      <c r="D95" s="444" t="s">
        <v>582</v>
      </c>
      <c r="E95" s="283">
        <v>5028811.92</v>
      </c>
      <c r="F95" s="8">
        <v>5039027.5416000001</v>
      </c>
      <c r="G95" s="25">
        <f t="shared" si="5"/>
        <v>-10215.621600000188</v>
      </c>
      <c r="J95" s="73"/>
      <c r="K95" s="25"/>
      <c r="S95" s="35"/>
      <c r="U95" s="25"/>
    </row>
    <row r="96" spans="3:23" s="16" customFormat="1" outlineLevel="1">
      <c r="C96" s="232" t="s">
        <v>4</v>
      </c>
      <c r="D96" s="478" t="s">
        <v>679</v>
      </c>
      <c r="E96" s="283">
        <v>1062609.6653399668</v>
      </c>
      <c r="F96" s="8">
        <v>1072405.152</v>
      </c>
      <c r="G96" s="25">
        <f t="shared" si="5"/>
        <v>-9795.4866600332316</v>
      </c>
      <c r="J96" s="73"/>
      <c r="K96" s="25"/>
      <c r="S96" s="35"/>
      <c r="U96" s="25"/>
    </row>
    <row r="97" spans="3:22" s="16" customFormat="1" outlineLevel="1">
      <c r="C97" s="232" t="s">
        <v>4</v>
      </c>
      <c r="D97" s="478" t="s">
        <v>680</v>
      </c>
      <c r="E97" s="283">
        <v>11523622.317160033</v>
      </c>
      <c r="F97" s="8">
        <v>11629850.8716</v>
      </c>
      <c r="G97" s="25">
        <f t="shared" si="5"/>
        <v>-106228.5544399675</v>
      </c>
      <c r="J97" s="73"/>
      <c r="K97" s="25"/>
      <c r="S97" s="35"/>
      <c r="U97" s="25"/>
    </row>
    <row r="98" spans="3:22" s="16" customFormat="1" outlineLevel="1">
      <c r="C98" s="8" t="s">
        <v>5</v>
      </c>
      <c r="D98" s="503" t="s">
        <v>775</v>
      </c>
      <c r="E98" s="8">
        <f>11287082.5151*0</f>
        <v>0</v>
      </c>
      <c r="F98" s="8"/>
      <c r="G98" s="25">
        <f>(E98-F98)*0</f>
        <v>0</v>
      </c>
      <c r="J98" s="73"/>
      <c r="K98" s="25"/>
      <c r="S98" s="35"/>
      <c r="U98" s="25"/>
    </row>
    <row r="99" spans="3:22" s="16" customFormat="1" outlineLevel="1">
      <c r="C99" s="8" t="s">
        <v>5</v>
      </c>
      <c r="D99" s="9" t="s">
        <v>713</v>
      </c>
      <c r="E99" s="435">
        <f>(3255.57*3890.28)*0</f>
        <v>0</v>
      </c>
      <c r="F99" s="350"/>
      <c r="G99" s="25">
        <f t="shared" si="1"/>
        <v>0</v>
      </c>
      <c r="J99" s="326"/>
      <c r="L99" s="26"/>
      <c r="M99" s="26"/>
    </row>
    <row r="100" spans="3:22" s="16" customFormat="1" outlineLevel="1">
      <c r="C100" s="8" t="s">
        <v>5</v>
      </c>
      <c r="D100" s="9" t="s">
        <v>714</v>
      </c>
      <c r="E100" s="435">
        <f>3333190.9*0</f>
        <v>0</v>
      </c>
      <c r="F100" s="350"/>
      <c r="G100" s="25">
        <f t="shared" si="1"/>
        <v>0</v>
      </c>
      <c r="J100" s="73"/>
      <c r="K100" s="25"/>
      <c r="L100" s="104"/>
      <c r="M100" s="30"/>
      <c r="T100" s="74"/>
      <c r="U100" s="74"/>
    </row>
    <row r="101" spans="3:22" s="16" customFormat="1" outlineLevel="1">
      <c r="C101" s="8" t="s">
        <v>5</v>
      </c>
      <c r="D101" s="488" t="s">
        <v>715</v>
      </c>
      <c r="E101" s="435">
        <f>868549.5952*0</f>
        <v>0</v>
      </c>
      <c r="F101" s="350"/>
      <c r="G101" s="25">
        <f t="shared" si="1"/>
        <v>0</v>
      </c>
      <c r="J101" s="326"/>
      <c r="L101" s="26"/>
      <c r="M101" s="26"/>
    </row>
    <row r="102" spans="3:22" s="16" customFormat="1" outlineLevel="1">
      <c r="C102" s="232" t="s">
        <v>4</v>
      </c>
      <c r="D102" s="231" t="s">
        <v>584</v>
      </c>
      <c r="E102" s="283">
        <v>46700436.636000007</v>
      </c>
      <c r="F102" s="8">
        <v>46501659.036000006</v>
      </c>
      <c r="G102" s="25">
        <f>(E102-F102)</f>
        <v>198777.60000000149</v>
      </c>
      <c r="J102" s="326"/>
      <c r="L102" s="26"/>
      <c r="M102" s="26"/>
    </row>
    <row r="103" spans="3:22" s="16" customFormat="1" outlineLevel="1">
      <c r="C103" s="232" t="s">
        <v>4</v>
      </c>
      <c r="D103" s="231" t="s">
        <v>585</v>
      </c>
      <c r="E103" s="283">
        <v>1172839274.9849</v>
      </c>
      <c r="F103" s="8">
        <v>1167847155.1449001</v>
      </c>
      <c r="G103" s="25">
        <f>(E103-F103)</f>
        <v>4992119.8399999142</v>
      </c>
      <c r="J103" s="326"/>
      <c r="L103" s="26"/>
      <c r="M103" s="26"/>
    </row>
    <row r="104" spans="3:22" s="16" customFormat="1" outlineLevel="1">
      <c r="C104" s="232" t="s">
        <v>4</v>
      </c>
      <c r="D104" s="231" t="s">
        <v>671</v>
      </c>
      <c r="E104" s="283">
        <v>29020404.721272483</v>
      </c>
      <c r="F104" s="8">
        <v>28765256.430600002</v>
      </c>
      <c r="G104" s="25">
        <f>(E104-F104)</f>
        <v>255148.29067248106</v>
      </c>
      <c r="J104" s="326"/>
      <c r="L104" s="26"/>
      <c r="M104" s="26"/>
    </row>
    <row r="105" spans="3:22" s="16" customFormat="1" outlineLevel="1">
      <c r="C105" s="232" t="s">
        <v>4</v>
      </c>
      <c r="D105" s="231" t="s">
        <v>672</v>
      </c>
      <c r="E105" s="283">
        <v>2930762.2787275184</v>
      </c>
      <c r="F105" s="8">
        <v>3100513.4268</v>
      </c>
      <c r="G105" s="25">
        <f>(E105-F105)</f>
        <v>-169751.14807248162</v>
      </c>
      <c r="J105" s="326"/>
      <c r="L105" s="26"/>
      <c r="M105" s="26"/>
    </row>
    <row r="106" spans="3:22" s="16" customFormat="1" outlineLevel="1">
      <c r="C106" s="8" t="s">
        <v>5</v>
      </c>
      <c r="D106" s="9" t="s">
        <v>672</v>
      </c>
      <c r="E106" s="8">
        <f>23615660.7027*0</f>
        <v>0</v>
      </c>
      <c r="F106" s="8"/>
      <c r="G106" s="25">
        <f>(E106-F106)*0</f>
        <v>0</v>
      </c>
      <c r="J106" s="326"/>
      <c r="L106" s="26"/>
      <c r="M106" s="26"/>
    </row>
    <row r="107" spans="3:22" s="16" customFormat="1" outlineLevel="1">
      <c r="C107" s="8" t="s">
        <v>5</v>
      </c>
      <c r="D107" s="9" t="s">
        <v>776</v>
      </c>
      <c r="E107" s="8">
        <f>2672509.14*0</f>
        <v>0</v>
      </c>
      <c r="F107" s="8"/>
      <c r="G107" s="25">
        <f>(E107-F107)*0</f>
        <v>0</v>
      </c>
      <c r="J107" s="326"/>
      <c r="L107" s="26"/>
      <c r="M107" s="26"/>
    </row>
    <row r="108" spans="3:22" s="16" customFormat="1" outlineLevel="1">
      <c r="C108" s="232" t="s">
        <v>4</v>
      </c>
      <c r="D108" s="231" t="s">
        <v>624</v>
      </c>
      <c r="E108" s="283">
        <v>1265349</v>
      </c>
      <c r="F108" s="350"/>
      <c r="G108" s="25">
        <f t="shared" si="1"/>
        <v>0</v>
      </c>
      <c r="J108" s="73"/>
      <c r="K108" s="25"/>
      <c r="L108" s="104"/>
      <c r="M108" s="30"/>
      <c r="T108" s="74"/>
      <c r="U108" s="74"/>
    </row>
    <row r="109" spans="3:22" s="16" customFormat="1" outlineLevel="1">
      <c r="C109" s="232" t="s">
        <v>4</v>
      </c>
      <c r="D109" s="231" t="s">
        <v>625</v>
      </c>
      <c r="E109" s="283">
        <v>71495628</v>
      </c>
      <c r="F109" s="350"/>
      <c r="G109" s="25">
        <f t="shared" si="1"/>
        <v>0</v>
      </c>
      <c r="J109" s="73"/>
      <c r="K109" s="25"/>
      <c r="L109" s="104"/>
      <c r="M109" s="30"/>
      <c r="T109" s="74"/>
      <c r="U109" s="74"/>
    </row>
    <row r="110" spans="3:22" s="16" customFormat="1" ht="15.75">
      <c r="C110" s="24"/>
      <c r="D110" s="75" t="s">
        <v>8</v>
      </c>
      <c r="E110" s="18" t="e">
        <f>SUBTOTAL(9,E4:E109)</f>
        <v>#REF!</v>
      </c>
      <c r="F110" s="14"/>
      <c r="G110" s="14" t="e">
        <f>SUM(G13:G109)</f>
        <v>#REF!</v>
      </c>
      <c r="J110" s="25"/>
      <c r="K110" s="76"/>
      <c r="L110" s="77"/>
      <c r="T110" s="78"/>
      <c r="U110" s="33"/>
      <c r="V110" s="26"/>
    </row>
    <row r="111" spans="3:22" s="16" customFormat="1" ht="15.75">
      <c r="C111" s="24"/>
      <c r="D111" s="79"/>
      <c r="E111" s="17"/>
      <c r="G111" s="80"/>
      <c r="T111" s="33"/>
      <c r="U111" s="33"/>
    </row>
    <row r="112" spans="3:22" s="16" customFormat="1" ht="15.75">
      <c r="C112" s="24"/>
      <c r="G112" s="25"/>
      <c r="K112" s="25"/>
      <c r="S112" s="12"/>
      <c r="T112" s="32"/>
      <c r="U112" s="10"/>
    </row>
    <row r="113" spans="1:24" s="16" customFormat="1" ht="15.75">
      <c r="C113" s="81" t="s">
        <v>9</v>
      </c>
      <c r="D113" s="81"/>
      <c r="E113" s="81" t="s">
        <v>507</v>
      </c>
      <c r="F113" s="81" t="s">
        <v>10</v>
      </c>
      <c r="G113" s="81"/>
      <c r="H113" s="81"/>
      <c r="I113" s="81"/>
      <c r="J113" s="82">
        <v>45992</v>
      </c>
      <c r="K113" s="25"/>
      <c r="L113" s="10"/>
      <c r="M113" s="10"/>
      <c r="N113" s="10"/>
      <c r="O113" s="10"/>
      <c r="S113" s="12"/>
      <c r="W113" s="25"/>
      <c r="X113" s="25"/>
    </row>
    <row r="114" spans="1:24" s="16" customFormat="1" ht="16.5" thickBot="1">
      <c r="C114" s="48" t="s">
        <v>11</v>
      </c>
      <c r="D114" s="15" t="s">
        <v>12</v>
      </c>
      <c r="E114" s="14" t="s">
        <v>13</v>
      </c>
      <c r="F114" s="13" t="s">
        <v>14</v>
      </c>
      <c r="G114" s="12" t="s">
        <v>15</v>
      </c>
      <c r="H114" s="12"/>
      <c r="I114" s="12"/>
      <c r="J114" s="11" t="s">
        <v>16</v>
      </c>
      <c r="K114" s="11" t="s">
        <v>17</v>
      </c>
      <c r="S114" s="31"/>
      <c r="W114" s="25"/>
      <c r="X114" s="83"/>
    </row>
    <row r="115" spans="1:24" s="16" customFormat="1" ht="16.5" thickBot="1">
      <c r="D115" s="351" t="s">
        <v>18</v>
      </c>
      <c r="E115" s="352">
        <f>SUBTOTAL(9,E116:E120)</f>
        <v>20226326</v>
      </c>
      <c r="K115" s="25"/>
    </row>
    <row r="116" spans="1:24" s="16" customFormat="1" outlineLevel="1">
      <c r="A116" s="16" t="str">
        <f>G116</f>
        <v>Cancelado</v>
      </c>
      <c r="B116" s="16">
        <f>IF(I116&lt;=-1,1,IF(I116&lt;=5,2,IF(I116&lt;=15,3,IF(H116&lt;=60,4))))</f>
        <v>2</v>
      </c>
      <c r="C116" s="24"/>
      <c r="D116" s="347" t="s">
        <v>93</v>
      </c>
      <c r="E116" s="350">
        <f>3668594*0</f>
        <v>0</v>
      </c>
      <c r="F116" s="7">
        <v>45992</v>
      </c>
      <c r="G116" s="16" t="s">
        <v>20</v>
      </c>
      <c r="H116" s="16">
        <f>IF(OR(G116="Sin pagar",G116="Pagar"),NETWORKDAYS($J$113,F116,'Festivos Colombia'!$A$3:$A$22),0)</f>
        <v>0</v>
      </c>
      <c r="I116" s="16">
        <f>NETWORKDAYS($J$113,F116,'Festivos Colombia'!$A$3:$A$22)</f>
        <v>1</v>
      </c>
      <c r="J116" s="46">
        <f>H116</f>
        <v>0</v>
      </c>
      <c r="K116" s="25"/>
      <c r="L116" s="25"/>
      <c r="M116" s="41"/>
    </row>
    <row r="117" spans="1:24" s="16" customFormat="1" outlineLevel="1">
      <c r="A117" s="16" t="str">
        <f>G117</f>
        <v>Cancelado</v>
      </c>
      <c r="B117" s="16">
        <f>IF(I117&lt;=-1,1,IF(I117&lt;=5,2,IF(I117&lt;=15,3,IF(H117&lt;=60,4))))</f>
        <v>3</v>
      </c>
      <c r="C117" s="24"/>
      <c r="D117" s="347" t="s">
        <v>19</v>
      </c>
      <c r="E117" s="350">
        <v>9500000</v>
      </c>
      <c r="F117" s="7">
        <v>46003</v>
      </c>
      <c r="G117" s="16" t="s">
        <v>20</v>
      </c>
      <c r="H117" s="16">
        <f>IF(OR(G117="Sin pagar",G117="Pagar"),NETWORKDAYS($J$113,F117,'Festivos Colombia'!$A$3:$A$22),0)</f>
        <v>0</v>
      </c>
      <c r="I117" s="16">
        <f>NETWORKDAYS($J$113,F117,'Festivos Colombia'!$A$3:$A$22)</f>
        <v>10</v>
      </c>
      <c r="J117" s="46">
        <f t="shared" ref="J117:J118" si="6">H117</f>
        <v>0</v>
      </c>
      <c r="K117" s="25"/>
      <c r="L117" s="25"/>
      <c r="M117" s="41"/>
    </row>
    <row r="118" spans="1:24" s="16" customFormat="1" outlineLevel="1">
      <c r="A118" s="16" t="str">
        <f>G118</f>
        <v>Cancelado</v>
      </c>
      <c r="B118" s="16">
        <f>IF(I118&lt;=-1,1,IF(I118&lt;=5,2,IF(I118&lt;=15,3,IF(H118&lt;=60,4))))</f>
        <v>3</v>
      </c>
      <c r="C118" s="24"/>
      <c r="D118" s="347" t="s">
        <v>93</v>
      </c>
      <c r="E118" s="350">
        <v>4360000</v>
      </c>
      <c r="F118" s="7">
        <v>46003</v>
      </c>
      <c r="G118" s="16" t="s">
        <v>20</v>
      </c>
      <c r="H118" s="16">
        <f>IF(OR(G118="Sin pagar",G118="Pagar"),NETWORKDAYS($J$113,F118,'Festivos Colombia'!$A$3:$A$22),0)</f>
        <v>0</v>
      </c>
      <c r="I118" s="16">
        <f>NETWORKDAYS($J$113,F118,'Festivos Colombia'!$A$3:$A$22)</f>
        <v>10</v>
      </c>
      <c r="J118" s="46">
        <f t="shared" si="6"/>
        <v>0</v>
      </c>
      <c r="K118" s="25"/>
      <c r="L118" s="25"/>
      <c r="M118" s="41"/>
    </row>
    <row r="119" spans="1:24" s="16" customFormat="1" outlineLevel="1">
      <c r="A119" s="16" t="str">
        <f>G119</f>
        <v>Cancelado</v>
      </c>
      <c r="B119" s="16">
        <f>IF(I119&lt;=-1,1,IF(I119&lt;=5,2,IF(I119&lt;=15,3,IF(H119&lt;=60,4))))</f>
        <v>3</v>
      </c>
      <c r="C119" s="24"/>
      <c r="D119" s="458" t="s">
        <v>592</v>
      </c>
      <c r="E119" s="350">
        <v>2700000</v>
      </c>
      <c r="F119" s="7">
        <v>46006</v>
      </c>
      <c r="G119" s="16" t="s">
        <v>20</v>
      </c>
      <c r="H119" s="16">
        <f>IF(OR(G119="Sin pagar",G119="Pagar"),NETWORKDAYS($J$113,F119,'Festivos Colombia'!$A$3:$A$22),0)</f>
        <v>0</v>
      </c>
      <c r="I119" s="16">
        <f>NETWORKDAYS($J$113,F119,'Festivos Colombia'!$A$3:$A$22)</f>
        <v>11</v>
      </c>
      <c r="J119" s="46">
        <f t="shared" ref="J119" si="7">H119</f>
        <v>0</v>
      </c>
      <c r="K119" s="25"/>
      <c r="L119" s="25"/>
      <c r="M119" s="41"/>
    </row>
    <row r="120" spans="1:24" s="16" customFormat="1" ht="15.75" outlineLevel="1" thickBot="1">
      <c r="A120" s="16" t="str">
        <f>G120</f>
        <v>Cancelado</v>
      </c>
      <c r="B120" s="16">
        <f>IF(I120&lt;=-1,1,IF(I120&lt;=5,2,IF(I120&lt;=15,3,IF(H120&lt;=60,4))))</f>
        <v>4</v>
      </c>
      <c r="C120" s="24"/>
      <c r="D120" s="347" t="s">
        <v>93</v>
      </c>
      <c r="E120" s="350">
        <v>3666326</v>
      </c>
      <c r="F120" s="7">
        <v>46024</v>
      </c>
      <c r="G120" s="16" t="s">
        <v>20</v>
      </c>
      <c r="H120" s="16">
        <f>IF(OR(G120="Sin pagar",G120="Pagar"),NETWORKDAYS($J$113,F120,'Festivos Colombia'!$A$3:$A$22),0)</f>
        <v>0</v>
      </c>
      <c r="I120" s="16">
        <f>NETWORKDAYS($J$113,F120,'Festivos Colombia'!$A$3:$A$22)</f>
        <v>24</v>
      </c>
      <c r="J120" s="46">
        <f>H120</f>
        <v>0</v>
      </c>
      <c r="K120" s="25"/>
      <c r="L120" s="25"/>
      <c r="M120" s="41"/>
    </row>
    <row r="121" spans="1:24" s="16" customFormat="1" ht="16.5" thickBot="1">
      <c r="C121" s="24"/>
      <c r="D121" s="351" t="s">
        <v>21</v>
      </c>
      <c r="E121" s="352">
        <f>SUBTOTAL(9,E122:E125)</f>
        <v>486248300</v>
      </c>
      <c r="F121" s="7"/>
      <c r="J121" s="29"/>
    </row>
    <row r="122" spans="1:24" s="16" customFormat="1" outlineLevel="1">
      <c r="A122" s="16" t="str">
        <f>G122</f>
        <v>Cancelado</v>
      </c>
      <c r="B122" s="16">
        <f>IF(I122&lt;=-1,1,IF(I122&lt;=5,2,IF(I122&lt;=15,3,IF(H122&lt;=60,4))))</f>
        <v>2</v>
      </c>
      <c r="C122" s="68">
        <v>176206200</v>
      </c>
      <c r="D122" s="9" t="s">
        <v>558</v>
      </c>
      <c r="E122" s="8">
        <v>269400</v>
      </c>
      <c r="F122" s="7">
        <v>45995</v>
      </c>
      <c r="G122" s="16" t="s">
        <v>20</v>
      </c>
      <c r="H122" s="16">
        <f>IF(OR(G122="Sin pagar",G122="Pagar"),NETWORKDAYS($J$113,F122,'Festivos Colombia'!$A$3:$A$22),0)</f>
        <v>0</v>
      </c>
      <c r="I122" s="16">
        <f>NETWORKDAYS($J$113,F122,'Festivos Colombia'!$A$3:$A$22)</f>
        <v>4</v>
      </c>
      <c r="J122" s="46">
        <f t="shared" ref="J122" si="8">H122</f>
        <v>0</v>
      </c>
      <c r="K122" s="8"/>
      <c r="L122" s="25"/>
      <c r="M122" s="25"/>
    </row>
    <row r="123" spans="1:24" s="16" customFormat="1" outlineLevel="1">
      <c r="A123" s="16" t="str">
        <f>G123</f>
        <v>Cancelado</v>
      </c>
      <c r="B123" s="16">
        <f>IF(I123&lt;=-1,1,IF(I123&lt;=5,2,IF(I123&lt;=15,3,IF(H123&lt;=60,4))))</f>
        <v>3</v>
      </c>
      <c r="C123" s="105">
        <v>176206200</v>
      </c>
      <c r="D123" s="95" t="s">
        <v>22</v>
      </c>
      <c r="E123" s="8">
        <v>485971400</v>
      </c>
      <c r="F123" s="7">
        <v>46002</v>
      </c>
      <c r="G123" s="16" t="s">
        <v>20</v>
      </c>
      <c r="H123" s="16">
        <f>IF(OR(G123="Sin pagar",G123="Pagar"),NETWORKDAYS($J$113,F123,'Festivos Colombia'!$A$3:$A$22),0)</f>
        <v>0</v>
      </c>
      <c r="I123" s="16">
        <f>NETWORKDAYS($J$113,F123,'Festivos Colombia'!$A$3:$A$22)</f>
        <v>9</v>
      </c>
      <c r="J123" s="46">
        <f t="shared" ref="J123" si="9">H123</f>
        <v>0</v>
      </c>
      <c r="K123" s="8"/>
      <c r="L123" s="25"/>
      <c r="M123" s="25"/>
    </row>
    <row r="124" spans="1:24" s="16" customFormat="1" outlineLevel="1">
      <c r="A124" s="16" t="str">
        <f>G124</f>
        <v>Cancelado</v>
      </c>
      <c r="B124" s="16">
        <f>IF(I124&lt;=-1,1,IF(I124&lt;=5,2,IF(I124&lt;=15,3,IF(H124&lt;=60,4))))</f>
        <v>3</v>
      </c>
      <c r="C124" s="105">
        <v>176206200</v>
      </c>
      <c r="D124" s="95" t="s">
        <v>571</v>
      </c>
      <c r="E124" s="8">
        <v>7500</v>
      </c>
      <c r="F124" s="7">
        <v>46002</v>
      </c>
      <c r="G124" s="16" t="s">
        <v>20</v>
      </c>
      <c r="H124" s="16">
        <f>IF(OR(G124="Sin pagar",G124="Pagar"),NETWORKDAYS($J$113,F124,'Festivos Colombia'!$A$3:$A$22),0)</f>
        <v>0</v>
      </c>
      <c r="I124" s="16">
        <f>NETWORKDAYS($J$113,F124,'Festivos Colombia'!$A$3:$A$22)</f>
        <v>9</v>
      </c>
      <c r="J124" s="46">
        <f t="shared" ref="J124" si="10">H124</f>
        <v>0</v>
      </c>
      <c r="K124" s="8"/>
      <c r="L124" s="25"/>
      <c r="M124" s="25"/>
    </row>
    <row r="125" spans="1:24" s="16" customFormat="1" ht="15.75" outlineLevel="1" thickBot="1">
      <c r="A125" s="16" t="str">
        <f>G125</f>
        <v>Cancelado</v>
      </c>
      <c r="B125" s="16">
        <f>IF(I125&lt;=-1,1,IF(I125&lt;=5,2,IF(I125&lt;=15,3,IF(H125&lt;=60,4))))</f>
        <v>4</v>
      </c>
      <c r="C125" s="105">
        <v>176206200</v>
      </c>
      <c r="D125" s="95" t="s">
        <v>135</v>
      </c>
      <c r="E125" s="8">
        <f>3999300*0</f>
        <v>0</v>
      </c>
      <c r="F125" s="353">
        <v>46021</v>
      </c>
      <c r="G125" s="16" t="s">
        <v>20</v>
      </c>
      <c r="H125" s="16">
        <f>IF(OR(G125="Sin pagar",G125="Pagar"),NETWORKDAYS($J$113,F125,'Festivos Colombia'!$A$3:$A$22),0)</f>
        <v>0</v>
      </c>
      <c r="I125" s="16">
        <f>NETWORKDAYS($J$113,F125,'Festivos Colombia'!$A$3:$A$22)</f>
        <v>22</v>
      </c>
      <c r="J125" s="46">
        <f t="shared" ref="J125" si="11">H125</f>
        <v>0</v>
      </c>
      <c r="K125" s="8"/>
      <c r="L125" s="25"/>
      <c r="M125" s="25"/>
    </row>
    <row r="126" spans="1:24" s="16" customFormat="1" ht="16.5" thickBot="1">
      <c r="C126" s="24"/>
      <c r="D126" s="351" t="s">
        <v>23</v>
      </c>
      <c r="E126" s="352">
        <f>SUBTOTAL(9,E127:E129)</f>
        <v>18358500</v>
      </c>
      <c r="K126" s="34"/>
      <c r="L126" s="25"/>
    </row>
    <row r="127" spans="1:24" s="16" customFormat="1" outlineLevel="1">
      <c r="A127" s="16" t="str">
        <f t="shared" ref="A127:A129" si="12">G127</f>
        <v>Cancelado</v>
      </c>
      <c r="B127" s="16">
        <f t="shared" ref="B127:B129" si="13">IF(I127&lt;=-1,1,IF(I127&lt;=5,2,IF(I127&lt;=15,3,IF(H127&lt;=60,4))))</f>
        <v>4</v>
      </c>
      <c r="C127" s="24"/>
      <c r="D127" s="9" t="s">
        <v>101</v>
      </c>
      <c r="E127" s="8">
        <v>1000000</v>
      </c>
      <c r="F127" s="7">
        <v>46020</v>
      </c>
      <c r="G127" s="16" t="s">
        <v>20</v>
      </c>
      <c r="H127" s="16">
        <f>IF(OR(G127="Sin pagar",G127="Pagar"),NETWORKDAYS($J$113,F127,'Festivos Colombia'!$A$3:$A$22),0)</f>
        <v>0</v>
      </c>
      <c r="I127" s="16">
        <f>NETWORKDAYS($J$113,F127,'Festivos Colombia'!$A$3:$A$22)</f>
        <v>21</v>
      </c>
      <c r="J127" s="46">
        <f t="shared" ref="J127" si="14">H127</f>
        <v>0</v>
      </c>
      <c r="K127" s="25"/>
      <c r="L127" s="25"/>
    </row>
    <row r="128" spans="1:24" s="16" customFormat="1" outlineLevel="1">
      <c r="A128" s="16" t="str">
        <f t="shared" si="12"/>
        <v>Cancelado</v>
      </c>
      <c r="B128" s="16">
        <f t="shared" si="13"/>
        <v>4</v>
      </c>
      <c r="C128" s="24"/>
      <c r="D128" s="9" t="s">
        <v>24</v>
      </c>
      <c r="E128" s="8">
        <v>15159000</v>
      </c>
      <c r="F128" s="7">
        <v>46017</v>
      </c>
      <c r="G128" s="16" t="s">
        <v>20</v>
      </c>
      <c r="H128" s="16">
        <f>IF(OR(G128="Sin pagar",G128="Pagar"),NETWORKDAYS($J$113,F128,'Festivos Colombia'!$A$3:$A$22),0)</f>
        <v>0</v>
      </c>
      <c r="I128" s="16">
        <f>NETWORKDAYS($J$113,F128,'Festivos Colombia'!$A$3:$A$22)</f>
        <v>20</v>
      </c>
      <c r="J128" s="46">
        <f t="shared" ref="J128:J129" si="15">H128</f>
        <v>0</v>
      </c>
      <c r="L128" s="25"/>
      <c r="M128" s="25"/>
    </row>
    <row r="129" spans="1:21" s="16" customFormat="1" ht="15.75" outlineLevel="1" thickBot="1">
      <c r="A129" s="16" t="str">
        <f t="shared" si="12"/>
        <v>Cancelado</v>
      </c>
      <c r="B129" s="16">
        <f t="shared" si="13"/>
        <v>4</v>
      </c>
      <c r="C129" s="24"/>
      <c r="D129" s="9" t="s">
        <v>102</v>
      </c>
      <c r="E129" s="8">
        <v>2199500</v>
      </c>
      <c r="F129" s="7">
        <v>46017</v>
      </c>
      <c r="G129" s="16" t="s">
        <v>20</v>
      </c>
      <c r="H129" s="16">
        <f>IF(OR(G129="Sin pagar",G129="Pagar"),NETWORKDAYS($J$113,F129,'Festivos Colombia'!$A$3:$A$22),0)</f>
        <v>0</v>
      </c>
      <c r="I129" s="16">
        <f>NETWORKDAYS($J$113,F129,'Festivos Colombia'!$A$3:$A$22)</f>
        <v>20</v>
      </c>
      <c r="J129" s="46">
        <f t="shared" si="15"/>
        <v>0</v>
      </c>
      <c r="K129" s="25"/>
      <c r="L129" s="25"/>
      <c r="M129" s="25"/>
    </row>
    <row r="130" spans="1:21" s="16" customFormat="1" ht="16.5" thickBot="1">
      <c r="C130" s="24"/>
      <c r="D130" s="351" t="s">
        <v>26</v>
      </c>
      <c r="E130" s="352">
        <f>SUBTOTAL(9,E131:E132)</f>
        <v>145791000</v>
      </c>
      <c r="J130" s="29">
        <f t="shared" ref="J130:J147" si="16">H130</f>
        <v>0</v>
      </c>
      <c r="K130" s="25"/>
      <c r="L130" s="25"/>
    </row>
    <row r="131" spans="1:21" s="16" customFormat="1" outlineLevel="1">
      <c r="A131" s="16" t="str">
        <f>G131</f>
        <v>Cancelado</v>
      </c>
      <c r="B131" s="16">
        <f>IF(I131&lt;=-1,1,IF(I131&lt;=5,2,IF(I131&lt;=15,3,IF(H131&lt;=60,4))))</f>
        <v>3</v>
      </c>
      <c r="C131" s="60"/>
      <c r="D131" s="9" t="s">
        <v>28</v>
      </c>
      <c r="E131" s="8">
        <v>145619000</v>
      </c>
      <c r="F131" s="353">
        <v>46007</v>
      </c>
      <c r="G131" s="16" t="s">
        <v>20</v>
      </c>
      <c r="H131" s="16">
        <f>IF(OR(G131="Sin pagar",G131="Pagar"),NETWORKDAYS($J$113,F131,'Festivos Colombia'!$A$3:$A$22),0)</f>
        <v>0</v>
      </c>
      <c r="I131" s="16">
        <f>NETWORKDAYS($J$113,F131,'Festivos Colombia'!$A$3:$A$22)</f>
        <v>12</v>
      </c>
      <c r="J131" s="46">
        <f>H131</f>
        <v>0</v>
      </c>
      <c r="K131" s="8"/>
      <c r="L131" s="41"/>
      <c r="M131" s="236"/>
    </row>
    <row r="132" spans="1:21" s="16" customFormat="1" ht="15.75" outlineLevel="1" thickBot="1">
      <c r="C132" s="60"/>
      <c r="D132" s="9" t="s">
        <v>29</v>
      </c>
      <c r="E132" s="8">
        <v>172000</v>
      </c>
      <c r="F132" s="353">
        <v>46007</v>
      </c>
      <c r="G132" s="16" t="s">
        <v>20</v>
      </c>
      <c r="H132" s="16">
        <f>IF(OR(G132="Sin pagar",G132="Pagar"),NETWORKDAYS($J$113,F132,'Festivos Colombia'!$A$3:$A$22),0)</f>
        <v>0</v>
      </c>
      <c r="I132" s="16">
        <f>NETWORKDAYS($J$113,F132,'Festivos Colombia'!$A$3:$A$22)</f>
        <v>12</v>
      </c>
      <c r="J132" s="46">
        <f>H132</f>
        <v>0</v>
      </c>
      <c r="K132" s="8"/>
      <c r="L132" s="41"/>
      <c r="M132" s="236"/>
    </row>
    <row r="133" spans="1:21" s="16" customFormat="1" ht="16.5" thickBot="1">
      <c r="C133" s="24"/>
      <c r="D133" s="351" t="s">
        <v>31</v>
      </c>
      <c r="E133" s="352">
        <f>SUBTOTAL(9,E134:E150)</f>
        <v>8068546.4500000002</v>
      </c>
      <c r="J133" s="29">
        <f t="shared" si="16"/>
        <v>0</v>
      </c>
      <c r="K133" s="34"/>
      <c r="L133" s="25"/>
      <c r="M133" s="25"/>
    </row>
    <row r="134" spans="1:21" s="27" customFormat="1" outlineLevel="1">
      <c r="A134" s="16" t="str">
        <f>G134</f>
        <v>Cancelado</v>
      </c>
      <c r="B134" s="16">
        <f>IF(I134&lt;=-1,1,IF(I134&lt;=5,2,IF(I134&lt;=15,3,IF(H134&lt;=60,4))))</f>
        <v>2</v>
      </c>
      <c r="C134" s="24">
        <v>189</v>
      </c>
      <c r="D134" s="9" t="s">
        <v>84</v>
      </c>
      <c r="E134" s="8">
        <f>140000</f>
        <v>140000</v>
      </c>
      <c r="F134" s="353">
        <v>45994</v>
      </c>
      <c r="G134" s="16" t="s">
        <v>20</v>
      </c>
      <c r="H134" s="16">
        <f>IF(OR(G134="Sin pagar",G134="Pagar"),NETWORKDAYS($J$113,F134,'Festivos Colombia'!$A$3:$A$22),0)</f>
        <v>0</v>
      </c>
      <c r="I134" s="16">
        <f>NETWORKDAYS($J$113,F134,'Festivos Colombia'!$A$3:$A$22)</f>
        <v>3</v>
      </c>
      <c r="J134" s="46">
        <f>H134</f>
        <v>0</v>
      </c>
      <c r="K134" s="58"/>
      <c r="L134" s="25"/>
      <c r="M134" s="16"/>
      <c r="N134" s="16"/>
      <c r="O134" s="16"/>
      <c r="T134" s="16"/>
      <c r="U134" s="16"/>
    </row>
    <row r="135" spans="1:21" s="16" customFormat="1" ht="14.25" customHeight="1" outlineLevel="1">
      <c r="A135" s="16" t="str">
        <f>G135</f>
        <v>Cancelado</v>
      </c>
      <c r="B135" s="16">
        <f>IF(I135&lt;=-1,1,IF(I135&lt;=5,2,IF(I135&lt;=15,3,IF(H135&lt;=60,4))))</f>
        <v>2</v>
      </c>
      <c r="C135" s="374" t="s">
        <v>138</v>
      </c>
      <c r="D135" s="9" t="s">
        <v>567</v>
      </c>
      <c r="E135" s="350">
        <f>1178285.75</f>
        <v>1178285.75</v>
      </c>
      <c r="F135" s="353">
        <v>45995</v>
      </c>
      <c r="G135" s="16" t="s">
        <v>20</v>
      </c>
      <c r="H135" s="16">
        <f>IF(OR(G135="Sin pagar",G135="Pagar"),NETWORKDAYS($J$113,F135,'Festivos Colombia'!$A$3:$A$22),0)</f>
        <v>0</v>
      </c>
      <c r="I135" s="16">
        <f>NETWORKDAYS($J$113,F135,'Festivos Colombia'!$A$3:$A$22)</f>
        <v>4</v>
      </c>
      <c r="J135" s="46">
        <f>H135</f>
        <v>0</v>
      </c>
      <c r="K135" s="58"/>
      <c r="S135" s="27"/>
    </row>
    <row r="136" spans="1:21" s="16" customFormat="1" outlineLevel="1">
      <c r="A136" s="16" t="str">
        <f>G136</f>
        <v>Cancelado</v>
      </c>
      <c r="B136" s="16">
        <f>IF(I136&lt;=-1,1,IF(I136&lt;=5,2,IF(I136&lt;=15,3,IF(H136&lt;=60,4))))</f>
        <v>2</v>
      </c>
      <c r="C136" s="373">
        <v>31</v>
      </c>
      <c r="D136" s="9" t="s">
        <v>85</v>
      </c>
      <c r="E136" s="8">
        <v>815000</v>
      </c>
      <c r="F136" s="353">
        <v>45995</v>
      </c>
      <c r="G136" s="16" t="s">
        <v>20</v>
      </c>
      <c r="H136" s="16">
        <f>IF(OR(G136="Sin pagar",G136="Pagar"),NETWORKDAYS($J$113,F136,'Festivos Colombia'!$A$3:$A$22),0)</f>
        <v>0</v>
      </c>
      <c r="I136" s="16">
        <f>NETWORKDAYS($J$113,F136,'Festivos Colombia'!$A$3:$A$22)</f>
        <v>4</v>
      </c>
      <c r="J136" s="46">
        <f>H136</f>
        <v>0</v>
      </c>
      <c r="K136" s="58"/>
      <c r="L136" s="25"/>
    </row>
    <row r="137" spans="1:21" s="16" customFormat="1" outlineLevel="1">
      <c r="A137" s="16" t="str">
        <f>G137</f>
        <v>Cancelado</v>
      </c>
      <c r="B137" s="16">
        <f>IF(I137&lt;=-1,1,IF(I137&lt;=5,2,IF(I137&lt;=15,3,IF(H137&lt;=60,4))))</f>
        <v>2</v>
      </c>
      <c r="C137" s="422" t="s">
        <v>508</v>
      </c>
      <c r="D137" s="9" t="s">
        <v>32</v>
      </c>
      <c r="E137" s="8">
        <f>313593.5</f>
        <v>313593.5</v>
      </c>
      <c r="F137" s="7">
        <v>45995</v>
      </c>
      <c r="G137" s="16" t="s">
        <v>20</v>
      </c>
      <c r="H137" s="16">
        <f>IF(OR(G137="Sin pagar",G137="Pagar"),NETWORKDAYS($J$113,F137,'Festivos Colombia'!$A$3:$A$22),0)</f>
        <v>0</v>
      </c>
      <c r="I137" s="16">
        <f>NETWORKDAYS($J$113,F137,'Festivos Colombia'!$A$3:$A$22)</f>
        <v>4</v>
      </c>
      <c r="J137" s="46">
        <f>H137</f>
        <v>0</v>
      </c>
      <c r="K137" s="58"/>
      <c r="L137" s="25"/>
    </row>
    <row r="138" spans="1:21" s="16" customFormat="1" outlineLevel="1">
      <c r="A138" s="16" t="str">
        <f t="shared" ref="A138:A146" si="17">G138</f>
        <v>Cancelado</v>
      </c>
      <c r="B138" s="16">
        <f t="shared" ref="B138:B146" si="18">IF(I138&lt;=-1,1,IF(I138&lt;=5,2,IF(I138&lt;=15,3,IF(H138&lt;=60,4))))</f>
        <v>3</v>
      </c>
      <c r="C138" s="423" t="s">
        <v>136</v>
      </c>
      <c r="D138" s="9" t="s">
        <v>33</v>
      </c>
      <c r="E138" s="8">
        <v>359333</v>
      </c>
      <c r="F138" s="7">
        <v>46001</v>
      </c>
      <c r="G138" s="16" t="s">
        <v>20</v>
      </c>
      <c r="H138" s="16">
        <f>IF(OR(G138="Sin pagar",G138="Pagar"),NETWORKDAYS($J$113,F138,'Festivos Colombia'!$A$3:$A$22),0)</f>
        <v>0</v>
      </c>
      <c r="I138" s="16">
        <f>NETWORKDAYS($J$113,F138,'Festivos Colombia'!$A$3:$A$22)</f>
        <v>8</v>
      </c>
      <c r="J138" s="46">
        <f t="shared" si="16"/>
        <v>0</v>
      </c>
      <c r="K138" s="58" t="s">
        <v>578</v>
      </c>
      <c r="L138" s="14"/>
      <c r="M138" s="8"/>
    </row>
    <row r="139" spans="1:21" s="16" customFormat="1" outlineLevel="1">
      <c r="A139" s="16" t="str">
        <f t="shared" ref="A139:A144" si="19">G139</f>
        <v>Cancelado</v>
      </c>
      <c r="B139" s="16">
        <f t="shared" ref="B139:B144" si="20">IF(I139&lt;=-1,1,IF(I139&lt;=5,2,IF(I139&lt;=15,3,IF(H139&lt;=60,4))))</f>
        <v>3</v>
      </c>
      <c r="C139" s="455" t="s">
        <v>600</v>
      </c>
      <c r="D139" s="9" t="s">
        <v>32</v>
      </c>
      <c r="E139" s="8">
        <v>376312.2</v>
      </c>
      <c r="F139" s="7">
        <v>46007</v>
      </c>
      <c r="G139" s="16" t="s">
        <v>20</v>
      </c>
      <c r="H139" s="16">
        <f>IF(OR(G139="Sin pagar",G139="Pagar"),NETWORKDAYS($J$113,F139,'Festivos Colombia'!$A$3:$A$22),0)</f>
        <v>0</v>
      </c>
      <c r="I139" s="16">
        <f>NETWORKDAYS($J$113,F139,'Festivos Colombia'!$A$3:$A$22)</f>
        <v>12</v>
      </c>
      <c r="J139" s="46">
        <f>H139</f>
        <v>0</v>
      </c>
      <c r="K139" s="58"/>
      <c r="L139" s="25"/>
    </row>
    <row r="140" spans="1:21" s="16" customFormat="1" outlineLevel="1">
      <c r="A140" s="16" t="str">
        <f t="shared" si="19"/>
        <v>Cancelado</v>
      </c>
      <c r="B140" s="16">
        <f t="shared" si="20"/>
        <v>3</v>
      </c>
      <c r="C140" s="24">
        <v>61</v>
      </c>
      <c r="D140" s="9" t="s">
        <v>34</v>
      </c>
      <c r="E140" s="8">
        <v>180000</v>
      </c>
      <c r="F140" s="7">
        <v>46010</v>
      </c>
      <c r="G140" s="16" t="s">
        <v>20</v>
      </c>
      <c r="H140" s="16">
        <f>IF(OR(G140="Sin pagar",G140="Pagar"),NETWORKDAYS($J$113,F140,'Festivos Colombia'!$A$3:$A$22),0)</f>
        <v>0</v>
      </c>
      <c r="I140" s="16">
        <f>NETWORKDAYS($J$113,F140,'Festivos Colombia'!$A$3:$A$22)</f>
        <v>15</v>
      </c>
      <c r="J140" s="46">
        <f t="shared" ref="J140" si="21">H140</f>
        <v>0</v>
      </c>
      <c r="K140" s="58"/>
      <c r="S140" s="27"/>
    </row>
    <row r="141" spans="1:21" s="16" customFormat="1" outlineLevel="1">
      <c r="A141" s="16" t="str">
        <f t="shared" si="19"/>
        <v>Cancelado</v>
      </c>
      <c r="B141" s="16">
        <f t="shared" si="20"/>
        <v>3</v>
      </c>
      <c r="C141" s="24">
        <v>1</v>
      </c>
      <c r="D141" s="9" t="s">
        <v>597</v>
      </c>
      <c r="E141" s="8">
        <v>706000</v>
      </c>
      <c r="F141" s="7">
        <v>46007</v>
      </c>
      <c r="G141" s="16" t="s">
        <v>20</v>
      </c>
      <c r="H141" s="16">
        <f>IF(OR(G141="Sin pagar",G141="Pagar"),NETWORKDAYS($J$113,F141,'Festivos Colombia'!$A$3:$A$22),0)</f>
        <v>0</v>
      </c>
      <c r="I141" s="16">
        <f>NETWORKDAYS($J$113,F141,'Festivos Colombia'!$A$3:$A$22)</f>
        <v>12</v>
      </c>
      <c r="J141" s="46">
        <f t="shared" si="16"/>
        <v>0</v>
      </c>
      <c r="K141" s="58"/>
      <c r="S141" s="27"/>
    </row>
    <row r="142" spans="1:21" s="16" customFormat="1" outlineLevel="1">
      <c r="A142" s="16" t="str">
        <f t="shared" si="19"/>
        <v>Cancelado</v>
      </c>
      <c r="B142" s="16">
        <f t="shared" si="20"/>
        <v>3</v>
      </c>
      <c r="C142" s="24">
        <v>26558</v>
      </c>
      <c r="D142" s="9" t="s">
        <v>610</v>
      </c>
      <c r="E142" s="8">
        <v>896050</v>
      </c>
      <c r="F142" s="7">
        <v>46007</v>
      </c>
      <c r="G142" s="16" t="s">
        <v>20</v>
      </c>
      <c r="H142" s="16">
        <f>IF(OR(G142="Sin pagar",G142="Pagar"),NETWORKDAYS($J$113,F142,'Festivos Colombia'!$A$3:$A$22),0)</f>
        <v>0</v>
      </c>
      <c r="I142" s="16">
        <f>NETWORKDAYS($J$113,F142,'Festivos Colombia'!$A$3:$A$22)</f>
        <v>12</v>
      </c>
      <c r="J142" s="46">
        <f t="shared" ref="J142" si="22">H142</f>
        <v>0</v>
      </c>
      <c r="K142" s="58"/>
      <c r="S142" s="27"/>
    </row>
    <row r="143" spans="1:21" s="27" customFormat="1" outlineLevel="1">
      <c r="A143" s="16" t="str">
        <f t="shared" si="19"/>
        <v>Cancelado</v>
      </c>
      <c r="B143" s="16">
        <f t="shared" si="20"/>
        <v>3</v>
      </c>
      <c r="C143" s="24" t="s">
        <v>576</v>
      </c>
      <c r="D143" s="9" t="s">
        <v>577</v>
      </c>
      <c r="E143" s="8">
        <v>50000</v>
      </c>
      <c r="F143" s="353">
        <v>46010</v>
      </c>
      <c r="G143" s="16" t="s">
        <v>20</v>
      </c>
      <c r="H143" s="16">
        <f>IF(OR(G143="Sin pagar",G143="Pagar"),NETWORKDAYS($J$113,F143,'Festivos Colombia'!$A$3:$A$22),0)</f>
        <v>0</v>
      </c>
      <c r="I143" s="16">
        <f>NETWORKDAYS($J$113,F143,'Festivos Colombia'!$A$3:$A$22)</f>
        <v>15</v>
      </c>
      <c r="J143" s="46">
        <f>H143</f>
        <v>0</v>
      </c>
      <c r="K143" s="58"/>
      <c r="L143" s="25"/>
      <c r="M143" s="16"/>
      <c r="N143" s="16"/>
      <c r="O143" s="16"/>
      <c r="T143" s="16"/>
      <c r="U143" s="16"/>
    </row>
    <row r="144" spans="1:21" s="27" customFormat="1" outlineLevel="1">
      <c r="A144" s="16" t="str">
        <f t="shared" si="19"/>
        <v>Cancelado</v>
      </c>
      <c r="B144" s="16">
        <f t="shared" si="20"/>
        <v>3</v>
      </c>
      <c r="C144" s="24" t="s">
        <v>139</v>
      </c>
      <c r="D144" s="9" t="s">
        <v>140</v>
      </c>
      <c r="E144" s="8">
        <f>44200</f>
        <v>44200</v>
      </c>
      <c r="F144" s="353">
        <v>46010</v>
      </c>
      <c r="G144" s="16" t="s">
        <v>20</v>
      </c>
      <c r="H144" s="16">
        <f>IF(OR(G144="Sin pagar",G144="Pagar"),NETWORKDAYS($J$113,F144,'Festivos Colombia'!$A$3:$A$22),0)</f>
        <v>0</v>
      </c>
      <c r="I144" s="16">
        <f>NETWORKDAYS($J$113,F144,'Festivos Colombia'!$A$3:$A$22)</f>
        <v>15</v>
      </c>
      <c r="J144" s="46">
        <f>H144</f>
        <v>0</v>
      </c>
      <c r="K144" s="58"/>
      <c r="L144" s="25"/>
      <c r="M144" s="16"/>
      <c r="N144" s="16"/>
      <c r="O144" s="16"/>
      <c r="T144" s="16"/>
      <c r="U144" s="16"/>
    </row>
    <row r="145" spans="1:21" s="16" customFormat="1" outlineLevel="1">
      <c r="A145" s="16" t="str">
        <f t="shared" si="17"/>
        <v>Cancelado</v>
      </c>
      <c r="B145" s="16">
        <f t="shared" si="18"/>
        <v>4</v>
      </c>
      <c r="C145" s="198" t="s">
        <v>586</v>
      </c>
      <c r="D145" s="9" t="s">
        <v>35</v>
      </c>
      <c r="E145" s="350">
        <v>1359863</v>
      </c>
      <c r="F145" s="7">
        <v>46013</v>
      </c>
      <c r="G145" s="16" t="s">
        <v>20</v>
      </c>
      <c r="H145" s="16">
        <f>IF(OR(G145="Sin pagar",G145="Pagar"),NETWORKDAYS($J$113,F145,'Festivos Colombia'!$A$3:$A$22),0)</f>
        <v>0</v>
      </c>
      <c r="I145" s="16">
        <f>NETWORKDAYS($J$113,F145,'Festivos Colombia'!$A$3:$A$22)</f>
        <v>16</v>
      </c>
      <c r="J145" s="46">
        <f t="shared" si="16"/>
        <v>0</v>
      </c>
      <c r="K145" s="58"/>
      <c r="S145" s="27"/>
    </row>
    <row r="146" spans="1:21" s="16" customFormat="1" outlineLevel="1">
      <c r="A146" s="16" t="str">
        <f t="shared" si="17"/>
        <v>Cancelado</v>
      </c>
      <c r="B146" s="16">
        <f t="shared" si="18"/>
        <v>4</v>
      </c>
      <c r="C146" s="56" t="s">
        <v>647</v>
      </c>
      <c r="D146" s="9" t="s">
        <v>36</v>
      </c>
      <c r="E146" s="350">
        <v>793271</v>
      </c>
      <c r="F146" s="7">
        <v>46014</v>
      </c>
      <c r="G146" s="16" t="s">
        <v>20</v>
      </c>
      <c r="H146" s="16">
        <f>IF(OR(G146="Sin pagar",G146="Pagar"),NETWORKDAYS($J$113,F146,'Festivos Colombia'!$A$3:$A$22),0)</f>
        <v>0</v>
      </c>
      <c r="I146" s="16">
        <f>NETWORKDAYS($J$113,F146,'Festivos Colombia'!$A$3:$A$22)</f>
        <v>17</v>
      </c>
      <c r="J146" s="46">
        <f>H146</f>
        <v>0</v>
      </c>
      <c r="K146" s="58"/>
      <c r="L146" s="27"/>
      <c r="M146" s="27"/>
      <c r="N146" s="27"/>
      <c r="O146" s="27"/>
      <c r="T146" s="27"/>
      <c r="U146" s="27"/>
    </row>
    <row r="147" spans="1:21" s="16" customFormat="1" outlineLevel="1">
      <c r="A147" s="16" t="str">
        <f>G147</f>
        <v>Cancelado</v>
      </c>
      <c r="B147" s="16">
        <f>IF(I147&lt;=-1,1,IF(I147&lt;=5,2,IF(I147&lt;=15,3,IF(H147&lt;=60,4))))</f>
        <v>4</v>
      </c>
      <c r="C147" s="234" t="s">
        <v>137</v>
      </c>
      <c r="D147" s="9" t="s">
        <v>37</v>
      </c>
      <c r="E147" s="350">
        <v>856638</v>
      </c>
      <c r="F147" s="353">
        <v>46020</v>
      </c>
      <c r="G147" s="16" t="s">
        <v>20</v>
      </c>
      <c r="H147" s="16">
        <f>IF(OR(G147="Sin pagar",G147="Pagar"),NETWORKDAYS($J$113,F147,'Festivos Colombia'!$A$3:$A$22),0)</f>
        <v>0</v>
      </c>
      <c r="I147" s="16">
        <f>NETWORKDAYS($J$113,F147,'Festivos Colombia'!$A$3:$A$22)</f>
        <v>21</v>
      </c>
      <c r="J147" s="46">
        <f t="shared" si="16"/>
        <v>0</v>
      </c>
      <c r="K147" s="58" t="s">
        <v>44</v>
      </c>
      <c r="S147" s="27"/>
    </row>
    <row r="148" spans="1:21" s="16" customFormat="1" outlineLevel="1">
      <c r="A148" s="16" t="str">
        <f>G148</f>
        <v>Cancelado</v>
      </c>
      <c r="B148" s="16">
        <f>IF(I148&lt;=-1,1,IF(I148&lt;=5,2,IF(I148&lt;=15,3,IF(H148&lt;=60,4))))</f>
        <v>4</v>
      </c>
      <c r="C148" s="28">
        <v>16</v>
      </c>
      <c r="D148" s="9" t="s">
        <v>112</v>
      </c>
      <c r="E148" s="350">
        <f>1015098.5*0</f>
        <v>0</v>
      </c>
      <c r="F148" s="477">
        <v>46020</v>
      </c>
      <c r="G148" s="16" t="s">
        <v>20</v>
      </c>
      <c r="H148" s="16">
        <f>IF(OR(G148="Sin pagar",G148="Pagar"),NETWORKDAYS($J$113,F148,'Festivos Colombia'!$A$3:$A$22),0)</f>
        <v>0</v>
      </c>
      <c r="I148" s="16">
        <f>NETWORKDAYS($J$113,F148,'Festivos Colombia'!$A$3:$A$22)</f>
        <v>21</v>
      </c>
      <c r="J148" s="46">
        <f>H148</f>
        <v>0</v>
      </c>
      <c r="K148" s="58"/>
      <c r="S148" s="27"/>
    </row>
    <row r="149" spans="1:21" s="16" customFormat="1" ht="14.25" customHeight="1" outlineLevel="1">
      <c r="A149" s="16" t="str">
        <f>G149</f>
        <v>Sin Pagar</v>
      </c>
      <c r="B149" s="16">
        <f>IF(I149&lt;=-1,1,IF(I149&lt;=5,2,IF(I149&lt;=15,3,IF(H149&lt;=60,4))))</f>
        <v>4</v>
      </c>
      <c r="C149" s="439" t="s">
        <v>568</v>
      </c>
      <c r="D149" s="9" t="s">
        <v>569</v>
      </c>
      <c r="E149" s="350">
        <f>1178285.75*0</f>
        <v>0</v>
      </c>
      <c r="F149" s="353">
        <v>46031</v>
      </c>
      <c r="G149" s="16" t="s">
        <v>5</v>
      </c>
      <c r="H149" s="16">
        <f>IF(OR(G149="Sin pagar",G149="Pagar"),NETWORKDAYS($J$113,F149,'Festivos Colombia'!$A$3:$A$22),0)</f>
        <v>29</v>
      </c>
      <c r="I149" s="16">
        <f>NETWORKDAYS($J$113,F149,'Festivos Colombia'!$A$3:$A$22)</f>
        <v>29</v>
      </c>
      <c r="J149" s="46">
        <f>H149</f>
        <v>29</v>
      </c>
      <c r="K149" s="58"/>
      <c r="S149" s="27"/>
    </row>
    <row r="150" spans="1:21" s="27" customFormat="1" ht="15.75" outlineLevel="1" thickBot="1">
      <c r="A150" s="16" t="str">
        <f>G150</f>
        <v>Sin Pagar</v>
      </c>
      <c r="B150" s="16">
        <f>IF(I150&lt;=-1,1,IF(I150&lt;=5,2,IF(I150&lt;=15,3,IF(H150&lt;=60,4))))</f>
        <v>4</v>
      </c>
      <c r="C150" s="24" t="s">
        <v>648</v>
      </c>
      <c r="D150" s="9" t="s">
        <v>140</v>
      </c>
      <c r="E150" s="8">
        <f>150000*0</f>
        <v>0</v>
      </c>
      <c r="F150" s="353">
        <v>46038</v>
      </c>
      <c r="G150" s="16" t="s">
        <v>5</v>
      </c>
      <c r="H150" s="16">
        <f>IF(OR(G150="Sin pagar",G150="Pagar"),NETWORKDAYS($J$113,F150,'Festivos Colombia'!$A$3:$A$22),0)</f>
        <v>33</v>
      </c>
      <c r="I150" s="16">
        <f>NETWORKDAYS($J$113,F150,'Festivos Colombia'!$A$3:$A$22)</f>
        <v>33</v>
      </c>
      <c r="J150" s="46">
        <f>H150</f>
        <v>33</v>
      </c>
      <c r="K150" s="58"/>
      <c r="L150" s="25"/>
      <c r="M150" s="16"/>
      <c r="N150" s="16"/>
      <c r="O150" s="16"/>
      <c r="T150" s="16"/>
      <c r="U150" s="16"/>
    </row>
    <row r="151" spans="1:21" s="16" customFormat="1" ht="16.5" thickBot="1">
      <c r="D151" s="351" t="s">
        <v>39</v>
      </c>
      <c r="E151" s="352">
        <f>SUBTOTAL(9,E152:E154)</f>
        <v>525000</v>
      </c>
      <c r="J151" s="46"/>
      <c r="L151" s="27"/>
      <c r="M151" s="27"/>
      <c r="N151" s="27"/>
      <c r="O151" s="27"/>
      <c r="T151" s="27"/>
      <c r="U151" s="27"/>
    </row>
    <row r="152" spans="1:21" s="16" customFormat="1" ht="14.25" customHeight="1" outlineLevel="1">
      <c r="A152" s="16" t="str">
        <f>G152</f>
        <v>Cancelado</v>
      </c>
      <c r="B152" s="16">
        <f>IF(I152&lt;=-1,1,IF(I152&lt;=5,2,IF(I152&lt;=15,3,IF(H152&lt;=60,4))))</f>
        <v>2</v>
      </c>
      <c r="C152" s="56" t="s">
        <v>503</v>
      </c>
      <c r="D152" s="9" t="s">
        <v>94</v>
      </c>
      <c r="E152" s="8">
        <f>525000</f>
        <v>525000</v>
      </c>
      <c r="F152" s="7">
        <v>45995</v>
      </c>
      <c r="G152" s="16" t="s">
        <v>20</v>
      </c>
      <c r="H152" s="16">
        <f>IF(OR(G152="Sin pagar",G152="Pagar"),NETWORKDAYS($J$113,F152,'Festivos Colombia'!$A$3:$A$22),0)</f>
        <v>0</v>
      </c>
      <c r="I152" s="16">
        <f>NETWORKDAYS($J$113,F152,'Festivos Colombia'!$A$3:$A$22)</f>
        <v>4</v>
      </c>
      <c r="J152" s="46">
        <f>H152</f>
        <v>0</v>
      </c>
      <c r="K152" s="437"/>
      <c r="L152" s="8"/>
    </row>
    <row r="153" spans="1:21" s="16" customFormat="1" outlineLevel="1">
      <c r="A153" s="16" t="str">
        <f>G153</f>
        <v>Sin Pagar</v>
      </c>
      <c r="B153" s="16">
        <f>IF(I153&lt;=-1,1,IF(I153&lt;=5,2,IF(I153&lt;=15,3,IF(H153&lt;=60,4))))</f>
        <v>4</v>
      </c>
      <c r="C153" s="198" t="s">
        <v>602</v>
      </c>
      <c r="D153" s="9" t="s">
        <v>40</v>
      </c>
      <c r="E153" s="350">
        <f>804056*0</f>
        <v>0</v>
      </c>
      <c r="F153" s="7">
        <v>46024</v>
      </c>
      <c r="G153" s="16" t="s">
        <v>5</v>
      </c>
      <c r="H153" s="16">
        <f>IF(OR(G153="Sin pagar",G153="Pagar"),NETWORKDAYS($J$113,F153,'Festivos Colombia'!$A$3:$A$22),0)</f>
        <v>24</v>
      </c>
      <c r="I153" s="16">
        <f>NETWORKDAYS($J$113,F153,'Festivos Colombia'!$A$3:$A$22)</f>
        <v>24</v>
      </c>
      <c r="J153" s="46">
        <f t="shared" ref="J153" si="23">H153</f>
        <v>24</v>
      </c>
      <c r="K153" s="58"/>
    </row>
    <row r="154" spans="1:21" s="16" customFormat="1" ht="14.25" customHeight="1" outlineLevel="1" thickBot="1">
      <c r="A154" s="16" t="str">
        <f>G154</f>
        <v>Sin Pagar</v>
      </c>
      <c r="B154" s="16">
        <f>IF(I154&lt;=-1,1,IF(I154&lt;=5,2,IF(I154&lt;=15,3,IF(H154&lt;=60,4))))</f>
        <v>4</v>
      </c>
      <c r="C154" s="56" t="s">
        <v>773</v>
      </c>
      <c r="D154" s="9" t="s">
        <v>94</v>
      </c>
      <c r="E154" s="8">
        <f>627000*0</f>
        <v>0</v>
      </c>
      <c r="F154" s="7">
        <v>46031</v>
      </c>
      <c r="G154" s="16" t="s">
        <v>5</v>
      </c>
      <c r="H154" s="16">
        <f>IF(OR(G154="Sin pagar",G154="Pagar"),NETWORKDAYS($J$113,F154,'Festivos Colombia'!$A$3:$A$22),0)</f>
        <v>29</v>
      </c>
      <c r="I154" s="16">
        <f>NETWORKDAYS($J$113,F154,'Festivos Colombia'!$A$3:$A$22)</f>
        <v>29</v>
      </c>
      <c r="J154" s="46">
        <f>H154</f>
        <v>29</v>
      </c>
      <c r="K154" s="437"/>
      <c r="L154" s="8"/>
    </row>
    <row r="155" spans="1:21" s="27" customFormat="1" ht="16.5" thickBot="1">
      <c r="A155" s="16"/>
      <c r="B155" s="16"/>
      <c r="D155" s="351" t="s">
        <v>41</v>
      </c>
      <c r="E155" s="352">
        <f>SUBTOTAL(9,E156:E158)</f>
        <v>8553217</v>
      </c>
      <c r="J155" s="46"/>
      <c r="K155" s="16"/>
      <c r="L155" s="16"/>
      <c r="M155" s="16"/>
      <c r="N155" s="16"/>
      <c r="O155" s="16"/>
      <c r="S155" s="16"/>
      <c r="T155" s="16"/>
      <c r="U155" s="16"/>
    </row>
    <row r="156" spans="1:21" s="27" customFormat="1" outlineLevel="1">
      <c r="A156" s="16" t="str">
        <f>G156</f>
        <v>Cancelado</v>
      </c>
      <c r="B156" s="16">
        <f>IF(I156&lt;=-1,1,IF(I156&lt;=5,2,IF(I156&lt;=15,3,IF(H156&lt;=60,4))))</f>
        <v>4</v>
      </c>
      <c r="C156" s="373">
        <v>20911202088</v>
      </c>
      <c r="D156" s="9" t="s">
        <v>43</v>
      </c>
      <c r="E156" s="350">
        <v>7725967</v>
      </c>
      <c r="F156" s="353">
        <v>46017</v>
      </c>
      <c r="G156" s="16" t="s">
        <v>20</v>
      </c>
      <c r="H156" s="16">
        <f>IF(OR(G156="Sin pagar",G156="Pagar"),NETWORKDAYS($J$113,F156,'Festivos Colombia'!$A$3:$A$22),0)</f>
        <v>0</v>
      </c>
      <c r="I156" s="16">
        <f>NETWORKDAYS($J$113,F156,'Festivos Colombia'!$A$3:$A$22)</f>
        <v>20</v>
      </c>
      <c r="J156" s="46">
        <f t="shared" ref="J156:J162" si="24">H156</f>
        <v>0</v>
      </c>
      <c r="K156" s="58"/>
      <c r="L156" s="16"/>
      <c r="M156" s="16"/>
      <c r="N156" s="25"/>
      <c r="O156" s="16"/>
      <c r="S156" s="16"/>
      <c r="T156" s="16"/>
      <c r="U156" s="16"/>
    </row>
    <row r="157" spans="1:21" s="27" customFormat="1" outlineLevel="1">
      <c r="A157" s="16" t="str">
        <f>G157</f>
        <v>Cancelado</v>
      </c>
      <c r="B157" s="16">
        <f>IF(I157&lt;=-1,1,IF(I157&lt;=5,2,IF(I157&lt;=15,3,IF(H157&lt;=60,4))))</f>
        <v>4</v>
      </c>
      <c r="C157" s="373">
        <v>20833317185</v>
      </c>
      <c r="D157" s="9" t="s">
        <v>42</v>
      </c>
      <c r="E157" s="350">
        <v>394705</v>
      </c>
      <c r="F157" s="353">
        <v>46017</v>
      </c>
      <c r="G157" s="16" t="s">
        <v>20</v>
      </c>
      <c r="H157" s="16">
        <f>IF(OR(G157="Sin pagar",G157="Pagar"),NETWORKDAYS($J$113,F157,'Festivos Colombia'!$A$3:$A$22),0)</f>
        <v>0</v>
      </c>
      <c r="I157" s="16">
        <f>NETWORKDAYS($J$113,F157,'Festivos Colombia'!$A$3:$A$22)</f>
        <v>20</v>
      </c>
      <c r="J157" s="46">
        <f t="shared" si="24"/>
        <v>0</v>
      </c>
      <c r="K157" s="58"/>
      <c r="L157" s="16"/>
      <c r="M157" s="16"/>
      <c r="N157" s="25"/>
      <c r="O157" s="16"/>
      <c r="S157" s="16"/>
      <c r="T157" s="16"/>
      <c r="U157" s="16"/>
    </row>
    <row r="158" spans="1:21" s="27" customFormat="1" ht="15.75" outlineLevel="1" thickBot="1">
      <c r="A158" s="16" t="str">
        <f>G158</f>
        <v>Cancelado</v>
      </c>
      <c r="B158" s="16">
        <f>IF(I158&lt;=-1,1,IF(I158&lt;=5,2,IF(I158&lt;=15,3,IF(H158&lt;=60,4))))</f>
        <v>4</v>
      </c>
      <c r="C158" s="373">
        <v>20911203020</v>
      </c>
      <c r="D158" s="9" t="s">
        <v>43</v>
      </c>
      <c r="E158" s="350">
        <v>432545</v>
      </c>
      <c r="F158" s="353">
        <v>46017</v>
      </c>
      <c r="G158" s="16" t="s">
        <v>20</v>
      </c>
      <c r="H158" s="16">
        <f>IF(OR(G158="Sin pagar",G158="Pagar"),NETWORKDAYS($J$113,F158,'Festivos Colombia'!$A$3:$A$22),0)</f>
        <v>0</v>
      </c>
      <c r="I158" s="16">
        <f>NETWORKDAYS($J$113,F158,'Festivos Colombia'!$A$3:$A$22)</f>
        <v>20</v>
      </c>
      <c r="J158" s="46">
        <f t="shared" ref="J158" si="25">H158</f>
        <v>0</v>
      </c>
      <c r="K158" s="58"/>
      <c r="L158" s="16"/>
      <c r="M158" s="16"/>
      <c r="N158" s="25"/>
      <c r="O158" s="16"/>
      <c r="S158" s="16"/>
      <c r="T158" s="16"/>
      <c r="U158" s="16"/>
    </row>
    <row r="159" spans="1:21" s="16" customFormat="1" ht="16.5" thickBot="1">
      <c r="D159" s="351" t="s">
        <v>45</v>
      </c>
      <c r="E159" s="352">
        <f>SUBTOTAL(9,E160:E165)</f>
        <v>1046102</v>
      </c>
      <c r="J159" s="46"/>
      <c r="K159" s="50"/>
    </row>
    <row r="160" spans="1:21" s="16" customFormat="1" outlineLevel="1">
      <c r="A160" s="16" t="str">
        <f>G160</f>
        <v>Cancelado</v>
      </c>
      <c r="B160" s="16">
        <f>IF(I160&lt;=-1,1,IF(I160&lt;=5,2,IF(I160&lt;=15,3,IF(H160&lt;=60,4))))</f>
        <v>2</v>
      </c>
      <c r="C160" s="24">
        <v>16</v>
      </c>
      <c r="D160" s="9" t="s">
        <v>95</v>
      </c>
      <c r="E160" s="350">
        <f>115000</f>
        <v>115000</v>
      </c>
      <c r="F160" s="353">
        <v>45995</v>
      </c>
      <c r="G160" s="16" t="s">
        <v>20</v>
      </c>
      <c r="H160" s="16">
        <f>IF(OR(G160="Sin pagar",G160="Pagar"),NETWORKDAYS($J$113,F160,'Festivos Colombia'!$A$3:$A$22),0)</f>
        <v>0</v>
      </c>
      <c r="I160" s="16">
        <f>NETWORKDAYS($J$113,F160,'Festivos Colombia'!$A$3:$A$22)</f>
        <v>4</v>
      </c>
      <c r="J160" s="46">
        <f>H160</f>
        <v>0</v>
      </c>
      <c r="K160" s="58"/>
      <c r="L160" s="25"/>
    </row>
    <row r="161" spans="1:12" s="16" customFormat="1" outlineLevel="1">
      <c r="A161" s="16" t="str">
        <f>G161</f>
        <v>Cancelado</v>
      </c>
      <c r="B161" s="16">
        <f>IF(I161&lt;=-1,1,IF(I161&lt;=5,2,IF(I161&lt;=15,3,IF(H161&lt;=60,4))))</f>
        <v>3</v>
      </c>
      <c r="C161" s="24">
        <v>1</v>
      </c>
      <c r="D161" s="9" t="s">
        <v>596</v>
      </c>
      <c r="E161" s="350">
        <v>297102</v>
      </c>
      <c r="F161" s="7">
        <v>46007</v>
      </c>
      <c r="G161" s="16" t="s">
        <v>20</v>
      </c>
      <c r="H161" s="16">
        <f>IF(OR(G161="Sin pagar",G161="Pagar"),NETWORKDAYS($J$113,F161,'Festivos Colombia'!$A$3:$A$22),0)</f>
        <v>0</v>
      </c>
      <c r="I161" s="16">
        <f>NETWORKDAYS($J$113,F161,'Festivos Colombia'!$A$3:$A$22)</f>
        <v>12</v>
      </c>
      <c r="J161" s="46">
        <f>H161</f>
        <v>0</v>
      </c>
      <c r="K161" s="58"/>
      <c r="L161" s="25"/>
    </row>
    <row r="162" spans="1:12" s="16" customFormat="1" outlineLevel="1">
      <c r="A162" s="16" t="str">
        <f t="shared" ref="A162:A163" si="26">G162</f>
        <v>Cancelado</v>
      </c>
      <c r="B162" s="16">
        <f t="shared" ref="B162:B163" si="27">IF(I162&lt;=-1,1,IF(I162&lt;=5,2,IF(I162&lt;=15,3,IF(H162&lt;=60,4))))</f>
        <v>3</v>
      </c>
      <c r="C162" s="24">
        <v>49</v>
      </c>
      <c r="D162" s="9" t="s">
        <v>46</v>
      </c>
      <c r="E162" s="350">
        <v>148000</v>
      </c>
      <c r="F162" s="353">
        <v>46010</v>
      </c>
      <c r="G162" s="16" t="s">
        <v>20</v>
      </c>
      <c r="H162" s="16">
        <f>IF(OR(G162="Sin pagar",G162="Pagar"),NETWORKDAYS($J$113,F162,'Festivos Colombia'!$A$3:$A$22),0)</f>
        <v>0</v>
      </c>
      <c r="I162" s="16">
        <f>NETWORKDAYS($J$113,F162,'Festivos Colombia'!$A$3:$A$22)</f>
        <v>15</v>
      </c>
      <c r="J162" s="46">
        <f t="shared" si="24"/>
        <v>0</v>
      </c>
      <c r="K162" s="58"/>
      <c r="L162" s="25"/>
    </row>
    <row r="163" spans="1:12" s="16" customFormat="1" outlineLevel="1">
      <c r="A163" s="16" t="str">
        <f t="shared" si="26"/>
        <v>Cancelado</v>
      </c>
      <c r="B163" s="16">
        <f t="shared" si="27"/>
        <v>4</v>
      </c>
      <c r="C163" s="483">
        <v>50</v>
      </c>
      <c r="D163" s="9" t="s">
        <v>46</v>
      </c>
      <c r="E163" s="350">
        <v>200000</v>
      </c>
      <c r="F163" s="7">
        <v>46014</v>
      </c>
      <c r="G163" s="16" t="s">
        <v>20</v>
      </c>
      <c r="H163" s="16">
        <f>IF(OR(G163="Sin pagar",G163="Pagar"),NETWORKDAYS($J$113,F163,'Festivos Colombia'!$A$3:$A$22),0)</f>
        <v>0</v>
      </c>
      <c r="I163" s="16">
        <f>NETWORKDAYS($J$113,F163,'Festivos Colombia'!$A$3:$A$22)</f>
        <v>17</v>
      </c>
      <c r="J163" s="46">
        <f t="shared" ref="J163" si="28">H163</f>
        <v>0</v>
      </c>
      <c r="K163" s="58"/>
      <c r="L163" s="25"/>
    </row>
    <row r="164" spans="1:12" s="16" customFormat="1" outlineLevel="1">
      <c r="A164" s="16" t="str">
        <f t="shared" ref="A164" si="29">G164</f>
        <v>Cancelado</v>
      </c>
      <c r="B164" s="16">
        <f t="shared" ref="B164" si="30">IF(I164&lt;=-1,1,IF(I164&lt;=5,2,IF(I164&lt;=15,3,IF(H164&lt;=60,4))))</f>
        <v>4</v>
      </c>
      <c r="C164" s="24">
        <v>51</v>
      </c>
      <c r="D164" s="9" t="s">
        <v>46</v>
      </c>
      <c r="E164" s="350">
        <v>166000</v>
      </c>
      <c r="F164" s="7">
        <v>46017</v>
      </c>
      <c r="G164" s="16" t="s">
        <v>20</v>
      </c>
      <c r="H164" s="16">
        <f>IF(OR(G164="Sin pagar",G164="Pagar"),NETWORKDAYS($J$113,F164,'Festivos Colombia'!$A$3:$A$22),0)</f>
        <v>0</v>
      </c>
      <c r="I164" s="16">
        <f>NETWORKDAYS($J$113,F164,'Festivos Colombia'!$A$3:$A$22)</f>
        <v>20</v>
      </c>
      <c r="J164" s="46">
        <f t="shared" ref="J164" si="31">H164</f>
        <v>0</v>
      </c>
      <c r="K164" s="58"/>
      <c r="L164" s="25"/>
    </row>
    <row r="165" spans="1:12" s="16" customFormat="1" ht="15.75" outlineLevel="1" thickBot="1">
      <c r="A165" s="16" t="str">
        <f t="shared" ref="A165" si="32">G165</f>
        <v>Cancelado</v>
      </c>
      <c r="B165" s="16">
        <f t="shared" ref="B165" si="33">IF(I165&lt;=-1,1,IF(I165&lt;=5,2,IF(I165&lt;=15,3,IF(H165&lt;=60,4))))</f>
        <v>4</v>
      </c>
      <c r="C165" s="24">
        <v>52</v>
      </c>
      <c r="D165" s="9" t="s">
        <v>46</v>
      </c>
      <c r="E165" s="350">
        <v>120000</v>
      </c>
      <c r="F165" s="7">
        <v>46021</v>
      </c>
      <c r="G165" s="16" t="s">
        <v>20</v>
      </c>
      <c r="H165" s="16">
        <f>IF(OR(G165="Sin pagar",G165="Pagar"),NETWORKDAYS($J$113,F165,'Festivos Colombia'!$A$3:$A$22),0)</f>
        <v>0</v>
      </c>
      <c r="I165" s="16">
        <f>NETWORKDAYS($J$113,F165,'Festivos Colombia'!$A$3:$A$22)</f>
        <v>22</v>
      </c>
      <c r="J165" s="46">
        <f t="shared" ref="J165" si="34">H165</f>
        <v>0</v>
      </c>
      <c r="K165" s="58"/>
      <c r="L165" s="25"/>
    </row>
    <row r="166" spans="1:12" s="16" customFormat="1" ht="15.75" customHeight="1" thickBot="1">
      <c r="C166" s="28"/>
      <c r="D166" s="354" t="s">
        <v>47</v>
      </c>
      <c r="E166" s="352">
        <f>SUBTOTAL(9,E167:E168)</f>
        <v>428600</v>
      </c>
      <c r="J166" s="46"/>
      <c r="L166" s="25"/>
    </row>
    <row r="167" spans="1:12" s="16" customFormat="1" outlineLevel="1">
      <c r="C167" s="28"/>
      <c r="D167" s="9" t="s">
        <v>608</v>
      </c>
      <c r="E167" s="8">
        <v>368600</v>
      </c>
      <c r="F167" s="353">
        <v>46007</v>
      </c>
      <c r="G167" s="16" t="s">
        <v>20</v>
      </c>
      <c r="H167" s="16">
        <f>IF(OR(G167="Sin pagar",G167="Pagar"),NETWORKDAYS($J$113,F167,'Festivos Colombia'!$A$3:$A$22),0)</f>
        <v>0</v>
      </c>
      <c r="I167" s="16">
        <f>NETWORKDAYS($J$113,F167,'Festivos Colombia'!$A$3:$A$22)</f>
        <v>12</v>
      </c>
      <c r="J167" s="46">
        <f t="shared" ref="J167" si="35">H167</f>
        <v>0</v>
      </c>
      <c r="K167" s="58"/>
      <c r="L167" s="25"/>
    </row>
    <row r="168" spans="1:12" s="16" customFormat="1" ht="15.75" outlineLevel="1" thickBot="1">
      <c r="C168" s="28"/>
      <c r="D168" s="9" t="s">
        <v>609</v>
      </c>
      <c r="E168" s="8">
        <v>60000</v>
      </c>
      <c r="F168" s="353">
        <v>46007</v>
      </c>
      <c r="G168" s="16" t="s">
        <v>20</v>
      </c>
      <c r="H168" s="16">
        <f>IF(OR(G168="Sin pagar",G168="Pagar"),NETWORKDAYS($J$113,F168,'Festivos Colombia'!$A$3:$A$22),0)</f>
        <v>0</v>
      </c>
      <c r="I168" s="16">
        <f>NETWORKDAYS($J$113,F168,'Festivos Colombia'!$A$3:$A$22)</f>
        <v>12</v>
      </c>
      <c r="J168" s="46">
        <f t="shared" ref="J168" si="36">H168</f>
        <v>0</v>
      </c>
      <c r="K168" s="58"/>
      <c r="L168" s="25"/>
    </row>
    <row r="169" spans="1:12" s="16" customFormat="1" ht="16.5" thickBot="1">
      <c r="C169" s="24"/>
      <c r="D169" s="351" t="s">
        <v>104</v>
      </c>
      <c r="E169" s="352">
        <f>SUBTOTAL(9,E170:E172)</f>
        <v>9861166</v>
      </c>
      <c r="J169" s="46"/>
      <c r="K169" s="25"/>
    </row>
    <row r="170" spans="1:12" s="16" customFormat="1" outlineLevel="1">
      <c r="C170" s="28"/>
      <c r="D170" s="9" t="s">
        <v>581</v>
      </c>
      <c r="E170" s="350">
        <v>6012906</v>
      </c>
      <c r="F170" s="353">
        <v>46002</v>
      </c>
      <c r="G170" s="16" t="s">
        <v>20</v>
      </c>
      <c r="H170" s="16">
        <f>IF(OR(G170="Sin pagar",G170="Pagar"),NETWORKDAYS($J$113,F170,'Festivos Colombia'!$A$3:$A$22),0)</f>
        <v>0</v>
      </c>
      <c r="I170" s="16">
        <f>NETWORKDAYS($J$113,F170,'Festivos Colombia'!$A$3:$A$22)</f>
        <v>9</v>
      </c>
      <c r="J170" s="46">
        <f t="shared" ref="J170" si="37">H170</f>
        <v>0</v>
      </c>
      <c r="K170" s="58"/>
      <c r="L170" s="25"/>
    </row>
    <row r="171" spans="1:12" s="16" customFormat="1" outlineLevel="1">
      <c r="C171" s="28"/>
      <c r="D171" s="9" t="s">
        <v>615</v>
      </c>
      <c r="E171" s="350">
        <v>1843958</v>
      </c>
      <c r="F171" s="353">
        <v>46007</v>
      </c>
      <c r="G171" s="16" t="s">
        <v>20</v>
      </c>
      <c r="H171" s="16">
        <f>IF(OR(G171="Sin pagar",G171="Pagar"),NETWORKDAYS($J$113,F171,'Festivos Colombia'!$A$3:$A$22),0)</f>
        <v>0</v>
      </c>
      <c r="I171" s="16">
        <f>NETWORKDAYS($J$113,F171,'Festivos Colombia'!$A$3:$A$22)</f>
        <v>12</v>
      </c>
      <c r="J171" s="46">
        <f t="shared" ref="J171" si="38">H171</f>
        <v>0</v>
      </c>
      <c r="K171" s="58"/>
      <c r="L171" s="25"/>
    </row>
    <row r="172" spans="1:12" s="16" customFormat="1" ht="15.75" outlineLevel="1" thickBot="1">
      <c r="C172" s="28"/>
      <c r="D172" s="9" t="s">
        <v>755</v>
      </c>
      <c r="E172" s="350">
        <v>2004302</v>
      </c>
      <c r="F172" s="353">
        <v>46024</v>
      </c>
      <c r="G172" s="16" t="s">
        <v>20</v>
      </c>
      <c r="H172" s="16">
        <f>IF(OR(G172="Sin pagar",G172="Pagar"),NETWORKDAYS($J$113,F172,'Festivos Colombia'!$A$3:$A$22),0)</f>
        <v>0</v>
      </c>
      <c r="I172" s="16">
        <f>NETWORKDAYS($J$113,F172,'Festivos Colombia'!$A$3:$A$22)</f>
        <v>24</v>
      </c>
      <c r="J172" s="46">
        <f t="shared" ref="J172" si="39">H172</f>
        <v>0</v>
      </c>
      <c r="K172" s="58"/>
      <c r="L172" s="25"/>
    </row>
    <row r="173" spans="1:12" s="16" customFormat="1" ht="16.5" thickBot="1">
      <c r="C173" s="24"/>
      <c r="D173" s="351" t="s">
        <v>108</v>
      </c>
      <c r="E173" s="352">
        <f>SUBTOTAL(9,E174:E181)</f>
        <v>14164743</v>
      </c>
      <c r="J173" s="46"/>
    </row>
    <row r="174" spans="1:12" s="16" customFormat="1" outlineLevel="1">
      <c r="C174" s="28"/>
      <c r="D174" s="9" t="s">
        <v>563</v>
      </c>
      <c r="E174" s="350">
        <f>860538+560000</f>
        <v>1420538</v>
      </c>
      <c r="F174" s="353">
        <v>45995</v>
      </c>
      <c r="G174" s="16" t="s">
        <v>20</v>
      </c>
      <c r="H174" s="16">
        <f>IF(OR(G174="Sin pagar",G174="Pagar"),NETWORKDAYS($J$113,F174,'Festivos Colombia'!$A$3:$A$22),0)</f>
        <v>0</v>
      </c>
      <c r="I174" s="16">
        <f>NETWORKDAYS($J$113,F174,'Festivos Colombia'!$A$3:$A$22)</f>
        <v>4</v>
      </c>
      <c r="J174" s="46">
        <f t="shared" ref="J174" si="40">H174</f>
        <v>0</v>
      </c>
      <c r="K174" s="58"/>
      <c r="L174" s="25"/>
    </row>
    <row r="175" spans="1:12" s="16" customFormat="1" outlineLevel="1">
      <c r="C175" s="28"/>
      <c r="D175" s="9" t="s">
        <v>564</v>
      </c>
      <c r="E175" s="350">
        <f>1164090+740000</f>
        <v>1904090</v>
      </c>
      <c r="F175" s="353">
        <v>45995</v>
      </c>
      <c r="G175" s="16" t="s">
        <v>20</v>
      </c>
      <c r="H175" s="16">
        <f>IF(OR(G175="Sin pagar",G175="Pagar"),NETWORKDAYS($J$113,F175,'Festivos Colombia'!$A$3:$A$22),0)</f>
        <v>0</v>
      </c>
      <c r="I175" s="16">
        <f>NETWORKDAYS($J$113,F175,'Festivos Colombia'!$A$3:$A$22)</f>
        <v>4</v>
      </c>
      <c r="J175" s="46">
        <f t="shared" ref="J175:J176" si="41">H175</f>
        <v>0</v>
      </c>
      <c r="K175" s="58"/>
      <c r="L175" s="25"/>
    </row>
    <row r="176" spans="1:12" s="16" customFormat="1" outlineLevel="1">
      <c r="C176" s="28"/>
      <c r="D176" s="9" t="s">
        <v>574</v>
      </c>
      <c r="E176" s="350">
        <v>837870</v>
      </c>
      <c r="F176" s="353">
        <v>46000</v>
      </c>
      <c r="G176" s="16" t="s">
        <v>20</v>
      </c>
      <c r="H176" s="16">
        <f>IF(OR(G176="Sin pagar",G176="Pagar"),NETWORKDAYS($J$113,F176,'Festivos Colombia'!$A$3:$A$22),0)</f>
        <v>0</v>
      </c>
      <c r="I176" s="16">
        <f>NETWORKDAYS($J$113,F176,'Festivos Colombia'!$A$3:$A$22)</f>
        <v>7</v>
      </c>
      <c r="J176" s="46">
        <f t="shared" si="41"/>
        <v>0</v>
      </c>
      <c r="K176" s="58"/>
      <c r="L176" s="25"/>
    </row>
    <row r="177" spans="1:12" s="16" customFormat="1" outlineLevel="1">
      <c r="C177" s="28"/>
      <c r="D177" s="9" t="s">
        <v>580</v>
      </c>
      <c r="E177" s="350">
        <v>4392232</v>
      </c>
      <c r="F177" s="353">
        <v>46002</v>
      </c>
      <c r="G177" s="16" t="s">
        <v>20</v>
      </c>
      <c r="H177" s="16">
        <f>IF(OR(G177="Sin pagar",G177="Pagar"),NETWORKDAYS($J$113,F177,'Festivos Colombia'!$A$3:$A$22),0)</f>
        <v>0</v>
      </c>
      <c r="I177" s="16">
        <f>NETWORKDAYS($J$113,F177,'Festivos Colombia'!$A$3:$A$22)</f>
        <v>9</v>
      </c>
      <c r="J177" s="46">
        <f t="shared" ref="J177:J179" si="42">H177</f>
        <v>0</v>
      </c>
      <c r="K177" s="58"/>
      <c r="L177" s="25"/>
    </row>
    <row r="178" spans="1:12" s="16" customFormat="1" outlineLevel="1">
      <c r="C178" s="28"/>
      <c r="D178" s="9" t="s">
        <v>637</v>
      </c>
      <c r="E178" s="350">
        <v>1675574</v>
      </c>
      <c r="F178" s="353">
        <v>46008</v>
      </c>
      <c r="G178" s="16" t="s">
        <v>20</v>
      </c>
      <c r="J178" s="46"/>
      <c r="K178" s="58"/>
      <c r="L178" s="25"/>
    </row>
    <row r="179" spans="1:12" s="16" customFormat="1" outlineLevel="1">
      <c r="C179" s="28"/>
      <c r="D179" s="9" t="s">
        <v>664</v>
      </c>
      <c r="E179" s="350">
        <v>1096264</v>
      </c>
      <c r="F179" s="353">
        <v>46013</v>
      </c>
      <c r="G179" s="16" t="s">
        <v>20</v>
      </c>
      <c r="H179" s="16">
        <f>IF(OR(G179="Sin pagar",G179="Pagar"),NETWORKDAYS($J$113,F179,'Festivos Colombia'!$A$3:$A$22),0)</f>
        <v>0</v>
      </c>
      <c r="I179" s="16">
        <f>NETWORKDAYS($J$113,F179,'Festivos Colombia'!$A$3:$A$22)</f>
        <v>16</v>
      </c>
      <c r="J179" s="46">
        <f t="shared" si="42"/>
        <v>0</v>
      </c>
      <c r="K179" s="58"/>
      <c r="L179" s="25"/>
    </row>
    <row r="180" spans="1:12" s="16" customFormat="1" outlineLevel="1">
      <c r="C180" s="28"/>
      <c r="D180" s="9" t="s">
        <v>740</v>
      </c>
      <c r="E180" s="350">
        <v>1498325</v>
      </c>
      <c r="F180" s="353">
        <v>46021</v>
      </c>
      <c r="G180" s="16" t="s">
        <v>20</v>
      </c>
      <c r="H180" s="16">
        <f>IF(OR(G180="Sin pagar",G180="Pagar"),NETWORKDAYS($J$113,F180,'Festivos Colombia'!$A$3:$A$22),0)</f>
        <v>0</v>
      </c>
      <c r="I180" s="16">
        <f>NETWORKDAYS($J$113,F180,'Festivos Colombia'!$A$3:$A$22)</f>
        <v>22</v>
      </c>
      <c r="J180" s="46">
        <f t="shared" ref="J180" si="43">H180</f>
        <v>0</v>
      </c>
      <c r="K180" s="58"/>
      <c r="L180" s="25"/>
    </row>
    <row r="181" spans="1:12" s="16" customFormat="1" ht="15.75" outlineLevel="1" thickBot="1">
      <c r="C181" s="28"/>
      <c r="D181" s="9" t="s">
        <v>759</v>
      </c>
      <c r="E181" s="350">
        <v>1339850</v>
      </c>
      <c r="F181" s="353">
        <v>46027</v>
      </c>
      <c r="G181" s="16" t="s">
        <v>20</v>
      </c>
      <c r="H181" s="16">
        <f>IF(OR(G181="Sin pagar",G181="Pagar"),NETWORKDAYS($J$113,F181,'Festivos Colombia'!$A$3:$A$22),0)</f>
        <v>0</v>
      </c>
      <c r="I181" s="16">
        <f>NETWORKDAYS($J$113,F181,'Festivos Colombia'!$A$3:$A$22)</f>
        <v>25</v>
      </c>
      <c r="J181" s="46">
        <f t="shared" ref="J181" si="44">H181</f>
        <v>0</v>
      </c>
      <c r="K181" s="58"/>
      <c r="L181" s="25"/>
    </row>
    <row r="182" spans="1:12" s="16" customFormat="1" ht="16.5" thickBot="1">
      <c r="C182" s="24"/>
      <c r="D182" s="351" t="s">
        <v>105</v>
      </c>
      <c r="E182" s="352">
        <f>SUBTOTAL(9,E183:E200)</f>
        <v>12880330.789999999</v>
      </c>
      <c r="H182" s="16">
        <f>IF(OR(G182="Sin pagar",G182="Pagar"),NETWORKDAYS($J$113,F182,'Festivos Colombia'!$A$3:$A$22),0)</f>
        <v>0</v>
      </c>
      <c r="I182" s="16">
        <f>NETWORKDAYS($J$113,F182,'Festivos Colombia'!$A$3:$A$22)</f>
        <v>-32851</v>
      </c>
      <c r="J182" s="46"/>
      <c r="K182" s="25"/>
    </row>
    <row r="183" spans="1:12" s="16" customFormat="1" outlineLevel="1">
      <c r="A183" s="16" t="str">
        <f t="shared" ref="A183:A185" si="45">G183</f>
        <v>Cancelado</v>
      </c>
      <c r="B183" s="16">
        <f t="shared" ref="B183:B185" si="46">IF(I183&lt;=-1,1,IF(I183&lt;=5,2,IF(I183&lt;=15,3,IF(H183&lt;=60,4))))</f>
        <v>2</v>
      </c>
      <c r="C183" s="24"/>
      <c r="D183" s="9" t="s">
        <v>501</v>
      </c>
      <c r="E183" s="350">
        <v>205000</v>
      </c>
      <c r="F183" s="353">
        <v>45993</v>
      </c>
      <c r="G183" s="16" t="s">
        <v>20</v>
      </c>
      <c r="H183" s="16">
        <f>IF(OR(G183="Sin pagar",G183="Pagar"),NETWORKDAYS($J$113,F183,'Festivos Colombia'!$A$3:$A$22),0)</f>
        <v>0</v>
      </c>
      <c r="I183" s="16">
        <f>NETWORKDAYS($J$113,F183,'Festivos Colombia'!$A$3:$A$22)</f>
        <v>2</v>
      </c>
      <c r="J183" s="46">
        <f t="shared" ref="J183:J185" si="47">H183</f>
        <v>0</v>
      </c>
      <c r="K183" s="58"/>
      <c r="L183" s="25"/>
    </row>
    <row r="184" spans="1:12" s="16" customFormat="1" outlineLevel="1">
      <c r="A184" s="16" t="str">
        <f t="shared" si="45"/>
        <v>Cancelado</v>
      </c>
      <c r="B184" s="16">
        <f t="shared" si="46"/>
        <v>2</v>
      </c>
      <c r="C184" s="24"/>
      <c r="D184" s="9" t="s">
        <v>500</v>
      </c>
      <c r="E184" s="350">
        <v>205100</v>
      </c>
      <c r="F184" s="353">
        <v>45993</v>
      </c>
      <c r="G184" s="16" t="s">
        <v>20</v>
      </c>
      <c r="H184" s="16">
        <f>IF(OR(G184="Sin pagar",G184="Pagar"),NETWORKDAYS($J$113,F184,'Festivos Colombia'!$A$3:$A$22),0)</f>
        <v>0</v>
      </c>
      <c r="I184" s="16">
        <f>NETWORKDAYS($J$113,F184,'Festivos Colombia'!$A$3:$A$22)</f>
        <v>2</v>
      </c>
      <c r="J184" s="46">
        <f t="shared" si="47"/>
        <v>0</v>
      </c>
      <c r="K184" s="58"/>
      <c r="L184" s="25"/>
    </row>
    <row r="185" spans="1:12" s="16" customFormat="1" outlineLevel="1">
      <c r="A185" s="16" t="str">
        <f t="shared" si="45"/>
        <v>Cancelado</v>
      </c>
      <c r="B185" s="16">
        <f t="shared" si="46"/>
        <v>2</v>
      </c>
      <c r="C185" s="24"/>
      <c r="D185" s="9" t="s">
        <v>502</v>
      </c>
      <c r="E185" s="350">
        <v>575000</v>
      </c>
      <c r="F185" s="353">
        <v>45993</v>
      </c>
      <c r="G185" s="16" t="s">
        <v>20</v>
      </c>
      <c r="H185" s="16">
        <f>IF(OR(G185="Sin pagar",G185="Pagar"),NETWORKDAYS($J$113,F185,'Festivos Colombia'!$A$3:$A$22),0)</f>
        <v>0</v>
      </c>
      <c r="I185" s="16">
        <f>NETWORKDAYS($J$113,F185,'Festivos Colombia'!$A$3:$A$22)</f>
        <v>2</v>
      </c>
      <c r="J185" s="46">
        <f t="shared" si="47"/>
        <v>0</v>
      </c>
      <c r="K185" s="58"/>
      <c r="L185" s="25"/>
    </row>
    <row r="186" spans="1:12" s="16" customFormat="1" outlineLevel="1">
      <c r="A186" s="16" t="str">
        <f t="shared" ref="A186" si="48">G186</f>
        <v>Cancelado</v>
      </c>
      <c r="B186" s="16">
        <f t="shared" ref="B186" si="49">IF(I186&lt;=-1,1,IF(I186&lt;=5,2,IF(I186&lt;=15,3,IF(H186&lt;=60,4))))</f>
        <v>3</v>
      </c>
      <c r="C186" s="24"/>
      <c r="D186" s="9" t="s">
        <v>638</v>
      </c>
      <c r="E186" s="350">
        <v>356000</v>
      </c>
      <c r="F186" s="353">
        <v>46007</v>
      </c>
      <c r="G186" s="16" t="s">
        <v>20</v>
      </c>
      <c r="H186" s="16">
        <f>IF(OR(G186="Sin pagar",G186="Pagar"),NETWORKDAYS($J$113,F186,'Festivos Colombia'!$A$3:$A$22),0)</f>
        <v>0</v>
      </c>
      <c r="I186" s="16">
        <f>NETWORKDAYS($J$113,F186,'Festivos Colombia'!$A$3:$A$22)</f>
        <v>12</v>
      </c>
      <c r="J186" s="46">
        <f t="shared" ref="J186" si="50">H186</f>
        <v>0</v>
      </c>
      <c r="K186" s="58"/>
      <c r="L186" s="25"/>
    </row>
    <row r="187" spans="1:12" s="16" customFormat="1" outlineLevel="1">
      <c r="A187" s="16" t="str">
        <f t="shared" ref="A187" si="51">G187</f>
        <v>Cancelado</v>
      </c>
      <c r="B187" s="16">
        <f t="shared" ref="B187" si="52">IF(I187&lt;=-1,1,IF(I187&lt;=5,2,IF(I187&lt;=15,3,IF(H187&lt;=60,4))))</f>
        <v>4</v>
      </c>
      <c r="C187" s="24"/>
      <c r="D187" s="9" t="s">
        <v>640</v>
      </c>
      <c r="E187" s="350">
        <v>469000</v>
      </c>
      <c r="F187" s="353">
        <v>46014</v>
      </c>
      <c r="G187" s="16" t="s">
        <v>20</v>
      </c>
      <c r="H187" s="16">
        <f>IF(OR(G187="Sin pagar",G187="Pagar"),NETWORKDAYS($J$113,F187,'Festivos Colombia'!$A$3:$A$22),0)</f>
        <v>0</v>
      </c>
      <c r="I187" s="16">
        <f>NETWORKDAYS($J$113,F187,'Festivos Colombia'!$A$3:$A$22)</f>
        <v>17</v>
      </c>
      <c r="J187" s="46">
        <f t="shared" ref="J187" si="53">H187</f>
        <v>0</v>
      </c>
      <c r="K187" s="58"/>
      <c r="L187" s="25"/>
    </row>
    <row r="188" spans="1:12" s="16" customFormat="1" outlineLevel="1">
      <c r="A188" s="16" t="str">
        <f t="shared" ref="A188:A195" si="54">G188</f>
        <v>Cancelado</v>
      </c>
      <c r="B188" s="16">
        <f t="shared" ref="B188:B195" si="55">IF(I188&lt;=-1,1,IF(I188&lt;=5,2,IF(I188&lt;=15,3,IF(H188&lt;=60,4))))</f>
        <v>4</v>
      </c>
      <c r="C188" s="24"/>
      <c r="D188" s="9" t="s">
        <v>716</v>
      </c>
      <c r="E188" s="350">
        <v>920297</v>
      </c>
      <c r="F188" s="353">
        <v>46017</v>
      </c>
      <c r="G188" s="16" t="s">
        <v>20</v>
      </c>
      <c r="H188" s="16">
        <f>IF(OR(G188="Sin pagar",G188="Pagar"),NETWORKDAYS($J$113,F188,'Festivos Colombia'!$A$3:$A$22),0)</f>
        <v>0</v>
      </c>
      <c r="I188" s="16">
        <f>NETWORKDAYS($J$113,F188,'Festivos Colombia'!$A$3:$A$22)</f>
        <v>20</v>
      </c>
      <c r="J188" s="46">
        <f t="shared" ref="J188:J195" si="56">H188</f>
        <v>0</v>
      </c>
      <c r="K188" s="58"/>
      <c r="L188" s="25"/>
    </row>
    <row r="189" spans="1:12" s="16" customFormat="1" outlineLevel="1">
      <c r="A189" s="16" t="str">
        <f t="shared" si="54"/>
        <v>Cancelado</v>
      </c>
      <c r="B189" s="16">
        <f t="shared" si="55"/>
        <v>4</v>
      </c>
      <c r="C189" s="24"/>
      <c r="D189" s="9" t="s">
        <v>717</v>
      </c>
      <c r="E189" s="350">
        <v>3841107.33</v>
      </c>
      <c r="F189" s="353">
        <v>46017</v>
      </c>
      <c r="G189" s="16" t="s">
        <v>20</v>
      </c>
      <c r="H189" s="16">
        <f>IF(OR(G189="Sin pagar",G189="Pagar"),NETWORKDAYS($J$113,F189,'Festivos Colombia'!$A$3:$A$22),0)</f>
        <v>0</v>
      </c>
      <c r="I189" s="16">
        <f>NETWORKDAYS($J$113,F189,'Festivos Colombia'!$A$3:$A$22)</f>
        <v>20</v>
      </c>
      <c r="J189" s="46">
        <f t="shared" si="56"/>
        <v>0</v>
      </c>
      <c r="K189" s="58"/>
      <c r="L189" s="25"/>
    </row>
    <row r="190" spans="1:12" s="16" customFormat="1" outlineLevel="1">
      <c r="A190" s="16" t="str">
        <f t="shared" si="54"/>
        <v>Cancelado</v>
      </c>
      <c r="B190" s="16">
        <f t="shared" si="55"/>
        <v>4</v>
      </c>
      <c r="C190" s="24"/>
      <c r="D190" s="9" t="s">
        <v>718</v>
      </c>
      <c r="E190" s="350">
        <v>12085.51</v>
      </c>
      <c r="F190" s="353">
        <v>46017</v>
      </c>
      <c r="G190" s="16" t="s">
        <v>20</v>
      </c>
      <c r="H190" s="16">
        <f>IF(OR(G190="Sin pagar",G190="Pagar"),NETWORKDAYS($J$113,F190,'Festivos Colombia'!$A$3:$A$22),0)</f>
        <v>0</v>
      </c>
      <c r="I190" s="16">
        <f>NETWORKDAYS($J$113,F190,'Festivos Colombia'!$A$3:$A$22)</f>
        <v>20</v>
      </c>
      <c r="J190" s="46">
        <f t="shared" si="56"/>
        <v>0</v>
      </c>
      <c r="K190" s="58"/>
      <c r="L190" s="25"/>
    </row>
    <row r="191" spans="1:12" s="16" customFormat="1" outlineLevel="1">
      <c r="A191" s="16" t="str">
        <f t="shared" si="54"/>
        <v>Cancelado</v>
      </c>
      <c r="B191" s="16">
        <f t="shared" si="55"/>
        <v>4</v>
      </c>
      <c r="C191" s="24"/>
      <c r="D191" s="9" t="s">
        <v>719</v>
      </c>
      <c r="E191" s="350">
        <v>508808.87</v>
      </c>
      <c r="F191" s="353">
        <v>46017</v>
      </c>
      <c r="G191" s="16" t="s">
        <v>20</v>
      </c>
      <c r="H191" s="16">
        <f>IF(OR(G191="Sin pagar",G191="Pagar"),NETWORKDAYS($J$113,F191,'Festivos Colombia'!$A$3:$A$22),0)</f>
        <v>0</v>
      </c>
      <c r="I191" s="16">
        <f>NETWORKDAYS($J$113,F191,'Festivos Colombia'!$A$3:$A$22)</f>
        <v>20</v>
      </c>
      <c r="J191" s="46">
        <f t="shared" si="56"/>
        <v>0</v>
      </c>
      <c r="K191" s="58"/>
      <c r="L191" s="25"/>
    </row>
    <row r="192" spans="1:12" s="16" customFormat="1" outlineLevel="1">
      <c r="A192" s="16" t="str">
        <f t="shared" si="54"/>
        <v>Cancelado</v>
      </c>
      <c r="B192" s="16">
        <f t="shared" si="55"/>
        <v>4</v>
      </c>
      <c r="C192" s="24"/>
      <c r="D192" s="9" t="s">
        <v>720</v>
      </c>
      <c r="E192" s="350">
        <v>244583.71</v>
      </c>
      <c r="F192" s="353">
        <v>46017</v>
      </c>
      <c r="G192" s="16" t="s">
        <v>20</v>
      </c>
      <c r="H192" s="16">
        <f>IF(OR(G192="Sin pagar",G192="Pagar"),NETWORKDAYS($J$113,F192,'Festivos Colombia'!$A$3:$A$22),0)</f>
        <v>0</v>
      </c>
      <c r="I192" s="16">
        <f>NETWORKDAYS($J$113,F192,'Festivos Colombia'!$A$3:$A$22)</f>
        <v>20</v>
      </c>
      <c r="J192" s="46">
        <f t="shared" si="56"/>
        <v>0</v>
      </c>
      <c r="K192" s="58"/>
      <c r="L192" s="25"/>
    </row>
    <row r="193" spans="1:21" s="16" customFormat="1" outlineLevel="1">
      <c r="A193" s="16" t="str">
        <f t="shared" si="54"/>
        <v>Cancelado</v>
      </c>
      <c r="B193" s="16">
        <f t="shared" si="55"/>
        <v>4</v>
      </c>
      <c r="C193" s="24"/>
      <c r="D193" s="9" t="s">
        <v>721</v>
      </c>
      <c r="E193" s="350">
        <v>923696</v>
      </c>
      <c r="F193" s="353">
        <v>46017</v>
      </c>
      <c r="G193" s="16" t="s">
        <v>20</v>
      </c>
      <c r="H193" s="16">
        <f>IF(OR(G193="Sin pagar",G193="Pagar"),NETWORKDAYS($J$113,F193,'Festivos Colombia'!$A$3:$A$22),0)</f>
        <v>0</v>
      </c>
      <c r="I193" s="16">
        <f>NETWORKDAYS($J$113,F193,'Festivos Colombia'!$A$3:$A$22)</f>
        <v>20</v>
      </c>
      <c r="J193" s="46">
        <f t="shared" si="56"/>
        <v>0</v>
      </c>
      <c r="K193" s="58"/>
      <c r="L193" s="25"/>
    </row>
    <row r="194" spans="1:21" s="16" customFormat="1" outlineLevel="1">
      <c r="A194" s="16" t="str">
        <f t="shared" si="54"/>
        <v>Cancelado</v>
      </c>
      <c r="B194" s="16">
        <f t="shared" si="55"/>
        <v>4</v>
      </c>
      <c r="C194" s="24"/>
      <c r="D194" s="9" t="s">
        <v>722</v>
      </c>
      <c r="E194" s="350">
        <v>512000</v>
      </c>
      <c r="F194" s="353">
        <v>46017</v>
      </c>
      <c r="G194" s="16" t="s">
        <v>20</v>
      </c>
      <c r="H194" s="16">
        <f>IF(OR(G194="Sin pagar",G194="Pagar"),NETWORKDAYS($J$113,F194,'Festivos Colombia'!$A$3:$A$22),0)</f>
        <v>0</v>
      </c>
      <c r="I194" s="16">
        <f>NETWORKDAYS($J$113,F194,'Festivos Colombia'!$A$3:$A$22)</f>
        <v>20</v>
      </c>
      <c r="J194" s="46">
        <f t="shared" si="56"/>
        <v>0</v>
      </c>
      <c r="K194" s="58"/>
      <c r="L194" s="25"/>
    </row>
    <row r="195" spans="1:21" s="16" customFormat="1" outlineLevel="1">
      <c r="A195" s="16" t="str">
        <f t="shared" si="54"/>
        <v>Cancelado</v>
      </c>
      <c r="B195" s="16">
        <f t="shared" si="55"/>
        <v>4</v>
      </c>
      <c r="C195" s="24"/>
      <c r="D195" s="9" t="s">
        <v>723</v>
      </c>
      <c r="E195" s="350">
        <v>173950</v>
      </c>
      <c r="F195" s="353">
        <v>46017</v>
      </c>
      <c r="G195" s="16" t="s">
        <v>20</v>
      </c>
      <c r="H195" s="16">
        <f>IF(OR(G195="Sin pagar",G195="Pagar"),NETWORKDAYS($J$113,F195,'Festivos Colombia'!$A$3:$A$22),0)</f>
        <v>0</v>
      </c>
      <c r="I195" s="16">
        <f>NETWORKDAYS($J$113,F195,'Festivos Colombia'!$A$3:$A$22)</f>
        <v>20</v>
      </c>
      <c r="J195" s="46">
        <f t="shared" si="56"/>
        <v>0</v>
      </c>
      <c r="K195" s="58"/>
      <c r="L195" s="25"/>
    </row>
    <row r="196" spans="1:21" s="16" customFormat="1" outlineLevel="1">
      <c r="A196" s="16" t="str">
        <f t="shared" ref="A196" si="57">G196</f>
        <v>Cancelado</v>
      </c>
      <c r="B196" s="16">
        <f t="shared" ref="B196" si="58">IF(I196&lt;=-1,1,IF(I196&lt;=5,2,IF(I196&lt;=15,3,IF(H196&lt;=60,4))))</f>
        <v>4</v>
      </c>
      <c r="C196" s="24"/>
      <c r="D196" s="9" t="s">
        <v>741</v>
      </c>
      <c r="E196" s="350">
        <v>546442.07999999996</v>
      </c>
      <c r="F196" s="353">
        <v>46021</v>
      </c>
      <c r="G196" s="16" t="s">
        <v>20</v>
      </c>
      <c r="H196" s="16">
        <f>IF(OR(G196="Sin pagar",G196="Pagar"),NETWORKDAYS($J$113,F196,'Festivos Colombia'!$A$3:$A$22),0)</f>
        <v>0</v>
      </c>
      <c r="I196" s="16">
        <f>NETWORKDAYS($J$113,F196,'Festivos Colombia'!$A$3:$A$22)</f>
        <v>22</v>
      </c>
      <c r="J196" s="46">
        <f t="shared" ref="J196" si="59">H196</f>
        <v>0</v>
      </c>
      <c r="K196" s="58"/>
      <c r="L196" s="25"/>
    </row>
    <row r="197" spans="1:21" s="16" customFormat="1" outlineLevel="1">
      <c r="A197" s="16" t="str">
        <f t="shared" ref="A197:A200" si="60">G197</f>
        <v>Cancelado</v>
      </c>
      <c r="B197" s="16">
        <f t="shared" ref="B197:B200" si="61">IF(I197&lt;=-1,1,IF(I197&lt;=5,2,IF(I197&lt;=15,3,IF(H197&lt;=60,4))))</f>
        <v>4</v>
      </c>
      <c r="C197" s="24"/>
      <c r="D197" s="9" t="s">
        <v>742</v>
      </c>
      <c r="E197" s="350">
        <v>1220777</v>
      </c>
      <c r="F197" s="353">
        <v>46021</v>
      </c>
      <c r="G197" s="16" t="s">
        <v>20</v>
      </c>
      <c r="H197" s="16">
        <f>IF(OR(G197="Sin pagar",G197="Pagar"),NETWORKDAYS($J$113,F197,'Festivos Colombia'!$A$3:$A$22),0)</f>
        <v>0</v>
      </c>
      <c r="I197" s="16">
        <f>NETWORKDAYS($J$113,F197,'Festivos Colombia'!$A$3:$A$22)</f>
        <v>22</v>
      </c>
      <c r="J197" s="46">
        <f t="shared" ref="J197:J200" si="62">H197</f>
        <v>0</v>
      </c>
      <c r="K197" s="58"/>
      <c r="L197" s="25"/>
    </row>
    <row r="198" spans="1:21" s="16" customFormat="1" outlineLevel="1">
      <c r="A198" s="16" t="str">
        <f t="shared" si="60"/>
        <v>Cancelado</v>
      </c>
      <c r="B198" s="16">
        <f t="shared" si="61"/>
        <v>4</v>
      </c>
      <c r="C198" s="24"/>
      <c r="D198" s="9" t="s">
        <v>743</v>
      </c>
      <c r="E198" s="350">
        <v>723763.94</v>
      </c>
      <c r="F198" s="353">
        <v>46021</v>
      </c>
      <c r="G198" s="16" t="s">
        <v>20</v>
      </c>
      <c r="H198" s="16">
        <f>IF(OR(G198="Sin pagar",G198="Pagar"),NETWORKDAYS($J$113,F198,'Festivos Colombia'!$A$3:$A$22),0)</f>
        <v>0</v>
      </c>
      <c r="I198" s="16">
        <f>NETWORKDAYS($J$113,F198,'Festivos Colombia'!$A$3:$A$22)</f>
        <v>22</v>
      </c>
      <c r="J198" s="46">
        <f t="shared" si="62"/>
        <v>0</v>
      </c>
      <c r="K198" s="58"/>
      <c r="L198" s="25"/>
    </row>
    <row r="199" spans="1:21" s="16" customFormat="1" outlineLevel="1">
      <c r="A199" s="16" t="str">
        <f t="shared" si="60"/>
        <v>Cancelado</v>
      </c>
      <c r="B199" s="16">
        <f t="shared" si="61"/>
        <v>4</v>
      </c>
      <c r="C199" s="24"/>
      <c r="D199" s="9" t="s">
        <v>744</v>
      </c>
      <c r="E199" s="350">
        <v>491492</v>
      </c>
      <c r="F199" s="353">
        <v>46021</v>
      </c>
      <c r="G199" s="16" t="s">
        <v>20</v>
      </c>
      <c r="H199" s="16">
        <f>IF(OR(G199="Sin pagar",G199="Pagar"),NETWORKDAYS($J$113,F199,'Festivos Colombia'!$A$3:$A$22),0)</f>
        <v>0</v>
      </c>
      <c r="I199" s="16">
        <f>NETWORKDAYS($J$113,F199,'Festivos Colombia'!$A$3:$A$22)</f>
        <v>22</v>
      </c>
      <c r="J199" s="46">
        <f t="shared" si="62"/>
        <v>0</v>
      </c>
      <c r="K199" s="58"/>
      <c r="L199" s="25"/>
    </row>
    <row r="200" spans="1:21" s="16" customFormat="1" ht="15.75" outlineLevel="1" thickBot="1">
      <c r="A200" s="16" t="str">
        <f t="shared" si="60"/>
        <v>Cancelado</v>
      </c>
      <c r="B200" s="16">
        <f t="shared" si="61"/>
        <v>4</v>
      </c>
      <c r="C200" s="24"/>
      <c r="D200" s="9" t="s">
        <v>745</v>
      </c>
      <c r="E200" s="350">
        <v>951227.35</v>
      </c>
      <c r="F200" s="353">
        <v>46021</v>
      </c>
      <c r="G200" s="16" t="s">
        <v>20</v>
      </c>
      <c r="H200" s="16">
        <f>IF(OR(G200="Sin pagar",G200="Pagar"),NETWORKDAYS($J$113,F200,'Festivos Colombia'!$A$3:$A$22),0)</f>
        <v>0</v>
      </c>
      <c r="I200" s="16">
        <f>NETWORKDAYS($J$113,F200,'Festivos Colombia'!$A$3:$A$22)</f>
        <v>22</v>
      </c>
      <c r="J200" s="46">
        <f t="shared" si="62"/>
        <v>0</v>
      </c>
      <c r="K200" s="58"/>
      <c r="L200" s="25"/>
    </row>
    <row r="201" spans="1:21" s="16" customFormat="1" ht="16.5" thickBot="1">
      <c r="C201" s="24"/>
      <c r="D201" s="351" t="s">
        <v>86</v>
      </c>
      <c r="E201" s="352">
        <f>SUBTOTAL(9,E202:E202)</f>
        <v>0</v>
      </c>
      <c r="J201" s="46"/>
      <c r="K201" s="25"/>
    </row>
    <row r="202" spans="1:21" s="16" customFormat="1" ht="15.75" outlineLevel="1" thickBot="1">
      <c r="A202" s="16" t="str">
        <f t="shared" ref="A202" si="63">G202</f>
        <v>Cancelado</v>
      </c>
      <c r="B202" s="16">
        <f t="shared" ref="B202" si="64">IF(I202&lt;=-1,1,IF(I202&lt;=5,2,IF(I202&lt;=15,3,IF(H202&lt;=60,4))))</f>
        <v>4</v>
      </c>
      <c r="C202" s="24"/>
      <c r="D202" s="9" t="s">
        <v>141</v>
      </c>
      <c r="E202" s="8">
        <v>0</v>
      </c>
      <c r="F202" s="353">
        <v>46021</v>
      </c>
      <c r="G202" s="16" t="s">
        <v>20</v>
      </c>
      <c r="H202" s="16">
        <f>IF(OR(G202="Sin pagar",G202="Pagar"),NETWORKDAYS($J$113,F202,'Festivos Colombia'!$A$3:$A$22),0)</f>
        <v>0</v>
      </c>
      <c r="I202" s="16">
        <f>NETWORKDAYS($J$113,F202,'Festivos Colombia'!$A$3:$A$22)</f>
        <v>22</v>
      </c>
      <c r="J202" s="46">
        <f t="shared" ref="J202" si="65">H202</f>
        <v>0</v>
      </c>
      <c r="K202" s="58"/>
      <c r="L202" s="25"/>
    </row>
    <row r="203" spans="1:21" s="16" customFormat="1" ht="15.75" customHeight="1" thickBot="1">
      <c r="C203" s="24"/>
      <c r="D203" s="351" t="s">
        <v>48</v>
      </c>
      <c r="E203" s="352">
        <f>SUBTOTAL(9,E204:E230)</f>
        <v>27337427.524099998</v>
      </c>
      <c r="J203" s="46"/>
    </row>
    <row r="204" spans="1:21" s="16" customFormat="1" ht="14.25" customHeight="1" outlineLevel="1">
      <c r="A204" s="16" t="str">
        <f t="shared" ref="A204:A210" si="66">G204</f>
        <v>Cancelado</v>
      </c>
      <c r="B204" s="16">
        <f t="shared" ref="B204:B210" si="67">IF(I204&lt;=-1,1,IF(I204&lt;=5,2,IF(I204&lt;=15,3,IF(H204&lt;=60,4))))</f>
        <v>2</v>
      </c>
      <c r="C204" s="24">
        <v>7</v>
      </c>
      <c r="D204" s="9" t="s">
        <v>488</v>
      </c>
      <c r="E204" s="8">
        <f>1147042*0</f>
        <v>0</v>
      </c>
      <c r="F204" s="353">
        <v>45992</v>
      </c>
      <c r="G204" s="16" t="s">
        <v>20</v>
      </c>
      <c r="H204" s="16">
        <f>IF(OR(G204="Sin pagar",G204="Pagar"),NETWORKDAYS($J$113,F204,'Festivos Colombia'!$A$3:$A$22),0)</f>
        <v>0</v>
      </c>
      <c r="I204" s="16">
        <f>NETWORKDAYS($J$113,F204,'Festivos Colombia'!$A$3:$A$22)</f>
        <v>1</v>
      </c>
      <c r="J204" s="46">
        <f t="shared" ref="J204" si="68">H204</f>
        <v>0</v>
      </c>
      <c r="K204" s="58"/>
    </row>
    <row r="205" spans="1:21" s="16" customFormat="1" outlineLevel="1">
      <c r="A205" s="16" t="str">
        <f t="shared" si="66"/>
        <v>Cancelado</v>
      </c>
      <c r="B205" s="16">
        <f t="shared" si="67"/>
        <v>2</v>
      </c>
      <c r="C205" s="373" t="s">
        <v>142</v>
      </c>
      <c r="D205" s="9" t="s">
        <v>143</v>
      </c>
      <c r="E205" s="350">
        <f>97139</f>
        <v>97139</v>
      </c>
      <c r="F205" s="7">
        <v>45995</v>
      </c>
      <c r="G205" s="16" t="s">
        <v>20</v>
      </c>
      <c r="H205" s="16">
        <f>IF(OR(G205="Sin pagar",G205="Pagar"),NETWORKDAYS($J$113,F205,'Festivos Colombia'!$A$3:$A$22),0)</f>
        <v>0</v>
      </c>
      <c r="I205" s="16">
        <f>NETWORKDAYS($J$113,F205,'Festivos Colombia'!$A$3:$A$22)</f>
        <v>4</v>
      </c>
      <c r="J205" s="46">
        <f t="shared" ref="J205:J211" si="69">H205</f>
        <v>0</v>
      </c>
      <c r="K205" s="58"/>
      <c r="S205" s="27"/>
    </row>
    <row r="206" spans="1:21" s="150" customFormat="1" ht="16.5" customHeight="1" outlineLevel="1">
      <c r="A206" s="355" t="str">
        <f t="shared" si="66"/>
        <v>Cancelado</v>
      </c>
      <c r="B206" s="355">
        <f t="shared" si="67"/>
        <v>2</v>
      </c>
      <c r="C206" s="234" t="s">
        <v>509</v>
      </c>
      <c r="D206" s="320" t="s">
        <v>510</v>
      </c>
      <c r="E206" s="350">
        <f>600*0</f>
        <v>0</v>
      </c>
      <c r="F206" s="353">
        <v>45995</v>
      </c>
      <c r="G206" s="16" t="s">
        <v>20</v>
      </c>
      <c r="H206" s="16">
        <f>IF(OR(G206="Sin pagar",G206="Pagar"),NETWORKDAYS($J$113,F206,'Festivos Colombia'!$A$3:$A$22),0)</f>
        <v>0</v>
      </c>
      <c r="I206" s="16">
        <f>NETWORKDAYS($J$113,F206,'Festivos Colombia'!$A$3:$A$22)</f>
        <v>4</v>
      </c>
      <c r="J206" s="46">
        <f t="shared" si="69"/>
        <v>0</v>
      </c>
      <c r="K206" s="58"/>
      <c r="L206" s="355"/>
      <c r="M206" s="355"/>
      <c r="N206" s="355"/>
      <c r="O206" s="355"/>
      <c r="P206" s="355"/>
      <c r="Q206" s="355"/>
      <c r="R206" s="355"/>
      <c r="S206" s="355"/>
      <c r="T206" s="355"/>
      <c r="U206" s="355"/>
    </row>
    <row r="207" spans="1:21" s="16" customFormat="1" outlineLevel="1">
      <c r="A207" s="16" t="str">
        <f t="shared" si="66"/>
        <v>Cancelado</v>
      </c>
      <c r="B207" s="16">
        <f t="shared" si="67"/>
        <v>2</v>
      </c>
      <c r="C207" s="56" t="s">
        <v>561</v>
      </c>
      <c r="D207" s="9" t="s">
        <v>562</v>
      </c>
      <c r="E207" s="8">
        <v>1283605</v>
      </c>
      <c r="F207" s="353">
        <v>45995</v>
      </c>
      <c r="G207" s="16" t="s">
        <v>20</v>
      </c>
      <c r="H207" s="16">
        <f>IF(OR(G207="Sin pagar",G207="Pagar"),NETWORKDAYS($J$113,F207,'Festivos Colombia'!$A$3:$A$22),0)</f>
        <v>0</v>
      </c>
      <c r="I207" s="16">
        <f>NETWORKDAYS($J$113,F207,'Festivos Colombia'!$A$3:$A$22)</f>
        <v>4</v>
      </c>
      <c r="J207" s="46">
        <f t="shared" si="69"/>
        <v>0</v>
      </c>
      <c r="K207" s="58"/>
    </row>
    <row r="208" spans="1:21" s="16" customFormat="1" ht="14.25" customHeight="1" outlineLevel="1">
      <c r="A208" s="16" t="str">
        <f>G208</f>
        <v>Cancelado</v>
      </c>
      <c r="B208" s="16">
        <f>IF(I208&lt;=-1,1,IF(I208&lt;=5,2,IF(I208&lt;=15,3,IF(H208&lt;=60,4))))</f>
        <v>3</v>
      </c>
      <c r="C208" s="24">
        <v>7</v>
      </c>
      <c r="D208" s="9" t="s">
        <v>106</v>
      </c>
      <c r="E208" s="8">
        <v>640000</v>
      </c>
      <c r="F208" s="7">
        <v>46002</v>
      </c>
      <c r="G208" s="16" t="s">
        <v>20</v>
      </c>
      <c r="H208" s="16">
        <f>IF(OR(G208="Sin pagar",G208="Pagar"),NETWORKDAYS($J$113,F208,'Festivos Colombia'!$A$3:$A$22),0)</f>
        <v>0</v>
      </c>
      <c r="I208" s="16">
        <f>NETWORKDAYS($J$113,F208,'Festivos Colombia'!$A$3:$A$22)</f>
        <v>9</v>
      </c>
      <c r="J208" s="46">
        <f t="shared" si="69"/>
        <v>0</v>
      </c>
      <c r="K208" s="58"/>
    </row>
    <row r="209" spans="1:21" s="150" customFormat="1" ht="16.5" customHeight="1" outlineLevel="1">
      <c r="A209" s="355" t="str">
        <f t="shared" si="66"/>
        <v>Sin Pagar</v>
      </c>
      <c r="B209" s="355">
        <f t="shared" si="67"/>
        <v>4</v>
      </c>
      <c r="C209" s="234" t="s">
        <v>511</v>
      </c>
      <c r="D209" s="320" t="s">
        <v>128</v>
      </c>
      <c r="E209" s="350">
        <f>600*0</f>
        <v>0</v>
      </c>
      <c r="F209" s="353">
        <v>46037</v>
      </c>
      <c r="G209" s="16" t="s">
        <v>5</v>
      </c>
      <c r="H209" s="16">
        <f>IF(OR(G209="Sin pagar",G209="Pagar"),NETWORKDAYS($J$113,F209,'Festivos Colombia'!$A$3:$A$22),0)</f>
        <v>32</v>
      </c>
      <c r="I209" s="16">
        <f>NETWORKDAYS($J$113,F209,'Festivos Colombia'!$A$3:$A$22)</f>
        <v>32</v>
      </c>
      <c r="J209" s="46">
        <f t="shared" si="69"/>
        <v>32</v>
      </c>
      <c r="K209" s="58"/>
      <c r="L209" s="355"/>
      <c r="M209" s="355"/>
      <c r="N209" s="355"/>
      <c r="O209" s="355"/>
      <c r="P209" s="355"/>
      <c r="Q209" s="355"/>
      <c r="R209" s="355"/>
      <c r="S209" s="355"/>
      <c r="T209" s="355"/>
      <c r="U209" s="355"/>
    </row>
    <row r="210" spans="1:21" s="16" customFormat="1" outlineLevel="1">
      <c r="A210" s="16" t="str">
        <f t="shared" si="66"/>
        <v>Cancelado</v>
      </c>
      <c r="B210" s="16">
        <f t="shared" si="67"/>
        <v>3</v>
      </c>
      <c r="C210" s="424" t="s">
        <v>512</v>
      </c>
      <c r="D210" s="9" t="s">
        <v>55</v>
      </c>
      <c r="E210" s="8">
        <v>73640</v>
      </c>
      <c r="F210" s="7">
        <v>46002</v>
      </c>
      <c r="G210" s="16" t="s">
        <v>20</v>
      </c>
      <c r="H210" s="16">
        <f>IF(OR(G210="Sin pagar",G210="Pagar"),NETWORKDAYS($J$113,F210,'Festivos Colombia'!$A$3:$A$22),0)</f>
        <v>0</v>
      </c>
      <c r="I210" s="16">
        <f>NETWORKDAYS($J$113,F210,'Festivos Colombia'!$A$3:$A$22)</f>
        <v>9</v>
      </c>
      <c r="J210" s="46">
        <f t="shared" si="69"/>
        <v>0</v>
      </c>
      <c r="K210" s="58"/>
    </row>
    <row r="211" spans="1:21" s="16" customFormat="1" outlineLevel="1">
      <c r="A211" s="16" t="str">
        <f>G211</f>
        <v>Cancelado</v>
      </c>
      <c r="B211" s="16">
        <f>IF(I211&lt;=-1,1,IF(I211&lt;=5,2,IF(I211&lt;=15,3,IF(H211&lt;=60,4))))</f>
        <v>3</v>
      </c>
      <c r="C211" s="56">
        <v>251201</v>
      </c>
      <c r="D211" s="347" t="s">
        <v>53</v>
      </c>
      <c r="E211" s="8">
        <v>475363.2</v>
      </c>
      <c r="F211" s="7">
        <v>46002</v>
      </c>
      <c r="G211" s="16" t="s">
        <v>20</v>
      </c>
      <c r="H211" s="16">
        <f>IF(OR(G211="Sin pagar",G211="Pagar"),NETWORKDAYS($J$113,F211,'Festivos Colombia'!$A$3:$A$22),0)</f>
        <v>0</v>
      </c>
      <c r="I211" s="16">
        <f>NETWORKDAYS($J$113,F211,'Festivos Colombia'!$A$3:$A$22)</f>
        <v>9</v>
      </c>
      <c r="J211" s="46">
        <f t="shared" si="69"/>
        <v>0</v>
      </c>
      <c r="K211" s="58"/>
    </row>
    <row r="212" spans="1:21" s="16" customFormat="1" outlineLevel="1">
      <c r="A212" s="16" t="str">
        <f t="shared" ref="A212:A221" si="70">G212</f>
        <v>Cancelado</v>
      </c>
      <c r="B212" s="16">
        <f t="shared" ref="B212:B221" si="71">IF(I212&lt;=-1,1,IF(I212&lt;=5,2,IF(I212&lt;=15,3,IF(H212&lt;=60,4))))</f>
        <v>3</v>
      </c>
      <c r="C212" s="56">
        <v>24</v>
      </c>
      <c r="D212" s="347" t="s">
        <v>52</v>
      </c>
      <c r="E212" s="8">
        <v>1287442</v>
      </c>
      <c r="F212" s="465">
        <v>46010</v>
      </c>
      <c r="G212" s="16" t="s">
        <v>20</v>
      </c>
      <c r="H212" s="16">
        <f>IF(OR(G212="Sin pagar",G212="Pagar"),NETWORKDAYS($J$113,F212,'Festivos Colombia'!$A$3:$A$22),0)</f>
        <v>0</v>
      </c>
      <c r="I212" s="16">
        <f>NETWORKDAYS($J$113,F212,'Festivos Colombia'!$A$3:$A$22)</f>
        <v>15</v>
      </c>
      <c r="J212" s="46">
        <f t="shared" ref="J212:J222" si="72">H212</f>
        <v>0</v>
      </c>
      <c r="K212" s="58"/>
      <c r="M212" s="25"/>
    </row>
    <row r="213" spans="1:21" s="16" customFormat="1" outlineLevel="1">
      <c r="A213" s="16" t="str">
        <f t="shared" si="70"/>
        <v>Cancelado</v>
      </c>
      <c r="B213" s="16">
        <f t="shared" si="71"/>
        <v>3</v>
      </c>
      <c r="C213" s="56">
        <v>16</v>
      </c>
      <c r="D213" s="347" t="s">
        <v>113</v>
      </c>
      <c r="E213" s="8">
        <v>1287442</v>
      </c>
      <c r="F213" s="465">
        <v>46010</v>
      </c>
      <c r="G213" s="16" t="s">
        <v>20</v>
      </c>
      <c r="H213" s="16">
        <f>IF(OR(G213="Sin pagar",G213="Pagar"),NETWORKDAYS($J$113,F213,'Festivos Colombia'!$A$3:$A$22),0)</f>
        <v>0</v>
      </c>
      <c r="I213" s="16">
        <f>NETWORKDAYS($J$113,F213,'Festivos Colombia'!$A$3:$A$22)</f>
        <v>15</v>
      </c>
      <c r="J213" s="46">
        <f t="shared" si="72"/>
        <v>0</v>
      </c>
      <c r="K213" s="58"/>
      <c r="M213" s="25"/>
    </row>
    <row r="214" spans="1:21" s="16" customFormat="1" ht="14.25" customHeight="1" outlineLevel="1">
      <c r="A214" s="16" t="str">
        <f>G214</f>
        <v>Cancelado</v>
      </c>
      <c r="B214" s="16">
        <f>IF(I214&lt;=-1,1,IF(I214&lt;=5,2,IF(I214&lt;=15,3,IF(H214&lt;=60,4))))</f>
        <v>4</v>
      </c>
      <c r="C214" s="473" t="s">
        <v>668</v>
      </c>
      <c r="D214" s="9" t="s">
        <v>54</v>
      </c>
      <c r="E214" s="8">
        <v>774025</v>
      </c>
      <c r="F214" s="353">
        <v>46013</v>
      </c>
      <c r="G214" s="16" t="s">
        <v>20</v>
      </c>
      <c r="H214" s="16">
        <f>IF(OR(G214="Sin pagar",G214="Pagar"),NETWORKDAYS($J$113,F214,'Festivos Colombia'!$A$3:$A$22),0)</f>
        <v>0</v>
      </c>
      <c r="I214" s="16">
        <f>NETWORKDAYS($J$113,F214,'Festivos Colombia'!$A$3:$A$22)</f>
        <v>16</v>
      </c>
      <c r="J214" s="46">
        <f>H214</f>
        <v>0</v>
      </c>
      <c r="K214" s="58"/>
    </row>
    <row r="215" spans="1:21" s="16" customFormat="1" outlineLevel="1">
      <c r="A215" s="16" t="str">
        <f>G215</f>
        <v>Cancelado</v>
      </c>
      <c r="B215" s="16">
        <f>IF(I215&lt;=-1,1,IF(I215&lt;=5,2,IF(I215&lt;=15,3,IF(H215&lt;=60,4))))</f>
        <v>4</v>
      </c>
      <c r="C215" s="56" t="s">
        <v>603</v>
      </c>
      <c r="D215" s="347" t="s">
        <v>51</v>
      </c>
      <c r="E215" s="350">
        <f>2618000*0</f>
        <v>0</v>
      </c>
      <c r="F215" s="353">
        <v>46017</v>
      </c>
      <c r="G215" s="16" t="s">
        <v>20</v>
      </c>
      <c r="H215" s="16">
        <f>IF(OR(G215="Sin pagar",G215="Pagar"),NETWORKDAYS($J$113,F215,'Festivos Colombia'!$A$3:$A$22),0)</f>
        <v>0</v>
      </c>
      <c r="I215" s="16">
        <f>NETWORKDAYS($J$113,F215,'Festivos Colombia'!$A$3:$A$22)</f>
        <v>20</v>
      </c>
      <c r="J215" s="46">
        <f t="shared" si="72"/>
        <v>0</v>
      </c>
      <c r="K215" s="50" t="s">
        <v>675</v>
      </c>
    </row>
    <row r="216" spans="1:21" s="16" customFormat="1" ht="14.25" customHeight="1" outlineLevel="1">
      <c r="A216" s="16" t="str">
        <f>G216</f>
        <v>Cancelado</v>
      </c>
      <c r="B216" s="16">
        <f>IF(I216&lt;=-1,1,IF(I216&lt;=5,2,IF(I216&lt;=15,3,IF(H216&lt;=60,4))))</f>
        <v>4</v>
      </c>
      <c r="C216" s="473">
        <v>1</v>
      </c>
      <c r="D216" s="9" t="s">
        <v>676</v>
      </c>
      <c r="E216" s="8">
        <v>247835</v>
      </c>
      <c r="F216" s="353">
        <v>46014</v>
      </c>
      <c r="G216" s="16" t="s">
        <v>20</v>
      </c>
      <c r="H216" s="16">
        <f>IF(OR(G216="Sin pagar",G216="Pagar"),NETWORKDAYS($J$113,F216,'Festivos Colombia'!$A$3:$A$22),0)</f>
        <v>0</v>
      </c>
      <c r="I216" s="16">
        <f>NETWORKDAYS($J$113,F216,'Festivos Colombia'!$A$3:$A$22)</f>
        <v>17</v>
      </c>
      <c r="J216" s="46">
        <f>H216</f>
        <v>0</v>
      </c>
      <c r="K216" s="58"/>
    </row>
    <row r="217" spans="1:21" s="16" customFormat="1" outlineLevel="1">
      <c r="A217" s="16" t="str">
        <f>G217</f>
        <v>Cancelado</v>
      </c>
      <c r="B217" s="16">
        <f>IF(I217&lt;=-1,1,IF(I217&lt;=5,2,IF(I217&lt;=15,3,IF(H217&lt;=60,4))))</f>
        <v>4</v>
      </c>
      <c r="C217" s="24" t="s">
        <v>598</v>
      </c>
      <c r="D217" s="9" t="s">
        <v>56</v>
      </c>
      <c r="E217" s="8">
        <v>3343958.5</v>
      </c>
      <c r="F217" s="353">
        <v>46014</v>
      </c>
      <c r="G217" s="16" t="s">
        <v>20</v>
      </c>
      <c r="H217" s="16">
        <f>IF(OR(G217="Sin pagar",G217="Pagar"),NETWORKDAYS($J$113,F217,'Festivos Colombia'!$A$3:$A$22),0)</f>
        <v>0</v>
      </c>
      <c r="I217" s="16">
        <f>NETWORKDAYS($J$113,F217,'Festivos Colombia'!$A$3:$A$22)</f>
        <v>17</v>
      </c>
      <c r="J217" s="46">
        <f>H217</f>
        <v>0</v>
      </c>
      <c r="K217" s="58"/>
    </row>
    <row r="218" spans="1:21" s="16" customFormat="1" outlineLevel="1">
      <c r="A218" s="16" t="str">
        <f>G218</f>
        <v>Cancelado</v>
      </c>
      <c r="B218" s="16">
        <f>IF(I218&lt;=-1,1,IF(I218&lt;=5,2,IF(I218&lt;=15,3,IF(H218&lt;=60,4))))</f>
        <v>4</v>
      </c>
      <c r="C218" s="24" t="s">
        <v>599</v>
      </c>
      <c r="D218" s="9" t="s">
        <v>97</v>
      </c>
      <c r="E218" s="8">
        <v>3665694</v>
      </c>
      <c r="F218" s="353">
        <v>46014</v>
      </c>
      <c r="G218" s="16" t="s">
        <v>20</v>
      </c>
      <c r="H218" s="16">
        <f>IF(OR(G218="Sin pagar",G218="Pagar"),NETWORKDAYS($J$113,F218,'Festivos Colombia'!$A$3:$A$22),0)</f>
        <v>0</v>
      </c>
      <c r="I218" s="16">
        <f>NETWORKDAYS($J$113,F218,'Festivos Colombia'!$A$3:$A$22)</f>
        <v>17</v>
      </c>
      <c r="J218" s="46">
        <f>H218</f>
        <v>0</v>
      </c>
      <c r="K218" s="58"/>
    </row>
    <row r="219" spans="1:21" s="16" customFormat="1" outlineLevel="1">
      <c r="A219" s="16" t="str">
        <f t="shared" ref="A219" si="73">G219</f>
        <v>Cancelado</v>
      </c>
      <c r="B219" s="16">
        <f t="shared" ref="B219" si="74">IF(I219&lt;=-1,1,IF(I219&lt;=5,2,IF(I219&lt;=15,3,IF(H219&lt;=60,4))))</f>
        <v>4</v>
      </c>
      <c r="C219" s="24" t="s">
        <v>601</v>
      </c>
      <c r="D219" s="9" t="s">
        <v>513</v>
      </c>
      <c r="E219" s="8">
        <v>754578</v>
      </c>
      <c r="F219" s="353">
        <v>46014</v>
      </c>
      <c r="G219" s="16" t="s">
        <v>20</v>
      </c>
      <c r="H219" s="16">
        <f>IF(OR(G219="Sin pagar",G219="Pagar"),NETWORKDAYS($J$113,F219,'Festivos Colombia'!$A$3:$A$22),0)</f>
        <v>0</v>
      </c>
      <c r="I219" s="16">
        <f>NETWORKDAYS($J$113,F219,'Festivos Colombia'!$A$3:$A$22)</f>
        <v>17</v>
      </c>
      <c r="J219" s="46">
        <f t="shared" ref="J219" si="75">H219</f>
        <v>0</v>
      </c>
      <c r="K219" s="58"/>
    </row>
    <row r="220" spans="1:21" s="16" customFormat="1" outlineLevel="1">
      <c r="A220" s="16" t="str">
        <f>G220</f>
        <v>Cancelado</v>
      </c>
      <c r="B220" s="16">
        <f>IF(I220&lt;=-1,1,IF(I220&lt;=5,2,IF(I220&lt;=15,3,IF(H220&lt;=60,4))))</f>
        <v>4</v>
      </c>
      <c r="C220" s="56">
        <v>7</v>
      </c>
      <c r="D220" s="9" t="s">
        <v>107</v>
      </c>
      <c r="E220" s="350">
        <f>3100000</f>
        <v>3100000</v>
      </c>
      <c r="F220" s="353">
        <v>46014</v>
      </c>
      <c r="G220" s="16" t="s">
        <v>20</v>
      </c>
      <c r="H220" s="16">
        <f>IF(OR(G220="Sin pagar",G220="Pagar"),NETWORKDAYS($J$113,F220,'Festivos Colombia'!$A$3:$A$22),0)</f>
        <v>0</v>
      </c>
      <c r="I220" s="16">
        <f>NETWORKDAYS($J$113,F220,'Festivos Colombia'!$A$3:$A$22)</f>
        <v>17</v>
      </c>
      <c r="J220" s="46">
        <f>H220</f>
        <v>0</v>
      </c>
      <c r="K220" s="58"/>
      <c r="M220" s="25"/>
    </row>
    <row r="221" spans="1:21" s="16" customFormat="1" outlineLevel="1">
      <c r="A221" s="16" t="str">
        <f t="shared" si="70"/>
        <v>Cancelado</v>
      </c>
      <c r="B221" s="16">
        <f t="shared" si="71"/>
        <v>4</v>
      </c>
      <c r="C221" s="56" t="s">
        <v>726</v>
      </c>
      <c r="D221" s="9" t="s">
        <v>96</v>
      </c>
      <c r="E221" s="8">
        <v>1181616</v>
      </c>
      <c r="F221" s="353">
        <v>46017</v>
      </c>
      <c r="G221" s="16" t="s">
        <v>20</v>
      </c>
      <c r="H221" s="16">
        <f>IF(OR(G221="Sin pagar",G221="Pagar"),NETWORKDAYS($J$113,F221,'Festivos Colombia'!$A$3:$A$22),0)</f>
        <v>0</v>
      </c>
      <c r="I221" s="16">
        <f>NETWORKDAYS($J$113,F221,'Festivos Colombia'!$A$3:$A$22)</f>
        <v>20</v>
      </c>
      <c r="J221" s="46">
        <f t="shared" si="72"/>
        <v>0</v>
      </c>
      <c r="K221" s="58"/>
      <c r="M221" s="25"/>
    </row>
    <row r="222" spans="1:21" s="16" customFormat="1" outlineLevel="1">
      <c r="A222" s="16" t="str">
        <f t="shared" ref="A222:A223" si="76">G222</f>
        <v>Cancelado</v>
      </c>
      <c r="B222" s="16">
        <f t="shared" ref="B222:B223" si="77">IF(I222&lt;=-1,1,IF(I222&lt;=5,2,IF(I222&lt;=15,3,IF(H222&lt;=60,4))))</f>
        <v>4</v>
      </c>
      <c r="C222" s="440" t="s">
        <v>504</v>
      </c>
      <c r="D222" s="9" t="s">
        <v>49</v>
      </c>
      <c r="E222" s="350">
        <v>1186369.8241000001</v>
      </c>
      <c r="F222" s="353">
        <v>46014</v>
      </c>
      <c r="G222" s="16" t="s">
        <v>20</v>
      </c>
      <c r="H222" s="16">
        <f>IF(OR(G222="Sin pagar",G222="Pagar"),NETWORKDAYS($J$113,F222,'Festivos Colombia'!$A$3:$A$22),0)</f>
        <v>0</v>
      </c>
      <c r="I222" s="16">
        <f>NETWORKDAYS($J$113,F222,'Festivos Colombia'!$A$3:$A$22)</f>
        <v>17</v>
      </c>
      <c r="J222" s="46">
        <f t="shared" si="72"/>
        <v>0</v>
      </c>
      <c r="K222" s="58"/>
      <c r="S222" s="27"/>
    </row>
    <row r="223" spans="1:21" s="16" customFormat="1" outlineLevel="1">
      <c r="A223" s="16" t="str">
        <f t="shared" si="76"/>
        <v>Cancelado</v>
      </c>
      <c r="B223" s="16">
        <f t="shared" si="77"/>
        <v>4</v>
      </c>
      <c r="C223" s="56">
        <v>8</v>
      </c>
      <c r="D223" s="495" t="s">
        <v>488</v>
      </c>
      <c r="E223" s="8">
        <v>3770892</v>
      </c>
      <c r="F223" s="465">
        <v>46021</v>
      </c>
      <c r="G223" s="16" t="s">
        <v>20</v>
      </c>
      <c r="H223" s="16">
        <f>IF(OR(G223="Sin pagar",G223="Pagar"),NETWORKDAYS($J$113,F223,'Festivos Colombia'!$A$3:$A$22),0)</f>
        <v>0</v>
      </c>
      <c r="I223" s="16">
        <f>NETWORKDAYS($J$113,F223,'Festivos Colombia'!$A$3:$A$22)</f>
        <v>22</v>
      </c>
      <c r="J223" s="46">
        <f t="shared" ref="J223" si="78">H223</f>
        <v>0</v>
      </c>
      <c r="K223" s="58"/>
      <c r="M223" s="25"/>
    </row>
    <row r="224" spans="1:21" s="16" customFormat="1" outlineLevel="1">
      <c r="A224" s="16" t="str">
        <f t="shared" ref="A224" si="79">G224</f>
        <v>Cancelado</v>
      </c>
      <c r="B224" s="16">
        <f t="shared" ref="B224" si="80">IF(I224&lt;=-1,1,IF(I224&lt;=5,2,IF(I224&lt;=15,3,IF(H224&lt;=60,4))))</f>
        <v>4</v>
      </c>
      <c r="C224" s="56">
        <v>1</v>
      </c>
      <c r="D224" s="495" t="s">
        <v>735</v>
      </c>
      <c r="E224" s="8">
        <v>1389276</v>
      </c>
      <c r="F224" s="465">
        <v>46021</v>
      </c>
      <c r="G224" s="16" t="s">
        <v>20</v>
      </c>
      <c r="H224" s="16">
        <f>IF(OR(G224="Sin pagar",G224="Pagar"),NETWORKDAYS($J$113,F224,'Festivos Colombia'!$A$3:$A$22),0)</f>
        <v>0</v>
      </c>
      <c r="I224" s="16">
        <f>NETWORKDAYS($J$113,F224,'Festivos Colombia'!$A$3:$A$22)</f>
        <v>22</v>
      </c>
      <c r="J224" s="46">
        <f t="shared" ref="J224" si="81">H224</f>
        <v>0</v>
      </c>
      <c r="K224" s="58"/>
      <c r="M224" s="25"/>
    </row>
    <row r="225" spans="1:19" s="16" customFormat="1" outlineLevel="1">
      <c r="A225" s="16" t="str">
        <f t="shared" ref="A225:A226" si="82">G225</f>
        <v>Cancelado</v>
      </c>
      <c r="B225" s="16">
        <f t="shared" ref="B225:B226" si="83">IF(I225&lt;=-1,1,IF(I225&lt;=5,2,IF(I225&lt;=15,3,IF(H225&lt;=60,4))))</f>
        <v>4</v>
      </c>
      <c r="C225" s="56">
        <v>1</v>
      </c>
      <c r="D225" s="495" t="s">
        <v>736</v>
      </c>
      <c r="E225" s="8">
        <v>1389276</v>
      </c>
      <c r="F225" s="465">
        <v>46021</v>
      </c>
      <c r="G225" s="16" t="s">
        <v>20</v>
      </c>
      <c r="H225" s="16">
        <f>IF(OR(G225="Sin pagar",G225="Pagar"),NETWORKDAYS($J$113,F225,'Festivos Colombia'!$A$3:$A$22),0)</f>
        <v>0</v>
      </c>
      <c r="I225" s="16">
        <f>NETWORKDAYS($J$113,F225,'Festivos Colombia'!$A$3:$A$22)</f>
        <v>22</v>
      </c>
      <c r="J225" s="46">
        <f t="shared" ref="J225:J226" si="84">H225</f>
        <v>0</v>
      </c>
      <c r="K225" s="58"/>
      <c r="M225" s="25"/>
    </row>
    <row r="226" spans="1:19" s="16" customFormat="1" outlineLevel="1">
      <c r="A226" s="16" t="str">
        <f t="shared" si="82"/>
        <v>Cancelado</v>
      </c>
      <c r="B226" s="16">
        <f t="shared" si="83"/>
        <v>4</v>
      </c>
      <c r="C226" s="56">
        <v>1</v>
      </c>
      <c r="D226" s="495" t="s">
        <v>737</v>
      </c>
      <c r="E226" s="8">
        <v>1389276</v>
      </c>
      <c r="F226" s="465">
        <v>46021</v>
      </c>
      <c r="G226" s="16" t="s">
        <v>20</v>
      </c>
      <c r="H226" s="16">
        <f>IF(OR(G226="Sin pagar",G226="Pagar"),NETWORKDAYS($J$113,F226,'Festivos Colombia'!$A$3:$A$22),0)</f>
        <v>0</v>
      </c>
      <c r="I226" s="16">
        <f>NETWORKDAYS($J$113,F226,'Festivos Colombia'!$A$3:$A$22)</f>
        <v>22</v>
      </c>
      <c r="J226" s="46">
        <f t="shared" si="84"/>
        <v>0</v>
      </c>
      <c r="K226" s="58"/>
      <c r="M226" s="25"/>
    </row>
    <row r="227" spans="1:19" s="16" customFormat="1" outlineLevel="1">
      <c r="A227" s="16" t="str">
        <f>G227</f>
        <v>Sin Pagar</v>
      </c>
      <c r="B227" s="16">
        <f>IF(I227&lt;=-1,1,IF(I227&lt;=5,2,IF(I227&lt;=15,3,IF(H227&lt;=60,4))))</f>
        <v>4</v>
      </c>
      <c r="C227" s="422" t="s">
        <v>514</v>
      </c>
      <c r="D227" s="9" t="s">
        <v>579</v>
      </c>
      <c r="E227" s="350">
        <f>5025723*0</f>
        <v>0</v>
      </c>
      <c r="F227" s="353">
        <v>46031</v>
      </c>
      <c r="G227" s="16" t="s">
        <v>5</v>
      </c>
      <c r="H227" s="16">
        <f>IF(OR(G227="Sin pagar",G227="Pagar"),NETWORKDAYS($J$113,F227,'Festivos Colombia'!$A$3:$A$22),0)</f>
        <v>29</v>
      </c>
      <c r="I227" s="16">
        <f>NETWORKDAYS($J$113,F227,'Festivos Colombia'!$A$3:$A$22)</f>
        <v>29</v>
      </c>
      <c r="J227" s="46">
        <f>H227</f>
        <v>29</v>
      </c>
      <c r="K227" s="58"/>
      <c r="S227" s="27"/>
    </row>
    <row r="228" spans="1:19" s="16" customFormat="1" ht="13.5" customHeight="1" outlineLevel="1">
      <c r="A228" s="16" t="str">
        <f>G228</f>
        <v>Sin Pagar</v>
      </c>
      <c r="B228" s="16">
        <f>IF(I228&lt;=-1,1,IF(I228&lt;=5,2,IF(I228&lt;=15,3,IF(H228&lt;=60,4))))</f>
        <v>4</v>
      </c>
      <c r="C228" s="56" t="s">
        <v>515</v>
      </c>
      <c r="D228" s="9" t="s">
        <v>50</v>
      </c>
      <c r="E228" s="350">
        <f>1525052.49*0</f>
        <v>0</v>
      </c>
      <c r="F228" s="353">
        <v>46031</v>
      </c>
      <c r="G228" s="16" t="s">
        <v>5</v>
      </c>
      <c r="H228" s="16">
        <f>IF(OR(G228="Sin pagar",G228="Pagar"),NETWORKDAYS($J$113,F228,'Festivos Colombia'!$A$3:$A$22),0)</f>
        <v>29</v>
      </c>
      <c r="I228" s="16">
        <f>NETWORKDAYS($J$113,F228,'Festivos Colombia'!$A$3:$A$22)</f>
        <v>29</v>
      </c>
      <c r="J228" s="46">
        <f>H228</f>
        <v>29</v>
      </c>
      <c r="K228" s="58"/>
      <c r="M228" s="25"/>
    </row>
    <row r="229" spans="1:19" s="16" customFormat="1" outlineLevel="1">
      <c r="A229" s="16" t="str">
        <f t="shared" ref="A229" si="85">G229</f>
        <v>Sin Pagar</v>
      </c>
      <c r="B229" s="16">
        <f t="shared" ref="B229" si="86">IF(I229&lt;=-1,1,IF(I229&lt;=5,2,IF(I229&lt;=15,3,IF(H229&lt;=60,4))))</f>
        <v>4</v>
      </c>
      <c r="C229" s="440" t="s">
        <v>570</v>
      </c>
      <c r="D229" s="9" t="s">
        <v>49</v>
      </c>
      <c r="E229" s="350">
        <f>833000*0</f>
        <v>0</v>
      </c>
      <c r="F229" s="353">
        <v>46031</v>
      </c>
      <c r="G229" s="16" t="s">
        <v>5</v>
      </c>
      <c r="H229" s="16">
        <f>IF(OR(G229="Sin pagar",G229="Pagar"),NETWORKDAYS($J$113,F229,'Festivos Colombia'!$A$3:$A$22),0)</f>
        <v>29</v>
      </c>
      <c r="I229" s="16">
        <f>NETWORKDAYS($J$113,F229,'Festivos Colombia'!$A$3:$A$22)</f>
        <v>29</v>
      </c>
      <c r="J229" s="46">
        <f t="shared" ref="J229" si="87">H229</f>
        <v>29</v>
      </c>
      <c r="K229" s="58"/>
      <c r="S229" s="27"/>
    </row>
    <row r="230" spans="1:19" s="16" customFormat="1" ht="15.75" outlineLevel="1" thickBot="1">
      <c r="A230" s="16" t="str">
        <f t="shared" ref="A230" si="88">G230</f>
        <v>Sin Pagar</v>
      </c>
      <c r="B230" s="16">
        <f t="shared" ref="B230" si="89">IF(I230&lt;=-1,1,IF(I230&lt;=5,2,IF(I230&lt;=15,3,IF(H230&lt;=60,4))))</f>
        <v>4</v>
      </c>
      <c r="C230" s="496" t="s">
        <v>738</v>
      </c>
      <c r="D230" s="9" t="s">
        <v>739</v>
      </c>
      <c r="E230" s="350">
        <f>41353724*0</f>
        <v>0</v>
      </c>
      <c r="F230" s="7">
        <v>46051</v>
      </c>
      <c r="G230" s="16" t="s">
        <v>5</v>
      </c>
      <c r="H230" s="16">
        <f>IF(OR(G230="Sin pagar",G230="Pagar"),NETWORKDAYS($J$113,F230,'Festivos Colombia'!$A$3:$A$22),0)</f>
        <v>42</v>
      </c>
      <c r="I230" s="16">
        <f>NETWORKDAYS($J$113,F230,'Festivos Colombia'!$A$3:$A$22)</f>
        <v>42</v>
      </c>
      <c r="J230" s="46">
        <f t="shared" ref="J230" si="90">H230</f>
        <v>42</v>
      </c>
      <c r="K230" s="58"/>
      <c r="S230" s="27"/>
    </row>
    <row r="231" spans="1:19" s="16" customFormat="1" ht="15.75" customHeight="1" thickBot="1">
      <c r="D231" s="351" t="s">
        <v>57</v>
      </c>
      <c r="E231" s="352">
        <f>SUBTOTAL(9,E232:E232)</f>
        <v>24665110.43</v>
      </c>
      <c r="J231" s="46"/>
    </row>
    <row r="232" spans="1:19" s="16" customFormat="1" ht="15.75" outlineLevel="1" thickBot="1">
      <c r="A232" s="16" t="str">
        <f>G232</f>
        <v>Cancelado</v>
      </c>
      <c r="B232" s="16">
        <f>IF(I232&lt;=-1,1,IF(I232&lt;=5,2,IF(I232&lt;=15,3,IF(H232&lt;=60,4))))</f>
        <v>4</v>
      </c>
      <c r="C232" s="24"/>
      <c r="D232" s="9" t="s">
        <v>58</v>
      </c>
      <c r="E232" s="350">
        <f>15189196.43+987990+8487924</f>
        <v>24665110.43</v>
      </c>
      <c r="F232" s="7">
        <v>46022</v>
      </c>
      <c r="G232" s="16" t="s">
        <v>20</v>
      </c>
      <c r="H232" s="16">
        <f>IF(OR(G232="Sin pagar",G232="Pagar"),NETWORKDAYS($J$113,F232,'Festivos Colombia'!$A$3:$A$22),0)</f>
        <v>0</v>
      </c>
      <c r="I232" s="16">
        <f>NETWORKDAYS($J$113,F232,'Festivos Colombia'!$A$3:$A$22)</f>
        <v>23</v>
      </c>
      <c r="J232" s="46">
        <f>H232</f>
        <v>0</v>
      </c>
      <c r="K232" s="58"/>
    </row>
    <row r="233" spans="1:19" s="16" customFormat="1" ht="16.5" thickBot="1">
      <c r="C233" s="24"/>
      <c r="D233" s="351" t="s">
        <v>59</v>
      </c>
      <c r="E233" s="352">
        <f>SUBTOTAL(9,E234:E235)</f>
        <v>1713185</v>
      </c>
      <c r="J233" s="46"/>
    </row>
    <row r="234" spans="1:19" s="16" customFormat="1" outlineLevel="1">
      <c r="A234" s="16" t="str">
        <f>G234</f>
        <v>Cancelado</v>
      </c>
      <c r="B234" s="16">
        <f>IF(I234&lt;=-1,1,IF(I234&lt;=5,2,IF(I234&lt;=15,3,IF(H234&lt;=60,4))))</f>
        <v>4</v>
      </c>
      <c r="C234" s="24"/>
      <c r="D234" s="9" t="s">
        <v>87</v>
      </c>
      <c r="E234" s="350">
        <v>1174362</v>
      </c>
      <c r="F234" s="7">
        <v>46020</v>
      </c>
      <c r="G234" s="16" t="s">
        <v>20</v>
      </c>
      <c r="H234" s="16">
        <f>IF(OR(G234="Sin pagar",G234="Pagar"),NETWORKDAYS($J$113,F234,'Festivos Colombia'!$A$3:$A$22),0)</f>
        <v>0</v>
      </c>
      <c r="I234" s="16">
        <f>NETWORKDAYS($J$113,F234,'Festivos Colombia'!$A$3:$A$22)</f>
        <v>21</v>
      </c>
      <c r="J234" s="46">
        <f>H234</f>
        <v>0</v>
      </c>
      <c r="K234" s="58"/>
    </row>
    <row r="235" spans="1:19" s="16" customFormat="1" ht="15.75" outlineLevel="1" thickBot="1">
      <c r="A235" s="16" t="str">
        <f>G235</f>
        <v>Cancelado</v>
      </c>
      <c r="B235" s="16">
        <f>IF(I235&lt;=-1,1,IF(I235&lt;=5,2,IF(I235&lt;=15,3,IF(H235&lt;=60,4))))</f>
        <v>4</v>
      </c>
      <c r="C235" s="24"/>
      <c r="D235" s="9" t="s">
        <v>130</v>
      </c>
      <c r="E235" s="350">
        <v>538823</v>
      </c>
      <c r="F235" s="7">
        <v>46020</v>
      </c>
      <c r="G235" s="16" t="s">
        <v>20</v>
      </c>
      <c r="H235" s="16">
        <f>IF(OR(G235="Sin pagar",G235="Pagar"),NETWORKDAYS($J$113,F235,'Festivos Colombia'!$A$3:$A$22),0)</f>
        <v>0</v>
      </c>
      <c r="I235" s="16">
        <f>NETWORKDAYS($J$113,F235,'Festivos Colombia'!$A$3:$A$22)</f>
        <v>21</v>
      </c>
      <c r="J235" s="46">
        <f>H235</f>
        <v>0</v>
      </c>
      <c r="K235" s="58"/>
    </row>
    <row r="236" spans="1:19" s="16" customFormat="1" ht="16.5" thickBot="1">
      <c r="C236" s="24"/>
      <c r="D236" s="351" t="s">
        <v>61</v>
      </c>
      <c r="E236" s="352">
        <f>SUBTOTAL(9,E237:E240)</f>
        <v>24670254.350000001</v>
      </c>
      <c r="J236" s="46"/>
      <c r="M236" s="8"/>
    </row>
    <row r="237" spans="1:19" s="16" customFormat="1" outlineLevel="1">
      <c r="A237" s="16" t="str">
        <f>G237</f>
        <v>Cancelado</v>
      </c>
      <c r="B237" s="16">
        <f>IF(I237&lt;=-1,1,IF(I237&lt;=5,2,IF(I237&lt;=15,3,IF(H237&lt;=60,4))))</f>
        <v>2</v>
      </c>
      <c r="C237" s="97"/>
      <c r="D237" s="9" t="s">
        <v>98</v>
      </c>
      <c r="E237" s="419">
        <f>(1988066+(58*3784.43))*0</f>
        <v>0</v>
      </c>
      <c r="F237" s="7">
        <v>45993</v>
      </c>
      <c r="G237" s="16" t="s">
        <v>20</v>
      </c>
      <c r="H237" s="16">
        <f>IF(OR(G237="Sin pagar",G237="Pagar"),NETWORKDAYS($J$113,F237,'Festivos Colombia'!$A$3:$A$22),0)</f>
        <v>0</v>
      </c>
      <c r="I237" s="16">
        <f>NETWORKDAYS($J$113,F237,'Festivos Colombia'!$A$3:$A$22)</f>
        <v>2</v>
      </c>
      <c r="J237" s="46">
        <f>H237</f>
        <v>0</v>
      </c>
      <c r="K237" s="8"/>
      <c r="L237" s="350"/>
      <c r="M237" s="8"/>
      <c r="O237" s="33"/>
      <c r="P237" s="25"/>
      <c r="Q237" s="33"/>
    </row>
    <row r="238" spans="1:19" s="16" customFormat="1" outlineLevel="1">
      <c r="A238" s="16" t="str">
        <f t="shared" ref="A238" si="91">G238</f>
        <v>Cancelado</v>
      </c>
      <c r="B238" s="16">
        <f t="shared" ref="B238" si="92">IF(I238&lt;=-1,1,IF(I238&lt;=5,2,IF(I238&lt;=15,3,IF(H238&lt;=60,4))))</f>
        <v>3</v>
      </c>
      <c r="C238" s="97"/>
      <c r="D238" s="9" t="s">
        <v>62</v>
      </c>
      <c r="E238" s="350">
        <v>21583393</v>
      </c>
      <c r="F238" s="7">
        <v>46007</v>
      </c>
      <c r="G238" s="16" t="s">
        <v>20</v>
      </c>
      <c r="H238" s="16">
        <f>IF(OR(G238="Sin pagar",G238="Pagar"),NETWORKDAYS($J$113,F238,'Festivos Colombia'!$A$3:$A$22),0)</f>
        <v>0</v>
      </c>
      <c r="I238" s="16">
        <f>NETWORKDAYS($J$113,F238,'Festivos Colombia'!$A$3:$A$22)</f>
        <v>12</v>
      </c>
      <c r="J238" s="46">
        <f>H238</f>
        <v>0</v>
      </c>
      <c r="K238" s="8"/>
      <c r="L238" s="8"/>
      <c r="M238" s="8"/>
      <c r="O238" s="33"/>
      <c r="P238" s="25"/>
      <c r="Q238" s="33"/>
    </row>
    <row r="239" spans="1:19" s="16" customFormat="1" outlineLevel="1">
      <c r="A239" s="16" t="str">
        <f>G239</f>
        <v>Cancelado</v>
      </c>
      <c r="B239" s="16">
        <f>IF(I239&lt;=-1,1,IF(I239&lt;=5,2,IF(I239&lt;=15,3,IF(H239&lt;=60,4))))</f>
        <v>4</v>
      </c>
      <c r="C239" s="97"/>
      <c r="D239" s="9" t="s">
        <v>98</v>
      </c>
      <c r="E239" s="419">
        <f>(2878369+(55*3790.77))</f>
        <v>3086861.35</v>
      </c>
      <c r="F239" s="7">
        <v>46027</v>
      </c>
      <c r="G239" s="16" t="s">
        <v>20</v>
      </c>
      <c r="H239" s="16">
        <f>IF(OR(G239="Sin pagar",G239="Pagar"),NETWORKDAYS($J$113,F239,'Festivos Colombia'!$A$3:$A$22),0)</f>
        <v>0</v>
      </c>
      <c r="I239" s="16">
        <f>NETWORKDAYS($J$113,F239,'Festivos Colombia'!$A$3:$A$22)</f>
        <v>25</v>
      </c>
      <c r="J239" s="46">
        <f t="shared" ref="J239" si="93">H239</f>
        <v>0</v>
      </c>
      <c r="K239" s="8"/>
      <c r="L239" s="350"/>
      <c r="M239" s="8"/>
      <c r="O239" s="33"/>
      <c r="P239" s="25"/>
      <c r="Q239" s="33"/>
    </row>
    <row r="240" spans="1:19" s="16" customFormat="1" ht="15.75" outlineLevel="1" thickBot="1">
      <c r="A240" s="16" t="str">
        <f t="shared" ref="A240" si="94">G240</f>
        <v>Sin Pagar</v>
      </c>
      <c r="B240" s="16">
        <f t="shared" ref="B240" si="95">IF(I240&lt;=-1,1,IF(I240&lt;=5,2,IF(I240&lt;=15,3,IF(H240&lt;=60,4))))</f>
        <v>4</v>
      </c>
      <c r="C240" s="97"/>
      <c r="D240" s="9" t="s">
        <v>62</v>
      </c>
      <c r="E240" s="350">
        <f>33736718*0</f>
        <v>0</v>
      </c>
      <c r="F240" s="7">
        <v>46041</v>
      </c>
      <c r="G240" s="16" t="s">
        <v>5</v>
      </c>
      <c r="H240" s="16">
        <f>IF(OR(G240="Sin pagar",G240="Pagar"),NETWORKDAYS($J$113,F240,'Festivos Colombia'!$A$3:$A$22),0)</f>
        <v>34</v>
      </c>
      <c r="I240" s="16">
        <f>NETWORKDAYS($J$113,F240,'Festivos Colombia'!$A$3:$A$22)</f>
        <v>34</v>
      </c>
      <c r="J240" s="46">
        <f t="shared" ref="J240" si="96">H240</f>
        <v>34</v>
      </c>
      <c r="K240" s="8"/>
      <c r="L240" s="8"/>
      <c r="M240" s="8"/>
      <c r="O240" s="33"/>
      <c r="P240" s="25"/>
      <c r="Q240" s="33"/>
    </row>
    <row r="241" spans="1:12" s="16" customFormat="1" ht="16.5" thickBot="1">
      <c r="D241" s="351" t="s">
        <v>63</v>
      </c>
      <c r="E241" s="352">
        <f>SUBTOTAL(9,E242:E251)</f>
        <v>2887000</v>
      </c>
      <c r="J241" s="46"/>
      <c r="K241" s="8"/>
    </row>
    <row r="242" spans="1:12" s="16" customFormat="1" ht="15.75" customHeight="1" outlineLevel="1">
      <c r="A242" s="16" t="str">
        <f t="shared" ref="A242" si="97">G242</f>
        <v>Cancelado</v>
      </c>
      <c r="B242" s="16">
        <f t="shared" ref="B242" si="98">IF(I242&lt;=-1,1,IF(I242&lt;=5,2,IF(I242&lt;=15,3,IF(H242&lt;=60,4))))</f>
        <v>3</v>
      </c>
      <c r="C242" s="24">
        <v>6787</v>
      </c>
      <c r="D242" s="9" t="s">
        <v>64</v>
      </c>
      <c r="E242" s="8">
        <v>615000</v>
      </c>
      <c r="F242" s="7">
        <v>46002</v>
      </c>
      <c r="G242" s="16" t="s">
        <v>20</v>
      </c>
      <c r="H242" s="16">
        <f>IF(OR(G242="Sin pagar",G242="Pagar"),NETWORKDAYS($J$113,F242,'Festivos Colombia'!$A$3:$A$22),0)</f>
        <v>0</v>
      </c>
      <c r="I242" s="16">
        <f>NETWORKDAYS($J$113,F242,'Festivos Colombia'!$A$3:$A$22)</f>
        <v>9</v>
      </c>
      <c r="J242" s="46">
        <f t="shared" ref="J242" si="99">H242</f>
        <v>0</v>
      </c>
      <c r="K242" s="58"/>
    </row>
    <row r="243" spans="1:12" s="16" customFormat="1" ht="15.75" customHeight="1" outlineLevel="1">
      <c r="A243" s="16" t="str">
        <f t="shared" ref="A243" si="100">G243</f>
        <v>Cancelado</v>
      </c>
      <c r="B243" s="16">
        <f t="shared" ref="B243" si="101">IF(I243&lt;=-1,1,IF(I243&lt;=5,2,IF(I243&lt;=15,3,IF(H243&lt;=60,4))))</f>
        <v>4</v>
      </c>
      <c r="C243" s="24">
        <v>6791</v>
      </c>
      <c r="D243" s="9" t="s">
        <v>64</v>
      </c>
      <c r="E243" s="8">
        <f>1371000-102500</f>
        <v>1268500</v>
      </c>
      <c r="F243" s="353">
        <v>46014</v>
      </c>
      <c r="G243" s="16" t="s">
        <v>20</v>
      </c>
      <c r="H243" s="16">
        <f>IF(OR(G243="Sin pagar",G243="Pagar"),NETWORKDAYS($J$113,F243,'Festivos Colombia'!$A$3:$A$22),0)</f>
        <v>0</v>
      </c>
      <c r="I243" s="16">
        <f>NETWORKDAYS($J$113,F243,'Festivos Colombia'!$A$3:$A$22)</f>
        <v>17</v>
      </c>
      <c r="J243" s="46">
        <f t="shared" ref="J243" si="102">H243</f>
        <v>0</v>
      </c>
      <c r="K243" s="58"/>
    </row>
    <row r="244" spans="1:12" s="16" customFormat="1" ht="15.75" customHeight="1" outlineLevel="1">
      <c r="A244" s="16" t="str">
        <f t="shared" ref="A244:A251" si="103">G244</f>
        <v>Cancelado</v>
      </c>
      <c r="B244" s="16">
        <f t="shared" ref="B244:B251" si="104">IF(I244&lt;=-1,1,IF(I244&lt;=5,2,IF(I244&lt;=15,3,IF(H244&lt;=60,4))))</f>
        <v>4</v>
      </c>
      <c r="C244" s="24">
        <v>6811</v>
      </c>
      <c r="D244" s="9" t="s">
        <v>64</v>
      </c>
      <c r="E244" s="8">
        <f>411000</f>
        <v>411000</v>
      </c>
      <c r="F244" s="353">
        <v>46014</v>
      </c>
      <c r="G244" s="16" t="s">
        <v>20</v>
      </c>
      <c r="H244" s="16">
        <f>IF(OR(G244="Sin pagar",G244="Pagar"),NETWORKDAYS($J$113,F244,'Festivos Colombia'!$A$3:$A$22),0)</f>
        <v>0</v>
      </c>
      <c r="I244" s="16">
        <f>NETWORKDAYS($J$113,F244,'Festivos Colombia'!$A$3:$A$22)</f>
        <v>17</v>
      </c>
      <c r="J244" s="46">
        <f t="shared" ref="J244:J251" si="105">H244</f>
        <v>0</v>
      </c>
      <c r="K244" s="58"/>
    </row>
    <row r="245" spans="1:12" s="16" customFormat="1" ht="15.75" customHeight="1" outlineLevel="1">
      <c r="A245" s="16" t="str">
        <f t="shared" si="103"/>
        <v>Cancelado</v>
      </c>
      <c r="B245" s="16">
        <f t="shared" si="104"/>
        <v>4</v>
      </c>
      <c r="C245" s="24">
        <v>6821</v>
      </c>
      <c r="D245" s="9" t="s">
        <v>64</v>
      </c>
      <c r="E245" s="8">
        <f>311500</f>
        <v>311500</v>
      </c>
      <c r="F245" s="353">
        <v>46014</v>
      </c>
      <c r="G245" s="16" t="s">
        <v>20</v>
      </c>
      <c r="H245" s="16">
        <f>IF(OR(G245="Sin pagar",G245="Pagar"),NETWORKDAYS($J$113,F245,'Festivos Colombia'!$A$3:$A$22),0)</f>
        <v>0</v>
      </c>
      <c r="I245" s="16">
        <f>NETWORKDAYS($J$113,F245,'Festivos Colombia'!$A$3:$A$22)</f>
        <v>17</v>
      </c>
      <c r="J245" s="46">
        <f t="shared" si="105"/>
        <v>0</v>
      </c>
      <c r="K245" s="58"/>
    </row>
    <row r="246" spans="1:12" s="16" customFormat="1" ht="15.75" customHeight="1" outlineLevel="1">
      <c r="A246" s="16" t="str">
        <f t="shared" si="103"/>
        <v>Cancelado</v>
      </c>
      <c r="B246" s="16">
        <f t="shared" si="104"/>
        <v>4</v>
      </c>
      <c r="C246" s="24">
        <v>6829</v>
      </c>
      <c r="D246" s="9" t="s">
        <v>64</v>
      </c>
      <c r="E246" s="8">
        <f>281000</f>
        <v>281000</v>
      </c>
      <c r="F246" s="353">
        <v>46014</v>
      </c>
      <c r="G246" s="16" t="s">
        <v>20</v>
      </c>
      <c r="H246" s="16">
        <f>IF(OR(G246="Sin pagar",G246="Pagar"),NETWORKDAYS($J$113,F246,'Festivos Colombia'!$A$3:$A$22),0)</f>
        <v>0</v>
      </c>
      <c r="I246" s="16">
        <f>NETWORKDAYS($J$113,F246,'Festivos Colombia'!$A$3:$A$22)</f>
        <v>17</v>
      </c>
      <c r="J246" s="46">
        <f t="shared" si="105"/>
        <v>0</v>
      </c>
      <c r="K246" s="58"/>
    </row>
    <row r="247" spans="1:12" s="16" customFormat="1" ht="15.75" customHeight="1" outlineLevel="1">
      <c r="A247" s="16" t="str">
        <f t="shared" ref="A247" si="106">G247</f>
        <v>Sin Pagar</v>
      </c>
      <c r="B247" s="16">
        <f t="shared" ref="B247" si="107">IF(I247&lt;=-1,1,IF(I247&lt;=5,2,IF(I247&lt;=15,3,IF(H247&lt;=60,4))))</f>
        <v>4</v>
      </c>
      <c r="C247" s="24">
        <v>6837</v>
      </c>
      <c r="D247" s="9" t="s">
        <v>64</v>
      </c>
      <c r="E247" s="8">
        <f>359000*0</f>
        <v>0</v>
      </c>
      <c r="F247" s="7">
        <v>46031</v>
      </c>
      <c r="G247" s="16" t="s">
        <v>5</v>
      </c>
      <c r="H247" s="16">
        <f>IF(OR(G247="Sin pagar",G247="Pagar"),NETWORKDAYS($J$113,F247,'Festivos Colombia'!$A$3:$A$22),0)</f>
        <v>29</v>
      </c>
      <c r="I247" s="16">
        <f>NETWORKDAYS($J$113,F247,'Festivos Colombia'!$A$3:$A$22)</f>
        <v>29</v>
      </c>
      <c r="J247" s="46">
        <f t="shared" ref="J247" si="108">H247</f>
        <v>29</v>
      </c>
      <c r="K247" s="58"/>
    </row>
    <row r="248" spans="1:12" s="16" customFormat="1" ht="15.75" customHeight="1" outlineLevel="1">
      <c r="A248" s="16" t="str">
        <f t="shared" ref="A248" si="109">G248</f>
        <v>Sin Pagar</v>
      </c>
      <c r="B248" s="16">
        <f t="shared" ref="B248" si="110">IF(I248&lt;=-1,1,IF(I248&lt;=5,2,IF(I248&lt;=15,3,IF(H248&lt;=60,4))))</f>
        <v>4</v>
      </c>
      <c r="C248" s="24">
        <v>6846</v>
      </c>
      <c r="D248" s="9" t="s">
        <v>64</v>
      </c>
      <c r="E248" s="8">
        <f>517000*0</f>
        <v>0</v>
      </c>
      <c r="F248" s="7">
        <v>46033</v>
      </c>
      <c r="G248" s="16" t="s">
        <v>5</v>
      </c>
      <c r="H248" s="16">
        <f>IF(OR(G248="Sin pagar",G248="Pagar"),NETWORKDAYS($J$113,F248,'Festivos Colombia'!$A$3:$A$22),0)</f>
        <v>29</v>
      </c>
      <c r="I248" s="16">
        <f>NETWORKDAYS($J$113,F248,'Festivos Colombia'!$A$3:$A$22)</f>
        <v>29</v>
      </c>
      <c r="J248" s="46">
        <f t="shared" ref="J248" si="111">H248</f>
        <v>29</v>
      </c>
      <c r="K248" s="58"/>
    </row>
    <row r="249" spans="1:12" s="16" customFormat="1" ht="15.75" customHeight="1" outlineLevel="1">
      <c r="A249" s="16" t="str">
        <f t="shared" ref="A249" si="112">G249</f>
        <v>Sin Pagar</v>
      </c>
      <c r="B249" s="16">
        <f t="shared" ref="B249" si="113">IF(I249&lt;=-1,1,IF(I249&lt;=5,2,IF(I249&lt;=15,3,IF(H249&lt;=60,4))))</f>
        <v>4</v>
      </c>
      <c r="C249" s="24">
        <v>6855</v>
      </c>
      <c r="D249" s="9" t="s">
        <v>64</v>
      </c>
      <c r="E249" s="8">
        <f>499900*0</f>
        <v>0</v>
      </c>
      <c r="F249" s="7">
        <v>46039</v>
      </c>
      <c r="G249" s="16" t="s">
        <v>5</v>
      </c>
      <c r="H249" s="16">
        <f>IF(OR(G249="Sin pagar",G249="Pagar"),NETWORKDAYS($J$113,F249,'Festivos Colombia'!$A$3:$A$22),0)</f>
        <v>33</v>
      </c>
      <c r="I249" s="16">
        <f>NETWORKDAYS($J$113,F249,'Festivos Colombia'!$A$3:$A$22)</f>
        <v>33</v>
      </c>
      <c r="J249" s="46">
        <f t="shared" ref="J249" si="114">H249</f>
        <v>33</v>
      </c>
      <c r="K249" s="58"/>
    </row>
    <row r="250" spans="1:12" s="16" customFormat="1" ht="15.75" customHeight="1" outlineLevel="1">
      <c r="A250" s="16" t="str">
        <f t="shared" ref="A250" si="115">G250</f>
        <v>Sin Pagar</v>
      </c>
      <c r="B250" s="16">
        <f t="shared" ref="B250" si="116">IF(I250&lt;=-1,1,IF(I250&lt;=5,2,IF(I250&lt;=15,3,IF(H250&lt;=60,4))))</f>
        <v>4</v>
      </c>
      <c r="C250" s="24">
        <v>6861</v>
      </c>
      <c r="D250" s="9" t="s">
        <v>64</v>
      </c>
      <c r="E250" s="8">
        <f>499900*0</f>
        <v>0</v>
      </c>
      <c r="F250" s="7">
        <v>46041</v>
      </c>
      <c r="G250" s="16" t="s">
        <v>5</v>
      </c>
      <c r="H250" s="16">
        <f>IF(OR(G250="Sin pagar",G250="Pagar"),NETWORKDAYS($J$113,F250,'Festivos Colombia'!$A$3:$A$22),0)</f>
        <v>34</v>
      </c>
      <c r="I250" s="16">
        <f>NETWORKDAYS($J$113,F250,'Festivos Colombia'!$A$3:$A$22)</f>
        <v>34</v>
      </c>
      <c r="J250" s="46">
        <f t="shared" ref="J250" si="117">H250</f>
        <v>34</v>
      </c>
      <c r="K250" s="58"/>
    </row>
    <row r="251" spans="1:12" s="16" customFormat="1" ht="15.75" outlineLevel="1" thickBot="1">
      <c r="A251" s="16" t="str">
        <f t="shared" si="103"/>
        <v>Sin Pagar</v>
      </c>
      <c r="B251" s="16">
        <f t="shared" si="104"/>
        <v>4</v>
      </c>
      <c r="C251" s="24" t="s">
        <v>649</v>
      </c>
      <c r="D251" s="9" t="s">
        <v>99</v>
      </c>
      <c r="E251" s="8">
        <f>573506.15*0</f>
        <v>0</v>
      </c>
      <c r="F251" s="353">
        <v>46038</v>
      </c>
      <c r="G251" s="16" t="s">
        <v>5</v>
      </c>
      <c r="H251" s="16">
        <f>IF(OR(G251="Sin pagar",G251="Pagar"),NETWORKDAYS($J$113,F251,'Festivos Colombia'!$A$3:$A$22),0)</f>
        <v>33</v>
      </c>
      <c r="I251" s="16">
        <f>NETWORKDAYS($J$113,F251,'Festivos Colombia'!$A$3:$A$22)</f>
        <v>33</v>
      </c>
      <c r="J251" s="46">
        <f t="shared" si="105"/>
        <v>33</v>
      </c>
      <c r="K251" s="58"/>
    </row>
    <row r="252" spans="1:12" s="16" customFormat="1" ht="16.5" thickBot="1">
      <c r="D252" s="351" t="s">
        <v>65</v>
      </c>
      <c r="E252" s="352">
        <f>SUBTOTAL(9,E253:E263)</f>
        <v>17044396.01024</v>
      </c>
      <c r="J252" s="46"/>
    </row>
    <row r="253" spans="1:12" s="16" customFormat="1" outlineLevel="1">
      <c r="A253" s="16" t="str">
        <f t="shared" ref="A253:A261" si="118">G253</f>
        <v>Cancelado</v>
      </c>
      <c r="B253" s="16">
        <f t="shared" ref="B253:B261" si="119">IF(I253&lt;=-1,1,IF(I253&lt;=5,2,IF(I253&lt;=15,3,IF(H253&lt;=60,4))))</f>
        <v>3</v>
      </c>
      <c r="C253" s="24">
        <v>43436</v>
      </c>
      <c r="D253" s="347" t="s">
        <v>144</v>
      </c>
      <c r="E253" s="350">
        <v>240031.19448000001</v>
      </c>
      <c r="F253" s="7">
        <v>46002</v>
      </c>
      <c r="G253" s="16" t="s">
        <v>20</v>
      </c>
      <c r="H253" s="16">
        <f>IF(OR(G253="Sin pagar",G253="Pagar"),NETWORKDAYS($J$113,F253,'Festivos Colombia'!$A$3:$A$22),0)</f>
        <v>0</v>
      </c>
      <c r="I253" s="16">
        <f>NETWORKDAYS($J$113,F253,'Festivos Colombia'!$A$3:$A$22)</f>
        <v>9</v>
      </c>
      <c r="J253" s="46">
        <f t="shared" ref="J253:J261" si="120">H253</f>
        <v>0</v>
      </c>
      <c r="K253" s="58"/>
      <c r="L253" s="7"/>
    </row>
    <row r="254" spans="1:12" s="16" customFormat="1" ht="30" outlineLevel="1">
      <c r="A254" s="16" t="str">
        <f t="shared" si="118"/>
        <v>Cancelado</v>
      </c>
      <c r="B254" s="16">
        <f t="shared" si="119"/>
        <v>3</v>
      </c>
      <c r="C254" s="24">
        <v>43426</v>
      </c>
      <c r="D254" s="347" t="s">
        <v>145</v>
      </c>
      <c r="E254" s="350">
        <v>1596529.8157599999</v>
      </c>
      <c r="F254" s="7">
        <v>46002</v>
      </c>
      <c r="G254" s="16" t="s">
        <v>20</v>
      </c>
      <c r="H254" s="16">
        <f>IF(OR(G254="Sin pagar",G254="Pagar"),NETWORKDAYS($J$113,F254,'Festivos Colombia'!$A$3:$A$22),0)</f>
        <v>0</v>
      </c>
      <c r="I254" s="16">
        <f>NETWORKDAYS($J$113,F254,'Festivos Colombia'!$A$3:$A$22)</f>
        <v>9</v>
      </c>
      <c r="J254" s="46">
        <f t="shared" si="120"/>
        <v>0</v>
      </c>
      <c r="K254" s="58"/>
      <c r="L254" s="7"/>
    </row>
    <row r="255" spans="1:12" s="16" customFormat="1" ht="30" outlineLevel="1">
      <c r="A255" s="16" t="str">
        <f t="shared" ref="A255:A256" si="121">G255</f>
        <v>Sin Pagar</v>
      </c>
      <c r="B255" s="16">
        <f t="shared" ref="B255:B256" si="122">IF(I255&lt;=-1,1,IF(I255&lt;=5,2,IF(I255&lt;=15,3,IF(H255&lt;=60,4))))</f>
        <v>4</v>
      </c>
      <c r="C255" s="24">
        <v>43845</v>
      </c>
      <c r="D255" s="475" t="s">
        <v>673</v>
      </c>
      <c r="E255" s="350">
        <f>1567608*0</f>
        <v>0</v>
      </c>
      <c r="F255" s="7">
        <v>46031</v>
      </c>
      <c r="G255" s="16" t="s">
        <v>5</v>
      </c>
      <c r="H255" s="16">
        <f>IF(OR(G255="Sin pagar",G255="Pagar"),NETWORKDAYS($J$113,F255,'Festivos Colombia'!$A$3:$A$22),0)</f>
        <v>29</v>
      </c>
      <c r="I255" s="16">
        <f>NETWORKDAYS($J$113,F255,'Festivos Colombia'!$A$3:$A$22)</f>
        <v>29</v>
      </c>
      <c r="J255" s="46">
        <f t="shared" ref="J255" si="123">H255</f>
        <v>29</v>
      </c>
      <c r="K255" s="58"/>
      <c r="L255" s="7"/>
    </row>
    <row r="256" spans="1:12" s="16" customFormat="1" outlineLevel="1">
      <c r="A256" s="16" t="str">
        <f t="shared" si="121"/>
        <v>Sin Pagar</v>
      </c>
      <c r="B256" s="16">
        <f t="shared" si="122"/>
        <v>4</v>
      </c>
      <c r="C256" s="24">
        <v>43984</v>
      </c>
      <c r="D256" s="467" t="s">
        <v>66</v>
      </c>
      <c r="E256" s="350">
        <f>240031.19448*0</f>
        <v>0</v>
      </c>
      <c r="F256" s="7">
        <v>46039</v>
      </c>
      <c r="G256" s="16" t="s">
        <v>5</v>
      </c>
      <c r="H256" s="16">
        <f>IF(OR(G256="Sin pagar",G256="Pagar"),NETWORKDAYS($J$113,F256,'Festivos Colombia'!$A$3:$A$22),0)</f>
        <v>33</v>
      </c>
      <c r="I256" s="16">
        <f>NETWORKDAYS($J$113,F256,'Festivos Colombia'!$A$3:$A$22)</f>
        <v>33</v>
      </c>
      <c r="J256" s="46">
        <f t="shared" ref="J256:J257" si="124">H256</f>
        <v>33</v>
      </c>
      <c r="K256" s="58"/>
      <c r="L256" s="7"/>
    </row>
    <row r="257" spans="1:24" s="16" customFormat="1" ht="30" outlineLevel="1">
      <c r="A257" s="16" t="str">
        <f t="shared" ref="A257" si="125">G257</f>
        <v>Sin Pagar</v>
      </c>
      <c r="B257" s="16">
        <f t="shared" ref="B257" si="126">IF(I257&lt;=-1,1,IF(I257&lt;=5,2,IF(I257&lt;=15,3,IF(H257&lt;=60,4))))</f>
        <v>4</v>
      </c>
      <c r="C257" s="24">
        <v>43846</v>
      </c>
      <c r="D257" s="475" t="s">
        <v>673</v>
      </c>
      <c r="E257" s="350">
        <f>1567608*0</f>
        <v>0</v>
      </c>
      <c r="F257" s="7">
        <v>46043</v>
      </c>
      <c r="G257" s="16" t="s">
        <v>5</v>
      </c>
      <c r="H257" s="16">
        <f>IF(OR(G257="Sin pagar",G257="Pagar"),NETWORKDAYS($J$113,F257,'Festivos Colombia'!$A$3:$A$22),0)</f>
        <v>36</v>
      </c>
      <c r="I257" s="16">
        <f>NETWORKDAYS($J$113,F257,'Festivos Colombia'!$A$3:$A$22)</f>
        <v>36</v>
      </c>
      <c r="J257" s="46">
        <f t="shared" si="124"/>
        <v>36</v>
      </c>
      <c r="K257" s="58"/>
      <c r="L257" s="7"/>
    </row>
    <row r="258" spans="1:24" s="16" customFormat="1" outlineLevel="1">
      <c r="A258" s="310" t="str">
        <f t="shared" si="118"/>
        <v>Cancelado</v>
      </c>
      <c r="B258" s="310">
        <f t="shared" si="119"/>
        <v>3</v>
      </c>
      <c r="C258" s="356" t="s">
        <v>146</v>
      </c>
      <c r="D258" s="357" t="s">
        <v>147</v>
      </c>
      <c r="E258" s="375">
        <f>448529</f>
        <v>448529</v>
      </c>
      <c r="F258" s="7">
        <v>46002</v>
      </c>
      <c r="G258" s="16" t="s">
        <v>20</v>
      </c>
      <c r="H258" s="16">
        <f>IF(OR(G258="Sin pagar",G258="Pagar"),NETWORKDAYS($J$113,F258,'Festivos Colombia'!$A$3:$A$22),0)</f>
        <v>0</v>
      </c>
      <c r="I258" s="16">
        <f>NETWORKDAYS($J$113,F258,'Festivos Colombia'!$A$3:$A$22)</f>
        <v>9</v>
      </c>
      <c r="J258" s="46">
        <f t="shared" si="120"/>
        <v>0</v>
      </c>
      <c r="K258" s="359"/>
      <c r="L258" s="96"/>
      <c r="M258" s="310"/>
      <c r="N258" s="310"/>
      <c r="O258" s="310"/>
      <c r="P258" s="310"/>
      <c r="Q258" s="310"/>
      <c r="R258" s="310"/>
      <c r="S258" s="310"/>
      <c r="T258" s="310"/>
      <c r="U258" s="310"/>
      <c r="V258" s="310"/>
      <c r="W258" s="310"/>
      <c r="X258" s="310"/>
    </row>
    <row r="259" spans="1:24" s="16" customFormat="1" outlineLevel="1">
      <c r="A259" s="310" t="str">
        <f t="shared" si="118"/>
        <v>Cancelado</v>
      </c>
      <c r="B259" s="310">
        <f t="shared" si="119"/>
        <v>4</v>
      </c>
      <c r="C259" s="356" t="s">
        <v>148</v>
      </c>
      <c r="D259" s="357" t="s">
        <v>149</v>
      </c>
      <c r="E259" s="358">
        <f>5188351</f>
        <v>5188351</v>
      </c>
      <c r="F259" s="353">
        <v>46014</v>
      </c>
      <c r="G259" s="16" t="s">
        <v>20</v>
      </c>
      <c r="H259" s="16">
        <f>IF(OR(G259="Sin pagar",G259="Pagar"),NETWORKDAYS($J$113,F259,'Festivos Colombia'!$A$3:$A$22),0)</f>
        <v>0</v>
      </c>
      <c r="I259" s="16">
        <f>NETWORKDAYS($J$113,F259,'Festivos Colombia'!$A$3:$A$22)</f>
        <v>17</v>
      </c>
      <c r="J259" s="46">
        <f t="shared" si="120"/>
        <v>0</v>
      </c>
      <c r="K259" s="359"/>
      <c r="L259" s="96"/>
      <c r="M259" s="310"/>
      <c r="N259" s="310"/>
      <c r="O259" s="310"/>
      <c r="P259" s="310"/>
      <c r="Q259" s="310"/>
      <c r="R259" s="310"/>
      <c r="S259" s="310"/>
      <c r="T259" s="310"/>
      <c r="U259" s="310"/>
      <c r="V259" s="310"/>
      <c r="W259" s="310"/>
      <c r="X259" s="310"/>
    </row>
    <row r="260" spans="1:24" s="16" customFormat="1" ht="30" outlineLevel="1">
      <c r="A260" s="420" t="str">
        <f t="shared" si="118"/>
        <v>Cancelado</v>
      </c>
      <c r="B260" s="420">
        <f t="shared" si="119"/>
        <v>4</v>
      </c>
      <c r="C260" s="356" t="s">
        <v>505</v>
      </c>
      <c r="D260" s="357" t="s">
        <v>150</v>
      </c>
      <c r="E260" s="375">
        <f>8721110</f>
        <v>8721110</v>
      </c>
      <c r="F260" s="353">
        <v>46014</v>
      </c>
      <c r="G260" s="16" t="s">
        <v>20</v>
      </c>
      <c r="H260" s="421">
        <f>IF(OR(G260="Sin pagar",G260="Pagar"),NETWORKDAYS($J$113,F260,'Festivos Colombia'!$A$3:$A$22),0)</f>
        <v>0</v>
      </c>
      <c r="I260" s="421">
        <f>NETWORKDAYS($J$113,F260,'Festivos Colombia'!$A$3:$A$22)</f>
        <v>17</v>
      </c>
      <c r="J260" s="46">
        <f t="shared" si="120"/>
        <v>0</v>
      </c>
      <c r="K260" s="359"/>
      <c r="L260" s="96"/>
      <c r="M260" s="310"/>
      <c r="N260" s="310"/>
      <c r="O260" s="310"/>
      <c r="P260" s="310"/>
      <c r="Q260" s="310"/>
      <c r="R260" s="310"/>
      <c r="S260" s="310"/>
      <c r="T260" s="310"/>
      <c r="U260" s="310"/>
      <c r="V260" s="310"/>
      <c r="W260" s="310"/>
      <c r="X260" s="310"/>
    </row>
    <row r="261" spans="1:24" s="16" customFormat="1" ht="30" outlineLevel="1">
      <c r="A261" s="310" t="str">
        <f t="shared" si="118"/>
        <v>Cancelado</v>
      </c>
      <c r="B261" s="310">
        <f t="shared" si="119"/>
        <v>4</v>
      </c>
      <c r="C261" s="356" t="s">
        <v>151</v>
      </c>
      <c r="D261" s="357" t="s">
        <v>152</v>
      </c>
      <c r="E261" s="358">
        <f>849845</f>
        <v>849845</v>
      </c>
      <c r="F261" s="353">
        <v>46014</v>
      </c>
      <c r="G261" s="16" t="s">
        <v>20</v>
      </c>
      <c r="H261" s="16">
        <f>IF(OR(G261="Sin pagar",G261="Pagar"),NETWORKDAYS($J$113,F261,'Festivos Colombia'!$A$3:$A$22),0)</f>
        <v>0</v>
      </c>
      <c r="I261" s="16">
        <f>NETWORKDAYS($J$113,F261,'Festivos Colombia'!$A$3:$A$22)</f>
        <v>17</v>
      </c>
      <c r="J261" s="46">
        <f t="shared" si="120"/>
        <v>0</v>
      </c>
      <c r="K261" s="359"/>
      <c r="L261" s="96"/>
      <c r="M261" s="310"/>
      <c r="N261" s="310"/>
      <c r="O261" s="310"/>
      <c r="P261" s="310"/>
      <c r="Q261" s="310"/>
      <c r="R261" s="310"/>
      <c r="S261" s="310"/>
      <c r="T261" s="310"/>
      <c r="U261" s="310"/>
      <c r="V261" s="310"/>
      <c r="W261" s="310"/>
      <c r="X261" s="310"/>
    </row>
    <row r="262" spans="1:24" s="16" customFormat="1" outlineLevel="1">
      <c r="A262" s="310" t="str">
        <f t="shared" ref="A262:A263" si="127">G262</f>
        <v>Sin Pagar</v>
      </c>
      <c r="B262" s="310">
        <f t="shared" ref="B262:B263" si="128">IF(I262&lt;=-1,1,IF(I262&lt;=5,2,IF(I262&lt;=15,3,IF(H262&lt;=60,4))))</f>
        <v>4</v>
      </c>
      <c r="C262" s="356" t="s">
        <v>565</v>
      </c>
      <c r="D262" s="357" t="s">
        <v>566</v>
      </c>
      <c r="E262" s="358">
        <f>5188351*0</f>
        <v>0</v>
      </c>
      <c r="F262" s="7">
        <v>46031</v>
      </c>
      <c r="G262" s="16" t="s">
        <v>5</v>
      </c>
      <c r="H262" s="16">
        <f>IF(OR(G262="Sin pagar",G262="Pagar"),NETWORKDAYS($J$113,F262,'Festivos Colombia'!$A$3:$A$22),0)</f>
        <v>29</v>
      </c>
      <c r="I262" s="16">
        <f>NETWORKDAYS($J$113,F262,'Festivos Colombia'!$A$3:$A$22)</f>
        <v>29</v>
      </c>
      <c r="J262" s="46">
        <f t="shared" ref="J262:J263" si="129">H262</f>
        <v>29</v>
      </c>
      <c r="K262" s="359"/>
      <c r="L262" s="96"/>
      <c r="M262" s="310"/>
      <c r="N262" s="310"/>
      <c r="O262" s="310"/>
      <c r="P262" s="310"/>
      <c r="Q262" s="310"/>
      <c r="R262" s="310"/>
      <c r="S262" s="310"/>
      <c r="T262" s="310"/>
      <c r="U262" s="310"/>
      <c r="V262" s="310"/>
      <c r="W262" s="310"/>
      <c r="X262" s="310"/>
    </row>
    <row r="263" spans="1:24" s="16" customFormat="1" ht="30.75" outlineLevel="1" thickBot="1">
      <c r="A263" s="420" t="str">
        <f t="shared" si="127"/>
        <v>Sin Pagar</v>
      </c>
      <c r="B263" s="420">
        <f t="shared" si="128"/>
        <v>4</v>
      </c>
      <c r="C263" s="356" t="s">
        <v>650</v>
      </c>
      <c r="D263" s="357" t="s">
        <v>651</v>
      </c>
      <c r="E263" s="375">
        <f>8471343*0</f>
        <v>0</v>
      </c>
      <c r="F263" s="353">
        <v>46040</v>
      </c>
      <c r="G263" s="16" t="s">
        <v>5</v>
      </c>
      <c r="H263" s="421">
        <f>IF(OR(G263="Sin pagar",G263="Pagar"),NETWORKDAYS($J$113,F263,'Festivos Colombia'!$A$3:$A$22),0)</f>
        <v>33</v>
      </c>
      <c r="I263" s="421">
        <f>NETWORKDAYS($J$113,F263,'Festivos Colombia'!$A$3:$A$22)</f>
        <v>33</v>
      </c>
      <c r="J263" s="46">
        <f t="shared" si="129"/>
        <v>33</v>
      </c>
      <c r="K263" s="359"/>
      <c r="L263" s="96"/>
      <c r="M263" s="310"/>
      <c r="N263" s="310"/>
      <c r="O263" s="310"/>
      <c r="P263" s="310"/>
      <c r="Q263" s="310"/>
      <c r="R263" s="310"/>
      <c r="S263" s="310"/>
      <c r="T263" s="310"/>
      <c r="U263" s="310"/>
      <c r="V263" s="310"/>
      <c r="W263" s="310"/>
      <c r="X263" s="310"/>
    </row>
    <row r="264" spans="1:24" s="16" customFormat="1" ht="16.5" thickBot="1">
      <c r="D264" s="351" t="s">
        <v>67</v>
      </c>
      <c r="E264" s="352">
        <f>SUBTOTAL(9,E265:E289)</f>
        <v>2000052078.556</v>
      </c>
      <c r="J264" s="46"/>
      <c r="L264" s="25"/>
      <c r="M264" s="84"/>
      <c r="O264" s="25"/>
    </row>
    <row r="265" spans="1:24" s="16" customFormat="1" outlineLevel="1">
      <c r="A265" s="16" t="str">
        <f t="shared" ref="A265" si="130">G265</f>
        <v>Cancelado</v>
      </c>
      <c r="B265" s="16">
        <f t="shared" ref="B265" si="131">IF(I265&lt;=-1,1,IF(I265&lt;=5,2,IF(I265&lt;=15,3,IF(H265&lt;=60,4))))</f>
        <v>3</v>
      </c>
      <c r="C265" s="60" t="s">
        <v>613</v>
      </c>
      <c r="D265" s="9" t="s">
        <v>516</v>
      </c>
      <c r="E265" s="8">
        <v>76248624</v>
      </c>
      <c r="F265" s="7">
        <v>46007</v>
      </c>
      <c r="G265" s="16" t="s">
        <v>20</v>
      </c>
      <c r="H265" s="310">
        <f>IF(OR(G265="Sin pagar",G265="Pagar"),NETWORKDAYS($J$113,F265,'Festivos Colombia'!$A$3:$A$22),0)</f>
        <v>0</v>
      </c>
      <c r="I265" s="310">
        <f>NETWORKDAYS($J$113,F265,'Festivos Colombia'!$A$3:$A$22)</f>
        <v>12</v>
      </c>
      <c r="J265" s="46">
        <f t="shared" ref="J265" si="132">H265</f>
        <v>0</v>
      </c>
      <c r="K265" s="58"/>
      <c r="L265" s="8"/>
      <c r="M265" s="8"/>
      <c r="N265" s="53"/>
    </row>
    <row r="266" spans="1:24" s="16" customFormat="1" outlineLevel="1">
      <c r="A266" s="16" t="str">
        <f t="shared" ref="A266" si="133">G266</f>
        <v>Cancelado</v>
      </c>
      <c r="B266" s="16">
        <f t="shared" ref="B266" si="134">IF(I266&lt;=-1,1,IF(I266&lt;=5,2,IF(I266&lt;=15,3,IF(H266&lt;=60,4))))</f>
        <v>3</v>
      </c>
      <c r="C266" s="60" t="s">
        <v>612</v>
      </c>
      <c r="D266" s="9" t="s">
        <v>517</v>
      </c>
      <c r="E266" s="8">
        <v>330354459</v>
      </c>
      <c r="F266" s="7">
        <v>46007</v>
      </c>
      <c r="G266" s="16" t="s">
        <v>20</v>
      </c>
      <c r="H266" s="310">
        <f>IF(OR(G266="Sin pagar",G266="Pagar"),NETWORKDAYS($J$113,F266,'Festivos Colombia'!$A$3:$A$22),0)</f>
        <v>0</v>
      </c>
      <c r="I266" s="310">
        <f>NETWORKDAYS($J$113,F266,'Festivos Colombia'!$A$3:$A$22)</f>
        <v>12</v>
      </c>
      <c r="J266" s="46">
        <f t="shared" ref="J266" si="135">H266</f>
        <v>0</v>
      </c>
      <c r="K266" s="58"/>
      <c r="L266" s="8"/>
      <c r="M266" s="8"/>
      <c r="N266" s="53"/>
    </row>
    <row r="267" spans="1:24" s="16" customFormat="1" outlineLevel="1">
      <c r="A267" s="16" t="str">
        <f t="shared" ref="A267" si="136">G267</f>
        <v>Cancelado</v>
      </c>
      <c r="B267" s="16">
        <f t="shared" ref="B267" si="137">IF(I267&lt;=-1,1,IF(I267&lt;=5,2,IF(I267&lt;=15,3,IF(H267&lt;=60,4))))</f>
        <v>3</v>
      </c>
      <c r="C267" s="60" t="s">
        <v>639</v>
      </c>
      <c r="D267" s="9" t="s">
        <v>518</v>
      </c>
      <c r="E267" s="8">
        <f>144223182</f>
        <v>144223182</v>
      </c>
      <c r="F267" s="7">
        <v>46010</v>
      </c>
      <c r="G267" s="16" t="s">
        <v>20</v>
      </c>
      <c r="H267" s="310">
        <f>IF(OR(G267="Sin pagar",G267="Pagar"),NETWORKDAYS($J$113,F267,'Festivos Colombia'!$A$3:$A$22),0)</f>
        <v>0</v>
      </c>
      <c r="I267" s="310">
        <f>NETWORKDAYS($J$113,F267,'Festivos Colombia'!$A$3:$A$22)</f>
        <v>15</v>
      </c>
      <c r="J267" s="46">
        <f t="shared" ref="J267" si="138">H267</f>
        <v>0</v>
      </c>
      <c r="K267" s="58"/>
      <c r="L267" s="8"/>
      <c r="M267" s="8"/>
      <c r="N267" s="53"/>
    </row>
    <row r="268" spans="1:24" s="16" customFormat="1" outlineLevel="1">
      <c r="A268" s="16" t="str">
        <f>G268</f>
        <v>Cancelado</v>
      </c>
      <c r="B268" s="16">
        <f>IF(I268&lt;=-1,1,IF(I268&lt;=5,2,IF(I268&lt;=15,3,IF(H268&lt;=60,4))))</f>
        <v>4</v>
      </c>
      <c r="C268" s="472" t="s">
        <v>667</v>
      </c>
      <c r="D268" s="9" t="s">
        <v>111</v>
      </c>
      <c r="E268" s="8">
        <v>3544238</v>
      </c>
      <c r="F268" s="7">
        <v>46013</v>
      </c>
      <c r="G268" s="16" t="s">
        <v>20</v>
      </c>
      <c r="H268" s="310">
        <f>IF(OR(G268="Sin pagar",G268="Pagar"),NETWORKDAYS($J$113,F268,'Festivos Colombia'!$A$3:$A$22),0)</f>
        <v>0</v>
      </c>
      <c r="I268" s="310">
        <f>NETWORKDAYS($J$113,F268,'Festivos Colombia'!$A$3:$A$22)</f>
        <v>16</v>
      </c>
      <c r="J268" s="46">
        <f t="shared" ref="J268:J283" si="139">H268</f>
        <v>0</v>
      </c>
      <c r="K268" s="58"/>
      <c r="M268" s="25"/>
    </row>
    <row r="269" spans="1:24" s="16" customFormat="1" outlineLevel="1">
      <c r="A269" s="16" t="str">
        <f t="shared" ref="A269" si="140">G269</f>
        <v>Cancelado</v>
      </c>
      <c r="B269" s="16">
        <f t="shared" ref="B269" si="141">IF(I269&lt;=-1,1,IF(I269&lt;=5,2,IF(I269&lt;=15,3,IF(H269&lt;=60,4))))</f>
        <v>4</v>
      </c>
      <c r="C269" s="60"/>
      <c r="D269" s="9" t="s">
        <v>68</v>
      </c>
      <c r="E269" s="8">
        <v>153359759</v>
      </c>
      <c r="F269" s="7">
        <v>46017</v>
      </c>
      <c r="G269" s="16" t="s">
        <v>20</v>
      </c>
      <c r="H269" s="310">
        <f>IF(OR(G269="Sin pagar",G269="Pagar"),NETWORKDAYS($J$113,F269,'Festivos Colombia'!$A$3:$A$22),0)</f>
        <v>0</v>
      </c>
      <c r="I269" s="310">
        <f>NETWORKDAYS($J$113,F269,'Festivos Colombia'!$A$3:$A$22)</f>
        <v>20</v>
      </c>
      <c r="J269" s="46">
        <f t="shared" si="139"/>
        <v>0</v>
      </c>
      <c r="K269" s="58"/>
      <c r="L269" s="8"/>
      <c r="M269" s="8"/>
      <c r="N269" s="53"/>
    </row>
    <row r="270" spans="1:24" s="16" customFormat="1" outlineLevel="1">
      <c r="C270" s="60"/>
      <c r="D270" s="9" t="s">
        <v>685</v>
      </c>
      <c r="E270" s="8">
        <v>30816811</v>
      </c>
      <c r="F270" s="7">
        <v>46017</v>
      </c>
      <c r="G270" s="16" t="s">
        <v>20</v>
      </c>
      <c r="H270" s="310">
        <f>IF(OR(G270="Sin pagar",G270="Pagar"),NETWORKDAYS($J$113,F270,'Festivos Colombia'!$A$3:$A$22),0)</f>
        <v>0</v>
      </c>
      <c r="I270" s="310">
        <f>NETWORKDAYS($J$113,F270,'Festivos Colombia'!$A$3:$A$22)</f>
        <v>20</v>
      </c>
      <c r="J270" s="46">
        <f t="shared" si="139"/>
        <v>0</v>
      </c>
      <c r="K270" s="58"/>
      <c r="L270" s="8"/>
      <c r="M270" s="8"/>
      <c r="N270" s="53"/>
    </row>
    <row r="271" spans="1:24" s="16" customFormat="1" outlineLevel="1">
      <c r="C271" s="60"/>
      <c r="D271" s="9" t="s">
        <v>686</v>
      </c>
      <c r="E271" s="8">
        <v>3082036</v>
      </c>
      <c r="F271" s="7">
        <v>46017</v>
      </c>
      <c r="G271" s="16" t="s">
        <v>20</v>
      </c>
      <c r="H271" s="310">
        <f>IF(OR(G271="Sin pagar",G271="Pagar"),NETWORKDAYS($J$113,F271,'Festivos Colombia'!$A$3:$A$22),0)</f>
        <v>0</v>
      </c>
      <c r="I271" s="310">
        <f>NETWORKDAYS($J$113,F271,'Festivos Colombia'!$A$3:$A$22)</f>
        <v>20</v>
      </c>
      <c r="J271" s="46">
        <f t="shared" si="139"/>
        <v>0</v>
      </c>
      <c r="K271" s="58"/>
      <c r="L271" s="8"/>
      <c r="M271" s="8"/>
      <c r="N271" s="53"/>
    </row>
    <row r="272" spans="1:24" s="16" customFormat="1" outlineLevel="1">
      <c r="C272" s="60"/>
      <c r="D272" s="9" t="s">
        <v>697</v>
      </c>
      <c r="E272" s="8">
        <v>14249491</v>
      </c>
      <c r="F272" s="7">
        <v>46017</v>
      </c>
      <c r="G272" s="16" t="s">
        <v>20</v>
      </c>
      <c r="H272" s="310">
        <f>IF(OR(G272="Sin pagar",G272="Pagar"),NETWORKDAYS($J$113,F272,'Festivos Colombia'!$A$3:$A$22),0)</f>
        <v>0</v>
      </c>
      <c r="I272" s="310">
        <f>NETWORKDAYS($J$113,F272,'Festivos Colombia'!$A$3:$A$22)</f>
        <v>20</v>
      </c>
      <c r="J272" s="46">
        <f t="shared" si="139"/>
        <v>0</v>
      </c>
      <c r="K272" s="58"/>
      <c r="L272" s="8"/>
      <c r="M272" s="8"/>
      <c r="N272" s="53"/>
    </row>
    <row r="273" spans="1:14" s="16" customFormat="1" outlineLevel="1">
      <c r="C273" s="60"/>
      <c r="D273" s="9" t="s">
        <v>696</v>
      </c>
      <c r="E273" s="8">
        <v>664934660</v>
      </c>
      <c r="F273" s="7">
        <v>46017</v>
      </c>
      <c r="G273" s="16" t="s">
        <v>20</v>
      </c>
      <c r="H273" s="310">
        <f>IF(OR(G273="Sin pagar",G273="Pagar"),NETWORKDAYS($J$113,F273,'Festivos Colombia'!$A$3:$A$22),0)</f>
        <v>0</v>
      </c>
      <c r="I273" s="310">
        <f>NETWORKDAYS($J$113,F273,'Festivos Colombia'!$A$3:$A$22)</f>
        <v>20</v>
      </c>
      <c r="J273" s="46">
        <f t="shared" si="139"/>
        <v>0</v>
      </c>
      <c r="K273" s="58"/>
      <c r="L273" s="8"/>
      <c r="M273" s="8"/>
      <c r="N273" s="53"/>
    </row>
    <row r="274" spans="1:14" s="16" customFormat="1" outlineLevel="1">
      <c r="C274" s="60"/>
      <c r="D274" s="9" t="s">
        <v>698</v>
      </c>
      <c r="E274" s="8">
        <v>9162105</v>
      </c>
      <c r="F274" s="7">
        <v>46017</v>
      </c>
      <c r="G274" s="16" t="s">
        <v>20</v>
      </c>
      <c r="H274" s="310">
        <f>IF(OR(G274="Sin pagar",G274="Pagar"),NETWORKDAYS($J$113,F274,'Festivos Colombia'!$A$3:$A$22),0)</f>
        <v>0</v>
      </c>
      <c r="I274" s="310">
        <f>NETWORKDAYS($J$113,F274,'Festivos Colombia'!$A$3:$A$22)</f>
        <v>20</v>
      </c>
      <c r="J274" s="46">
        <f t="shared" si="139"/>
        <v>0</v>
      </c>
      <c r="K274" s="58"/>
      <c r="L274" s="8"/>
      <c r="M274" s="8"/>
      <c r="N274" s="53"/>
    </row>
    <row r="275" spans="1:14" s="16" customFormat="1" outlineLevel="1">
      <c r="C275" s="60"/>
      <c r="D275" s="9" t="s">
        <v>699</v>
      </c>
      <c r="E275" s="8">
        <v>17197968</v>
      </c>
      <c r="F275" s="7">
        <v>46017</v>
      </c>
      <c r="G275" s="16" t="s">
        <v>20</v>
      </c>
      <c r="H275" s="310">
        <f>IF(OR(G275="Sin pagar",G275="Pagar"),NETWORKDAYS($J$113,F275,'Festivos Colombia'!$A$3:$A$22),0)</f>
        <v>0</v>
      </c>
      <c r="I275" s="310">
        <f>NETWORKDAYS($J$113,F275,'Festivos Colombia'!$A$3:$A$22)</f>
        <v>20</v>
      </c>
      <c r="J275" s="46">
        <f t="shared" si="139"/>
        <v>0</v>
      </c>
      <c r="K275" s="58"/>
      <c r="L275" s="8"/>
      <c r="M275" s="8"/>
      <c r="N275" s="53"/>
    </row>
    <row r="276" spans="1:14" s="16" customFormat="1" outlineLevel="1">
      <c r="C276" s="60"/>
      <c r="D276" s="9" t="s">
        <v>688</v>
      </c>
      <c r="E276" s="8">
        <v>6348420</v>
      </c>
      <c r="F276" s="7">
        <v>46017</v>
      </c>
      <c r="G276" s="16" t="s">
        <v>20</v>
      </c>
      <c r="H276" s="310">
        <f>IF(OR(G276="Sin pagar",G276="Pagar"),NETWORKDAYS($J$113,F276,'Festivos Colombia'!$A$3:$A$22),0)</f>
        <v>0</v>
      </c>
      <c r="I276" s="310">
        <f>NETWORKDAYS($J$113,F276,'Festivos Colombia'!$A$3:$A$22)</f>
        <v>20</v>
      </c>
      <c r="J276" s="46">
        <f t="shared" si="139"/>
        <v>0</v>
      </c>
      <c r="K276" s="58"/>
      <c r="L276" s="8"/>
      <c r="M276" s="8"/>
      <c r="N276" s="53"/>
    </row>
    <row r="277" spans="1:14" s="16" customFormat="1" outlineLevel="1">
      <c r="C277" s="60"/>
      <c r="D277" s="9" t="s">
        <v>689</v>
      </c>
      <c r="E277" s="8">
        <v>47381400</v>
      </c>
      <c r="F277" s="7">
        <v>46017</v>
      </c>
      <c r="G277" s="16" t="s">
        <v>20</v>
      </c>
      <c r="H277" s="310">
        <f>IF(OR(G277="Sin pagar",G277="Pagar"),NETWORKDAYS($J$113,F277,'Festivos Colombia'!$A$3:$A$22),0)</f>
        <v>0</v>
      </c>
      <c r="I277" s="310">
        <f>NETWORKDAYS($J$113,F277,'Festivos Colombia'!$A$3:$A$22)</f>
        <v>20</v>
      </c>
      <c r="J277" s="46">
        <f t="shared" si="139"/>
        <v>0</v>
      </c>
      <c r="K277" s="58"/>
      <c r="L277" s="8"/>
      <c r="M277" s="8"/>
      <c r="N277" s="53"/>
    </row>
    <row r="278" spans="1:14" s="16" customFormat="1" outlineLevel="1">
      <c r="C278" s="60"/>
      <c r="D278" s="481" t="s">
        <v>690</v>
      </c>
      <c r="E278" s="8">
        <v>7474153</v>
      </c>
      <c r="F278" s="7">
        <v>46017</v>
      </c>
      <c r="G278" s="16" t="s">
        <v>20</v>
      </c>
      <c r="H278" s="310">
        <f>IF(OR(G278="Sin pagar",G278="Pagar"),NETWORKDAYS($J$113,F278,'Festivos Colombia'!$A$3:$A$22),0)</f>
        <v>0</v>
      </c>
      <c r="I278" s="310">
        <f>NETWORKDAYS($J$113,F278,'Festivos Colombia'!$A$3:$A$22)</f>
        <v>20</v>
      </c>
      <c r="J278" s="46">
        <f t="shared" si="139"/>
        <v>0</v>
      </c>
      <c r="K278" s="58"/>
      <c r="L278" s="8"/>
      <c r="M278" s="8"/>
      <c r="N278" s="53"/>
    </row>
    <row r="279" spans="1:14" s="16" customFormat="1" outlineLevel="1">
      <c r="C279" s="60"/>
      <c r="D279" s="9" t="s">
        <v>691</v>
      </c>
      <c r="E279" s="8">
        <v>29239605</v>
      </c>
      <c r="F279" s="7">
        <v>46017</v>
      </c>
      <c r="G279" s="16" t="s">
        <v>20</v>
      </c>
      <c r="H279" s="310">
        <f>IF(OR(G279="Sin pagar",G279="Pagar"),NETWORKDAYS($J$113,F279,'Festivos Colombia'!$A$3:$A$22),0)</f>
        <v>0</v>
      </c>
      <c r="I279" s="310">
        <f>NETWORKDAYS($J$113,F279,'Festivos Colombia'!$A$3:$A$22)</f>
        <v>20</v>
      </c>
      <c r="J279" s="46">
        <f t="shared" si="139"/>
        <v>0</v>
      </c>
      <c r="K279" s="58"/>
      <c r="L279" s="8"/>
      <c r="M279" s="8"/>
      <c r="N279" s="53"/>
    </row>
    <row r="280" spans="1:14" s="16" customFormat="1" outlineLevel="1">
      <c r="C280" s="60"/>
      <c r="D280" s="9" t="s">
        <v>692</v>
      </c>
      <c r="E280" s="8">
        <v>3076200</v>
      </c>
      <c r="F280" s="7">
        <v>46017</v>
      </c>
      <c r="G280" s="16" t="s">
        <v>20</v>
      </c>
      <c r="H280" s="310">
        <f>IF(OR(G280="Sin pagar",G280="Pagar"),NETWORKDAYS($J$113,F280,'Festivos Colombia'!$A$3:$A$22),0)</f>
        <v>0</v>
      </c>
      <c r="I280" s="310">
        <f>NETWORKDAYS($J$113,F280,'Festivos Colombia'!$A$3:$A$22)</f>
        <v>20</v>
      </c>
      <c r="J280" s="46">
        <f t="shared" si="139"/>
        <v>0</v>
      </c>
      <c r="K280" s="58"/>
      <c r="L280" s="8"/>
      <c r="M280" s="8"/>
      <c r="N280" s="53"/>
    </row>
    <row r="281" spans="1:14" s="16" customFormat="1" outlineLevel="1">
      <c r="C281" s="60"/>
      <c r="D281" s="9" t="s">
        <v>693</v>
      </c>
      <c r="E281" s="8">
        <v>3840000</v>
      </c>
      <c r="F281" s="7">
        <v>46017</v>
      </c>
      <c r="G281" s="16" t="s">
        <v>20</v>
      </c>
      <c r="H281" s="310">
        <f>IF(OR(G281="Sin pagar",G281="Pagar"),NETWORKDAYS($J$113,F281,'Festivos Colombia'!$A$3:$A$22),0)</f>
        <v>0</v>
      </c>
      <c r="I281" s="310">
        <f>NETWORKDAYS($J$113,F281,'Festivos Colombia'!$A$3:$A$22)</f>
        <v>20</v>
      </c>
      <c r="J281" s="46">
        <f t="shared" si="139"/>
        <v>0</v>
      </c>
      <c r="K281" s="58"/>
      <c r="L281" s="8"/>
      <c r="M281" s="8"/>
      <c r="N281" s="53"/>
    </row>
    <row r="282" spans="1:14" s="16" customFormat="1" outlineLevel="1">
      <c r="C282" s="60"/>
      <c r="D282" s="9" t="s">
        <v>694</v>
      </c>
      <c r="E282" s="8">
        <v>49116885</v>
      </c>
      <c r="F282" s="7">
        <v>46017</v>
      </c>
      <c r="G282" s="16" t="s">
        <v>20</v>
      </c>
      <c r="H282" s="310">
        <f>IF(OR(G282="Sin pagar",G282="Pagar"),NETWORKDAYS($J$113,F282,'Festivos Colombia'!$A$3:$A$22),0)</f>
        <v>0</v>
      </c>
      <c r="I282" s="310">
        <f>NETWORKDAYS($J$113,F282,'Festivos Colombia'!$A$3:$A$22)</f>
        <v>20</v>
      </c>
      <c r="J282" s="46">
        <f t="shared" si="139"/>
        <v>0</v>
      </c>
      <c r="K282" s="58"/>
      <c r="L282" s="8"/>
      <c r="M282" s="8"/>
      <c r="N282" s="53"/>
    </row>
    <row r="283" spans="1:14" s="16" customFormat="1" outlineLevel="1">
      <c r="C283" s="60"/>
      <c r="D283" s="9" t="s">
        <v>695</v>
      </c>
      <c r="E283" s="8">
        <v>31504846</v>
      </c>
      <c r="F283" s="7">
        <v>46017</v>
      </c>
      <c r="G283" s="16" t="s">
        <v>20</v>
      </c>
      <c r="H283" s="310">
        <f>IF(OR(G283="Sin pagar",G283="Pagar"),NETWORKDAYS($J$113,F283,'Festivos Colombia'!$A$3:$A$22),0)</f>
        <v>0</v>
      </c>
      <c r="I283" s="310">
        <f>NETWORKDAYS($J$113,F283,'Festivos Colombia'!$A$3:$A$22)</f>
        <v>20</v>
      </c>
      <c r="J283" s="46">
        <f t="shared" si="139"/>
        <v>0</v>
      </c>
      <c r="K283" s="58"/>
      <c r="L283" s="8"/>
      <c r="M283" s="8"/>
      <c r="N283" s="53"/>
    </row>
    <row r="284" spans="1:14" s="16" customFormat="1" outlineLevel="1">
      <c r="C284" s="60"/>
      <c r="D284" s="9" t="s">
        <v>687</v>
      </c>
      <c r="E284" s="8">
        <f>318129873</f>
        <v>318129873</v>
      </c>
      <c r="F284" s="7">
        <v>46017</v>
      </c>
      <c r="G284" s="16" t="s">
        <v>20</v>
      </c>
      <c r="H284" s="310">
        <f>IF(OR(G284="Sin pagar",G284="Pagar"),NETWORKDAYS($J$113,F284,'Festivos Colombia'!$A$3:$A$22),0)</f>
        <v>0</v>
      </c>
      <c r="I284" s="310">
        <f>NETWORKDAYS($J$113,F284,'Festivos Colombia'!$A$3:$A$22)</f>
        <v>20</v>
      </c>
      <c r="J284" s="46">
        <f>H284</f>
        <v>0</v>
      </c>
      <c r="K284" s="58"/>
      <c r="L284" s="8"/>
      <c r="M284" s="8"/>
      <c r="N284" s="53"/>
    </row>
    <row r="285" spans="1:14" s="16" customFormat="1" outlineLevel="1">
      <c r="A285" s="16" t="str">
        <f>G285</f>
        <v>Cancelado</v>
      </c>
      <c r="B285" s="16">
        <f>IF(I285&lt;=-1,1,IF(I285&lt;=5,2,IF(I285&lt;=15,3,IF(H285&lt;=60,4))))</f>
        <v>4</v>
      </c>
      <c r="C285" s="60" t="s">
        <v>114</v>
      </c>
      <c r="D285" s="9" t="s">
        <v>123</v>
      </c>
      <c r="E285" s="8">
        <v>998629</v>
      </c>
      <c r="F285" s="7">
        <v>46017</v>
      </c>
      <c r="G285" s="16" t="s">
        <v>20</v>
      </c>
      <c r="H285" s="310">
        <f>IF(OR(G285="Sin pagar",G285="Pagar"),NETWORKDAYS($J$113,F285,'Festivos Colombia'!$A$3:$A$22),0)</f>
        <v>0</v>
      </c>
      <c r="I285" s="310">
        <f>NETWORKDAYS($J$113,F285,'Festivos Colombia'!$A$3:$A$22)</f>
        <v>20</v>
      </c>
      <c r="J285" s="46">
        <f t="shared" ref="J285:J286" si="142">H285</f>
        <v>0</v>
      </c>
      <c r="K285" s="58"/>
      <c r="M285" s="25"/>
    </row>
    <row r="286" spans="1:14" s="16" customFormat="1" outlineLevel="1">
      <c r="A286" s="16" t="str">
        <f>G286</f>
        <v>Cancelado</v>
      </c>
      <c r="B286" s="16">
        <f>IF(I286&lt;=-1,1,IF(I286&lt;=5,2,IF(I286&lt;=15,3,IF(H286&lt;=60,4))))</f>
        <v>4</v>
      </c>
      <c r="C286" s="56" t="s">
        <v>724</v>
      </c>
      <c r="D286" s="9" t="s">
        <v>70</v>
      </c>
      <c r="E286" s="8">
        <v>14143501.556</v>
      </c>
      <c r="F286" s="7">
        <v>46017</v>
      </c>
      <c r="G286" s="16" t="s">
        <v>20</v>
      </c>
      <c r="H286" s="310">
        <f>IF(OR(G286="Sin pagar",G286="Pagar"),NETWORKDAYS($J$113,F286,'Festivos Colombia'!$A$3:$A$22),0)</f>
        <v>0</v>
      </c>
      <c r="I286" s="310">
        <f>NETWORKDAYS($J$113,F286,'Festivos Colombia'!$A$3:$A$22)</f>
        <v>20</v>
      </c>
      <c r="J286" s="46">
        <f t="shared" si="142"/>
        <v>0</v>
      </c>
      <c r="K286" s="58"/>
      <c r="M286" s="25"/>
    </row>
    <row r="287" spans="1:14" s="16" customFormat="1" outlineLevel="1">
      <c r="C287" s="60"/>
      <c r="D287" s="9" t="s">
        <v>725</v>
      </c>
      <c r="E287" s="8">
        <v>5713000</v>
      </c>
      <c r="F287" s="7">
        <v>46017</v>
      </c>
      <c r="G287" s="16" t="s">
        <v>20</v>
      </c>
      <c r="H287" s="310">
        <f>IF(OR(G287="Sin pagar",G287="Pagar"),NETWORKDAYS($J$113,F287,'Festivos Colombia'!$A$3:$A$22),0)</f>
        <v>0</v>
      </c>
      <c r="I287" s="310">
        <f>NETWORKDAYS($J$113,F287,'Festivos Colombia'!$A$3:$A$22)</f>
        <v>20</v>
      </c>
      <c r="J287" s="46">
        <f>H287</f>
        <v>0</v>
      </c>
      <c r="K287" s="58"/>
      <c r="L287" s="8"/>
      <c r="M287" s="8"/>
      <c r="N287" s="53"/>
    </row>
    <row r="288" spans="1:14" s="16" customFormat="1" outlineLevel="1">
      <c r="A288" s="16" t="str">
        <f t="shared" ref="A288" si="143">G288</f>
        <v>Cancelado</v>
      </c>
      <c r="B288" s="16">
        <f t="shared" ref="B288" si="144">IF(I288&lt;=-1,1,IF(I288&lt;=5,2,IF(I288&lt;=15,3,IF(H288&lt;=60,4))))</f>
        <v>4</v>
      </c>
      <c r="C288" s="60" t="s">
        <v>131</v>
      </c>
      <c r="D288" s="9" t="s">
        <v>153</v>
      </c>
      <c r="E288" s="492">
        <f>8724001*0</f>
        <v>0</v>
      </c>
      <c r="F288" s="7">
        <v>46021</v>
      </c>
      <c r="G288" s="16" t="s">
        <v>20</v>
      </c>
      <c r="H288" s="310">
        <f>IF(OR(G288="Sin pagar",G288="Pagar"),NETWORKDAYS($J$113,F288,'Festivos Colombia'!$A$3:$A$22),0)</f>
        <v>0</v>
      </c>
      <c r="I288" s="310">
        <f>NETWORKDAYS($J$113,F288,'Festivos Colombia'!$A$3:$A$22)</f>
        <v>22</v>
      </c>
      <c r="J288" s="46">
        <f>H288</f>
        <v>0</v>
      </c>
      <c r="K288" s="58"/>
      <c r="L288" s="8"/>
      <c r="M288" s="8"/>
      <c r="N288" s="53"/>
    </row>
    <row r="289" spans="1:24" s="16" customFormat="1" ht="15.75" outlineLevel="1" thickBot="1">
      <c r="C289" s="60"/>
      <c r="D289" s="9" t="s">
        <v>749</v>
      </c>
      <c r="E289" s="8">
        <v>35912233</v>
      </c>
      <c r="F289" s="7">
        <v>46024</v>
      </c>
      <c r="G289" s="16" t="s">
        <v>20</v>
      </c>
      <c r="H289" s="310">
        <f>IF(OR(G289="Sin pagar",G289="Pagar"),NETWORKDAYS($J$113,F289,'Festivos Colombia'!$A$3:$A$22),0)</f>
        <v>0</v>
      </c>
      <c r="I289" s="310">
        <f>NETWORKDAYS($J$113,F289,'Festivos Colombia'!$A$3:$A$22)</f>
        <v>24</v>
      </c>
      <c r="J289" s="46">
        <f>H289</f>
        <v>0</v>
      </c>
      <c r="K289" s="58"/>
      <c r="L289" s="8"/>
      <c r="M289" s="8"/>
      <c r="N289" s="53"/>
    </row>
    <row r="290" spans="1:24" s="16" customFormat="1" ht="16.5" thickBot="1">
      <c r="C290" s="24"/>
      <c r="D290" s="351" t="s">
        <v>71</v>
      </c>
      <c r="E290" s="352">
        <f>SUBTOTAL(9,E291:E300)</f>
        <v>29726803</v>
      </c>
      <c r="J290" s="46"/>
      <c r="K290" s="25"/>
    </row>
    <row r="291" spans="1:24" s="16" customFormat="1" outlineLevel="1">
      <c r="A291" s="16" t="e">
        <f>#REF!</f>
        <v>#REF!</v>
      </c>
      <c r="B291" s="16">
        <f t="shared" ref="B291:B296" si="145">IF(I291&lt;=-1,1,IF(I291&lt;=5,2,IF(I291&lt;=15,3,IF(H291&lt;=60,4))))</f>
        <v>2</v>
      </c>
      <c r="C291" s="24"/>
      <c r="D291" s="9" t="s">
        <v>494</v>
      </c>
      <c r="E291" s="8">
        <f>2183270*0</f>
        <v>0</v>
      </c>
      <c r="F291" s="7">
        <v>45992</v>
      </c>
      <c r="G291" s="16" t="s">
        <v>20</v>
      </c>
      <c r="H291" s="16">
        <f>IF(OR(G291="Sin pagar",G291="Pagar"),NETWORKDAYS($J$113,F291,'Festivos Colombia'!$A$3:$A$22),0)</f>
        <v>0</v>
      </c>
      <c r="I291" s="16">
        <f>NETWORKDAYS($J$113,F291,'Festivos Colombia'!$A$3:$A$22)</f>
        <v>1</v>
      </c>
      <c r="J291" s="46">
        <f t="shared" ref="J291:J296" si="146">H291</f>
        <v>0</v>
      </c>
      <c r="K291" s="58"/>
      <c r="L291" s="25"/>
      <c r="M291" s="41"/>
    </row>
    <row r="292" spans="1:24" s="16" customFormat="1" outlineLevel="1">
      <c r="A292" s="16" t="e">
        <f>#REF!</f>
        <v>#REF!</v>
      </c>
      <c r="B292" s="16">
        <f t="shared" si="145"/>
        <v>2</v>
      </c>
      <c r="C292" s="24"/>
      <c r="D292" s="9" t="s">
        <v>493</v>
      </c>
      <c r="E292" s="8">
        <f>15505265*0</f>
        <v>0</v>
      </c>
      <c r="F292" s="7">
        <v>45992</v>
      </c>
      <c r="G292" s="16" t="s">
        <v>20</v>
      </c>
      <c r="H292" s="16">
        <f>IF(OR(G292="Sin pagar",G292="Pagar"),NETWORKDAYS($J$113,F292,'Festivos Colombia'!$A$3:$A$22),0)</f>
        <v>0</v>
      </c>
      <c r="I292" s="16">
        <f>NETWORKDAYS($J$113,F292,'Festivos Colombia'!$A$3:$A$22)</f>
        <v>1</v>
      </c>
      <c r="J292" s="46">
        <f t="shared" si="146"/>
        <v>0</v>
      </c>
      <c r="K292" s="58"/>
      <c r="L292" s="25"/>
      <c r="M292" s="41"/>
    </row>
    <row r="293" spans="1:24" s="16" customFormat="1" outlineLevel="1">
      <c r="A293" s="16" t="str">
        <f>G295</f>
        <v>Cancelado</v>
      </c>
      <c r="B293" s="16">
        <f t="shared" si="145"/>
        <v>2</v>
      </c>
      <c r="C293" s="24"/>
      <c r="D293" s="9" t="s">
        <v>492</v>
      </c>
      <c r="E293" s="8">
        <f>21137500*0</f>
        <v>0</v>
      </c>
      <c r="F293" s="7">
        <v>45992</v>
      </c>
      <c r="G293" s="16" t="s">
        <v>20</v>
      </c>
      <c r="H293" s="16">
        <f>IF(OR(G293="Sin pagar",G293="Pagar"),NETWORKDAYS($J$113,F293,'Festivos Colombia'!$A$3:$A$22),0)</f>
        <v>0</v>
      </c>
      <c r="I293" s="16">
        <f>NETWORKDAYS($J$113,F293,'Festivos Colombia'!$A$3:$A$22)</f>
        <v>1</v>
      </c>
      <c r="J293" s="46">
        <f t="shared" si="146"/>
        <v>0</v>
      </c>
      <c r="K293" s="58"/>
      <c r="L293" s="25"/>
      <c r="M293" s="41"/>
    </row>
    <row r="294" spans="1:24" s="16" customFormat="1" outlineLevel="1">
      <c r="A294" s="16" t="str">
        <f>G293</f>
        <v>Cancelado</v>
      </c>
      <c r="B294" s="16">
        <f t="shared" si="145"/>
        <v>2</v>
      </c>
      <c r="C294" s="24"/>
      <c r="D294" s="9" t="s">
        <v>499</v>
      </c>
      <c r="E294" s="8">
        <f>615735*0</f>
        <v>0</v>
      </c>
      <c r="F294" s="7">
        <v>45993</v>
      </c>
      <c r="G294" s="16" t="s">
        <v>20</v>
      </c>
      <c r="H294" s="16">
        <f>IF(OR(G294="Sin pagar",G294="Pagar"),NETWORKDAYS($J$113,F294,'Festivos Colombia'!$A$3:$A$22),0)</f>
        <v>0</v>
      </c>
      <c r="I294" s="16">
        <f>NETWORKDAYS($J$113,F294,'Festivos Colombia'!$A$3:$A$22)</f>
        <v>2</v>
      </c>
      <c r="J294" s="46">
        <f t="shared" si="146"/>
        <v>0</v>
      </c>
      <c r="K294" s="58"/>
      <c r="L294" s="25"/>
      <c r="M294" s="41"/>
    </row>
    <row r="295" spans="1:24" s="16" customFormat="1" outlineLevel="1">
      <c r="A295" s="16" t="str">
        <f t="shared" ref="A295:A300" si="147">G291</f>
        <v>Cancelado</v>
      </c>
      <c r="B295" s="16">
        <f t="shared" si="145"/>
        <v>2</v>
      </c>
      <c r="C295" s="24"/>
      <c r="D295" s="9" t="s">
        <v>491</v>
      </c>
      <c r="E295" s="8">
        <f>12528247*0</f>
        <v>0</v>
      </c>
      <c r="F295" s="7">
        <v>45994</v>
      </c>
      <c r="G295" s="16" t="s">
        <v>20</v>
      </c>
      <c r="H295" s="16">
        <f>IF(OR(G295="Sin pagar",G295="Pagar"),NETWORKDAYS($J$113,F295,'Festivos Colombia'!$A$3:$A$22),0)</f>
        <v>0</v>
      </c>
      <c r="I295" s="16">
        <f>NETWORKDAYS($J$113,F295,'Festivos Colombia'!$A$3:$A$22)</f>
        <v>3</v>
      </c>
      <c r="J295" s="46">
        <f t="shared" si="146"/>
        <v>0</v>
      </c>
      <c r="K295" s="58"/>
      <c r="L295" s="25"/>
      <c r="M295" s="41"/>
    </row>
    <row r="296" spans="1:24" s="16" customFormat="1" outlineLevel="1">
      <c r="A296" s="16" t="str">
        <f t="shared" si="147"/>
        <v>Cancelado</v>
      </c>
      <c r="B296" s="16">
        <f t="shared" si="145"/>
        <v>3</v>
      </c>
      <c r="C296" s="24"/>
      <c r="D296" s="9" t="s">
        <v>611</v>
      </c>
      <c r="E296" s="8">
        <v>5452107</v>
      </c>
      <c r="F296" s="7">
        <v>46007</v>
      </c>
      <c r="G296" s="16" t="s">
        <v>20</v>
      </c>
      <c r="H296" s="16">
        <f>IF(OR(G296="Sin pagar",G296="Pagar"),NETWORKDAYS($J$113,F296,'Festivos Colombia'!$A$3:$A$22),0)</f>
        <v>0</v>
      </c>
      <c r="I296" s="16">
        <f>NETWORKDAYS($J$113,F296,'Festivos Colombia'!$A$3:$A$22)</f>
        <v>12</v>
      </c>
      <c r="J296" s="46">
        <f t="shared" si="146"/>
        <v>0</v>
      </c>
      <c r="K296" s="58"/>
      <c r="L296" s="25"/>
      <c r="M296" s="41"/>
    </row>
    <row r="297" spans="1:24" s="16" customFormat="1" outlineLevel="1">
      <c r="A297" s="16" t="str">
        <f t="shared" si="147"/>
        <v>Cancelado</v>
      </c>
      <c r="B297" s="16">
        <f t="shared" ref="B297" si="148">IF(I297&lt;=-1,1,IF(I297&lt;=5,2,IF(I297&lt;=15,3,IF(H297&lt;=60,4))))</f>
        <v>3</v>
      </c>
      <c r="C297" s="24"/>
      <c r="D297" s="9" t="s">
        <v>642</v>
      </c>
      <c r="E297" s="8">
        <v>2219210</v>
      </c>
      <c r="F297" s="7">
        <v>46010</v>
      </c>
      <c r="G297" s="16" t="s">
        <v>20</v>
      </c>
      <c r="H297" s="16">
        <f>IF(OR(G297="Sin pagar",G297="Pagar"),NETWORKDAYS($J$113,F297,'Festivos Colombia'!$A$3:$A$22),0)</f>
        <v>0</v>
      </c>
      <c r="I297" s="16">
        <f>NETWORKDAYS($J$113,F297,'Festivos Colombia'!$A$3:$A$22)</f>
        <v>15</v>
      </c>
      <c r="J297" s="46">
        <f t="shared" ref="J297" si="149">H297</f>
        <v>0</v>
      </c>
      <c r="K297" s="58"/>
      <c r="L297" s="25"/>
      <c r="M297" s="41"/>
    </row>
    <row r="298" spans="1:24" s="16" customFormat="1" outlineLevel="1">
      <c r="A298" s="16" t="str">
        <f t="shared" si="147"/>
        <v>Cancelado</v>
      </c>
      <c r="B298" s="16">
        <f t="shared" ref="B298:B299" si="150">IF(I298&lt;=-1,1,IF(I298&lt;=5,2,IF(I298&lt;=15,3,IF(H298&lt;=60,4))))</f>
        <v>4</v>
      </c>
      <c r="C298" s="24"/>
      <c r="D298" s="9" t="s">
        <v>729</v>
      </c>
      <c r="E298" s="8">
        <v>2309494</v>
      </c>
      <c r="F298" s="7">
        <v>46020</v>
      </c>
      <c r="G298" s="16" t="s">
        <v>20</v>
      </c>
      <c r="H298" s="16">
        <f>IF(OR(G298="Sin pagar",G298="Pagar"),NETWORKDAYS($J$113,F298,'Festivos Colombia'!$A$3:$A$22),0)</f>
        <v>0</v>
      </c>
      <c r="I298" s="16">
        <f>NETWORKDAYS($J$113,F298,'Festivos Colombia'!$A$3:$A$22)</f>
        <v>21</v>
      </c>
      <c r="J298" s="46">
        <f t="shared" ref="J298:J299" si="151">H298</f>
        <v>0</v>
      </c>
      <c r="K298" s="58"/>
      <c r="L298" s="25"/>
      <c r="M298" s="41"/>
    </row>
    <row r="299" spans="1:24" s="16" customFormat="1" outlineLevel="1">
      <c r="A299" s="16" t="str">
        <f t="shared" si="147"/>
        <v>Cancelado</v>
      </c>
      <c r="B299" s="16">
        <f t="shared" si="150"/>
        <v>4</v>
      </c>
      <c r="C299" s="24"/>
      <c r="D299" s="9" t="s">
        <v>757</v>
      </c>
      <c r="E299" s="8">
        <v>11757931</v>
      </c>
      <c r="F299" s="7">
        <v>46027</v>
      </c>
      <c r="G299" s="16" t="s">
        <v>20</v>
      </c>
      <c r="H299" s="16">
        <f>IF(OR(G299="Sin pagar",G299="Pagar"),NETWORKDAYS($J$113,F299,'Festivos Colombia'!$A$3:$A$22),0)</f>
        <v>0</v>
      </c>
      <c r="I299" s="16">
        <f>NETWORKDAYS($J$113,F299,'Festivos Colombia'!$A$3:$A$22)</f>
        <v>25</v>
      </c>
      <c r="J299" s="46">
        <f t="shared" si="151"/>
        <v>0</v>
      </c>
      <c r="K299" s="58"/>
      <c r="L299" s="25"/>
      <c r="M299" s="41"/>
    </row>
    <row r="300" spans="1:24" s="16" customFormat="1" ht="15.75" outlineLevel="1" thickBot="1">
      <c r="A300" s="16" t="str">
        <f t="shared" si="147"/>
        <v>Cancelado</v>
      </c>
      <c r="B300" s="16">
        <f t="shared" ref="B300" si="152">IF(I300&lt;=-1,1,IF(I300&lt;=5,2,IF(I300&lt;=15,3,IF(H300&lt;=60,4))))</f>
        <v>4</v>
      </c>
      <c r="C300" s="24"/>
      <c r="D300" s="9" t="s">
        <v>758</v>
      </c>
      <c r="E300" s="8">
        <v>7988061</v>
      </c>
      <c r="F300" s="7">
        <v>46027</v>
      </c>
      <c r="G300" s="16" t="s">
        <v>20</v>
      </c>
      <c r="H300" s="16">
        <f>IF(OR(G300="Sin pagar",G300="Pagar"),NETWORKDAYS($J$113,F300,'Festivos Colombia'!$A$3:$A$22),0)</f>
        <v>0</v>
      </c>
      <c r="I300" s="16">
        <f>NETWORKDAYS($J$113,F300,'Festivos Colombia'!$A$3:$A$22)</f>
        <v>25</v>
      </c>
      <c r="J300" s="46">
        <f t="shared" ref="J300" si="153">H300</f>
        <v>0</v>
      </c>
      <c r="K300" s="58"/>
      <c r="L300" s="25"/>
      <c r="M300" s="41"/>
    </row>
    <row r="301" spans="1:24" s="16" customFormat="1" ht="16.5" thickBot="1">
      <c r="C301" s="36"/>
      <c r="D301" s="351" t="s">
        <v>72</v>
      </c>
      <c r="E301" s="352">
        <f>SUBTOTAL(9,E302:E324)</f>
        <v>33033398</v>
      </c>
      <c r="J301" s="46"/>
      <c r="K301" s="25"/>
      <c r="M301" s="25"/>
    </row>
    <row r="302" spans="1:24" s="16" customFormat="1" ht="15" customHeight="1" outlineLevel="1">
      <c r="A302" s="310" t="str">
        <f>G302</f>
        <v>Cancelado</v>
      </c>
      <c r="B302" s="310">
        <f>IF(I302&lt;=-1,1,IF(I302&lt;=5,2,IF(I302&lt;=15,3,IF(H302&lt;=60,4))))</f>
        <v>2</v>
      </c>
      <c r="C302" s="325" t="s">
        <v>489</v>
      </c>
      <c r="D302" s="9" t="s">
        <v>490</v>
      </c>
      <c r="E302" s="350">
        <f>540842*0</f>
        <v>0</v>
      </c>
      <c r="F302" s="353">
        <v>45992</v>
      </c>
      <c r="G302" s="16" t="s">
        <v>20</v>
      </c>
      <c r="H302" s="310">
        <f>IF(OR(G302="Sin pagar",G302="Pagar"),NETWORKDAYS($J$113,F302,'Festivos Colombia'!$A$3:$A$22),0)</f>
        <v>0</v>
      </c>
      <c r="I302" s="310">
        <f>NETWORKDAYS($J$113,F302,'Festivos Colombia'!$A$3:$A$22)</f>
        <v>1</v>
      </c>
      <c r="J302" s="46">
        <f>H302</f>
        <v>0</v>
      </c>
      <c r="K302" s="312"/>
      <c r="L302" s="310"/>
      <c r="M302" s="313"/>
      <c r="N302" s="310"/>
      <c r="O302" s="310"/>
      <c r="P302" s="310"/>
      <c r="Q302" s="310"/>
      <c r="R302" s="310"/>
      <c r="S302" s="310"/>
      <c r="T302" s="310"/>
      <c r="U302" s="310"/>
      <c r="V302" s="310"/>
      <c r="W302" s="310"/>
      <c r="X302" s="310"/>
    </row>
    <row r="303" spans="1:24" s="16" customFormat="1" ht="15" customHeight="1" outlineLevel="1">
      <c r="A303" s="310" t="str">
        <f>G303</f>
        <v>Cancelado</v>
      </c>
      <c r="B303" s="310">
        <f>IF(I303&lt;=-1,1,IF(I303&lt;=5,2,IF(I303&lt;=15,3,IF(H303&lt;=60,4))))</f>
        <v>2</v>
      </c>
      <c r="C303" s="325"/>
      <c r="D303" s="417" t="s">
        <v>487</v>
      </c>
      <c r="E303" s="350">
        <f>2692417.88*0</f>
        <v>0</v>
      </c>
      <c r="F303" s="353">
        <v>45992</v>
      </c>
      <c r="G303" s="16" t="s">
        <v>20</v>
      </c>
      <c r="H303" s="310">
        <f>IF(OR(G303="Sin pagar",G303="Pagar"),NETWORKDAYS($J$113,F303,'Festivos Colombia'!$A$3:$A$22),0)</f>
        <v>0</v>
      </c>
      <c r="I303" s="310">
        <f>NETWORKDAYS($J$113,F303,'Festivos Colombia'!$A$3:$A$22)</f>
        <v>1</v>
      </c>
      <c r="J303" s="46">
        <f>H303</f>
        <v>0</v>
      </c>
      <c r="K303" s="312"/>
      <c r="L303" s="310"/>
      <c r="M303" s="313"/>
      <c r="N303" s="310"/>
      <c r="O303" s="310"/>
      <c r="P303" s="310"/>
      <c r="Q303" s="310"/>
      <c r="R303" s="310"/>
      <c r="S303" s="310"/>
      <c r="T303" s="310"/>
      <c r="U303" s="310"/>
      <c r="V303" s="310"/>
      <c r="W303" s="310"/>
      <c r="X303" s="310"/>
    </row>
    <row r="304" spans="1:24" s="16" customFormat="1" ht="15" customHeight="1" outlineLevel="1">
      <c r="A304" s="310" t="str">
        <f>G304</f>
        <v>Cancelado</v>
      </c>
      <c r="B304" s="310">
        <f>IF(I304&lt;=-1,1,IF(I304&lt;=5,2,IF(I304&lt;=15,3,IF(H304&lt;=60,4))))</f>
        <v>2</v>
      </c>
      <c r="C304" s="325"/>
      <c r="D304" s="418" t="s">
        <v>495</v>
      </c>
      <c r="E304" s="350">
        <f>2568594*0</f>
        <v>0</v>
      </c>
      <c r="F304" s="353">
        <v>45992</v>
      </c>
      <c r="G304" s="16" t="s">
        <v>20</v>
      </c>
      <c r="H304" s="310">
        <f>IF(OR(G304="Sin pagar",G304="Pagar"),NETWORKDAYS($J$113,F304,'Festivos Colombia'!$A$3:$A$22),0)</f>
        <v>0</v>
      </c>
      <c r="I304" s="310">
        <f>NETWORKDAYS($J$113,F304,'Festivos Colombia'!$A$3:$A$22)</f>
        <v>1</v>
      </c>
      <c r="J304" s="46">
        <f>H304</f>
        <v>0</v>
      </c>
      <c r="K304" s="312"/>
      <c r="L304" s="310"/>
      <c r="M304" s="313"/>
      <c r="N304" s="310"/>
      <c r="O304" s="310"/>
      <c r="P304" s="310"/>
      <c r="Q304" s="310"/>
      <c r="R304" s="310"/>
      <c r="S304" s="310"/>
      <c r="T304" s="310"/>
      <c r="U304" s="310"/>
      <c r="V304" s="310"/>
      <c r="W304" s="310"/>
      <c r="X304" s="310"/>
    </row>
    <row r="305" spans="1:24" s="16" customFormat="1" ht="15" customHeight="1" outlineLevel="1">
      <c r="A305" s="310" t="str">
        <f>G305</f>
        <v>Cancelado</v>
      </c>
      <c r="B305" s="310">
        <f>IF(I305&lt;=-1,1,IF(I305&lt;=5,2,IF(I305&lt;=15,3,IF(H305&lt;=60,4))))</f>
        <v>2</v>
      </c>
      <c r="C305" s="325"/>
      <c r="D305" s="417" t="s">
        <v>487</v>
      </c>
      <c r="E305" s="350">
        <f>2029500*0</f>
        <v>0</v>
      </c>
      <c r="F305" s="353">
        <v>45993</v>
      </c>
      <c r="G305" s="16" t="s">
        <v>20</v>
      </c>
      <c r="H305" s="310">
        <f>IF(OR(G305="Sin pagar",G305="Pagar"),NETWORKDAYS($J$113,F305,'Festivos Colombia'!$A$3:$A$22),0)</f>
        <v>0</v>
      </c>
      <c r="I305" s="310">
        <f>NETWORKDAYS($J$113,F305,'Festivos Colombia'!$A$3:$A$22)</f>
        <v>2</v>
      </c>
      <c r="J305" s="46">
        <f>H305</f>
        <v>0</v>
      </c>
      <c r="K305" s="312"/>
      <c r="L305" s="310"/>
      <c r="M305" s="313"/>
      <c r="N305" s="310"/>
      <c r="O305" s="310"/>
      <c r="P305" s="310"/>
      <c r="Q305" s="310"/>
      <c r="R305" s="310"/>
      <c r="S305" s="310"/>
      <c r="T305" s="310"/>
      <c r="U305" s="310"/>
      <c r="V305" s="310"/>
      <c r="W305" s="310"/>
      <c r="X305" s="310"/>
    </row>
    <row r="306" spans="1:24" s="16" customFormat="1" ht="15" customHeight="1" outlineLevel="1">
      <c r="A306" s="310" t="str">
        <f>G306</f>
        <v>Cancelado</v>
      </c>
      <c r="B306" s="310">
        <f>IF(I306&lt;=-1,1,IF(I306&lt;=5,2,IF(I306&lt;=15,3,IF(H306&lt;=60,4))))</f>
        <v>2</v>
      </c>
      <c r="C306" s="325" t="s">
        <v>519</v>
      </c>
      <c r="D306" s="425" t="s">
        <v>520</v>
      </c>
      <c r="E306" s="350">
        <v>1386476</v>
      </c>
      <c r="F306" s="353">
        <v>45994</v>
      </c>
      <c r="G306" s="16" t="s">
        <v>20</v>
      </c>
      <c r="H306" s="310">
        <f>IF(OR(G306="Sin pagar",G306="Pagar"),NETWORKDAYS($J$113,F306,'Festivos Colombia'!$A$3:$A$22),0)</f>
        <v>0</v>
      </c>
      <c r="I306" s="310">
        <f>NETWORKDAYS($J$113,F306,'Festivos Colombia'!$A$3:$A$22)</f>
        <v>3</v>
      </c>
      <c r="J306" s="46">
        <f>H306</f>
        <v>0</v>
      </c>
      <c r="K306" s="312"/>
      <c r="L306" s="310"/>
      <c r="M306" s="313"/>
      <c r="N306" s="310"/>
      <c r="O306" s="310"/>
      <c r="P306" s="310"/>
      <c r="Q306" s="310"/>
      <c r="R306" s="310"/>
      <c r="S306" s="310"/>
      <c r="T306" s="310"/>
      <c r="U306" s="310"/>
      <c r="V306" s="310"/>
      <c r="W306" s="310"/>
      <c r="X306" s="310"/>
    </row>
    <row r="307" spans="1:24" s="16" customFormat="1" ht="15" customHeight="1" outlineLevel="1">
      <c r="A307" s="310" t="str">
        <f t="shared" ref="A307" si="154">G307</f>
        <v>Cancelado</v>
      </c>
      <c r="B307" s="310">
        <f t="shared" ref="B307" si="155">IF(I307&lt;=-1,1,IF(I307&lt;=5,2,IF(I307&lt;=15,3,IF(H307&lt;=60,4))))</f>
        <v>2</v>
      </c>
      <c r="C307" s="325" t="s">
        <v>155</v>
      </c>
      <c r="D307" s="9" t="s">
        <v>521</v>
      </c>
      <c r="E307" s="350">
        <v>596688</v>
      </c>
      <c r="F307" s="353">
        <v>45994</v>
      </c>
      <c r="G307" s="16" t="s">
        <v>20</v>
      </c>
      <c r="H307" s="310">
        <f>IF(OR(G307="Sin pagar",G307="Pagar"),NETWORKDAYS($J$113,F307,'Festivos Colombia'!$A$3:$A$22),0)</f>
        <v>0</v>
      </c>
      <c r="I307" s="310">
        <f>NETWORKDAYS($J$113,F307,'Festivos Colombia'!$A$3:$A$22)</f>
        <v>3</v>
      </c>
      <c r="J307" s="46">
        <f t="shared" ref="J307" si="156">H307</f>
        <v>0</v>
      </c>
      <c r="K307" s="312"/>
      <c r="L307" s="310"/>
      <c r="M307" s="313"/>
      <c r="N307" s="310"/>
      <c r="O307" s="310"/>
      <c r="P307" s="310"/>
      <c r="Q307" s="310"/>
      <c r="R307" s="310"/>
      <c r="S307" s="310"/>
      <c r="T307" s="310"/>
      <c r="U307" s="310"/>
      <c r="V307" s="310"/>
      <c r="W307" s="310"/>
      <c r="X307" s="310"/>
    </row>
    <row r="308" spans="1:24" s="16" customFormat="1" ht="15" customHeight="1" outlineLevel="1">
      <c r="A308" s="310" t="str">
        <f t="shared" ref="A308:A323" si="157">G308</f>
        <v>Cancelado</v>
      </c>
      <c r="B308" s="310">
        <f t="shared" ref="B308:B323" si="158">IF(I308&lt;=-1,1,IF(I308&lt;=5,2,IF(I308&lt;=15,3,IF(H308&lt;=60,4))))</f>
        <v>2</v>
      </c>
      <c r="C308" s="325"/>
      <c r="D308" s="347" t="s">
        <v>157</v>
      </c>
      <c r="E308" s="350">
        <f>(1056000*50%)</f>
        <v>528000</v>
      </c>
      <c r="F308" s="353">
        <v>45995</v>
      </c>
      <c r="G308" s="16" t="s">
        <v>20</v>
      </c>
      <c r="H308" s="310">
        <f>IF(OR(G308="Sin pagar",G308="Pagar"),NETWORKDAYS($J$113,F308,'Festivos Colombia'!$A$3:$A$22),0)</f>
        <v>0</v>
      </c>
      <c r="I308" s="310">
        <f>NETWORKDAYS($J$113,F308,'Festivos Colombia'!$A$3:$A$22)</f>
        <v>4</v>
      </c>
      <c r="J308" s="46">
        <f t="shared" ref="J308:J323" si="159">H308</f>
        <v>0</v>
      </c>
      <c r="K308" s="312"/>
      <c r="L308" s="310"/>
      <c r="M308" s="313"/>
      <c r="N308" s="310"/>
      <c r="O308" s="310"/>
      <c r="P308" s="310"/>
      <c r="Q308" s="310"/>
      <c r="R308" s="310"/>
      <c r="S308" s="310"/>
      <c r="T308" s="310"/>
      <c r="U308" s="310"/>
      <c r="V308" s="310"/>
      <c r="W308" s="310"/>
      <c r="X308" s="310"/>
    </row>
    <row r="309" spans="1:24" s="16" customFormat="1" ht="15" customHeight="1" outlineLevel="1">
      <c r="A309" s="310" t="str">
        <f t="shared" si="157"/>
        <v>Cancelado</v>
      </c>
      <c r="B309" s="310">
        <f t="shared" si="158"/>
        <v>2</v>
      </c>
      <c r="C309" s="325"/>
      <c r="D309" s="425" t="s">
        <v>522</v>
      </c>
      <c r="E309" s="8">
        <f>(7125750/2)</f>
        <v>3562875</v>
      </c>
      <c r="F309" s="353">
        <v>45995</v>
      </c>
      <c r="G309" s="16" t="s">
        <v>20</v>
      </c>
      <c r="H309" s="310">
        <f>IF(OR(G309="Sin pagar",G309="Pagar"),NETWORKDAYS($J$113,F309,'Festivos Colombia'!$A$3:$A$22),0)</f>
        <v>0</v>
      </c>
      <c r="I309" s="310">
        <f>NETWORKDAYS($J$113,F309,'Festivos Colombia'!$A$3:$A$22)</f>
        <v>4</v>
      </c>
      <c r="J309" s="46">
        <f t="shared" si="159"/>
        <v>0</v>
      </c>
      <c r="K309" s="312"/>
      <c r="L309" s="310"/>
      <c r="M309" s="313"/>
      <c r="N309" s="310"/>
      <c r="O309" s="310"/>
      <c r="P309" s="310"/>
      <c r="Q309" s="310"/>
      <c r="R309" s="310"/>
      <c r="S309" s="310"/>
      <c r="T309" s="310"/>
      <c r="U309" s="310"/>
      <c r="V309" s="310"/>
      <c r="W309" s="310"/>
      <c r="X309" s="310"/>
    </row>
    <row r="310" spans="1:24" s="16" customFormat="1" ht="15" customHeight="1" outlineLevel="1">
      <c r="A310" s="310" t="str">
        <f t="shared" si="157"/>
        <v>Cancelado</v>
      </c>
      <c r="B310" s="310">
        <f t="shared" si="158"/>
        <v>2</v>
      </c>
      <c r="C310" s="325" t="s">
        <v>559</v>
      </c>
      <c r="D310" s="438" t="s">
        <v>560</v>
      </c>
      <c r="E310" s="8">
        <v>1001300</v>
      </c>
      <c r="F310" s="353">
        <v>45995</v>
      </c>
      <c r="G310" s="16" t="s">
        <v>20</v>
      </c>
      <c r="H310" s="310">
        <f>IF(OR(G310="Sin pagar",G310="Pagar"),NETWORKDAYS($J$113,F310,'Festivos Colombia'!$A$3:$A$22),0)</f>
        <v>0</v>
      </c>
      <c r="I310" s="310">
        <f>NETWORKDAYS($J$113,F310,'Festivos Colombia'!$A$3:$A$22)</f>
        <v>4</v>
      </c>
      <c r="J310" s="46">
        <f t="shared" si="159"/>
        <v>0</v>
      </c>
      <c r="K310" s="312"/>
      <c r="L310" s="310"/>
      <c r="M310" s="313"/>
      <c r="N310" s="310"/>
      <c r="O310" s="310"/>
      <c r="P310" s="310"/>
      <c r="Q310" s="310"/>
      <c r="R310" s="310"/>
      <c r="S310" s="310"/>
      <c r="T310" s="310"/>
      <c r="U310" s="310"/>
      <c r="V310" s="310"/>
      <c r="W310" s="310"/>
      <c r="X310" s="310"/>
    </row>
    <row r="311" spans="1:24" s="16" customFormat="1" ht="15" customHeight="1" outlineLevel="1">
      <c r="A311" s="310" t="str">
        <f t="shared" si="157"/>
        <v>Cancelado</v>
      </c>
      <c r="B311" s="310">
        <f t="shared" si="158"/>
        <v>3</v>
      </c>
      <c r="C311" s="325"/>
      <c r="D311" s="442" t="s">
        <v>154</v>
      </c>
      <c r="E311" s="8">
        <v>1569837</v>
      </c>
      <c r="F311" s="353">
        <v>46001</v>
      </c>
      <c r="G311" s="16" t="s">
        <v>20</v>
      </c>
      <c r="H311" s="310">
        <f>IF(OR(G311="Sin pagar",G311="Pagar"),NETWORKDAYS($J$113,F311,'Festivos Colombia'!$A$3:$A$22),0)</f>
        <v>0</v>
      </c>
      <c r="I311" s="310">
        <f>NETWORKDAYS($J$113,F311,'Festivos Colombia'!$A$3:$A$22)</f>
        <v>8</v>
      </c>
      <c r="J311" s="46">
        <f t="shared" si="159"/>
        <v>0</v>
      </c>
      <c r="K311" s="312"/>
      <c r="L311" s="310"/>
      <c r="M311" s="313"/>
      <c r="N311" s="310"/>
      <c r="O311" s="310"/>
      <c r="P311" s="310"/>
      <c r="Q311" s="310"/>
      <c r="R311" s="310"/>
      <c r="S311" s="310"/>
      <c r="T311" s="310"/>
      <c r="U311" s="310"/>
      <c r="V311" s="310"/>
      <c r="W311" s="310"/>
      <c r="X311" s="310"/>
    </row>
    <row r="312" spans="1:24" s="16" customFormat="1" ht="15" customHeight="1" outlineLevel="1">
      <c r="A312" s="310" t="str">
        <f t="shared" ref="A312" si="160">G312</f>
        <v>Cancelado</v>
      </c>
      <c r="B312" s="310">
        <f t="shared" ref="B312" si="161">IF(I312&lt;=-1,1,IF(I312&lt;=5,2,IF(I312&lt;=15,3,IF(H312&lt;=60,4))))</f>
        <v>3</v>
      </c>
      <c r="C312" s="325"/>
      <c r="D312" s="460" t="s">
        <v>629</v>
      </c>
      <c r="E312" s="8">
        <v>2137321</v>
      </c>
      <c r="F312" s="353">
        <v>46008</v>
      </c>
      <c r="G312" s="16" t="s">
        <v>20</v>
      </c>
      <c r="H312" s="310">
        <f>IF(OR(G312="Sin pagar",G312="Pagar"),NETWORKDAYS($J$113,F312,'Festivos Colombia'!$A$3:$A$22),0)</f>
        <v>0</v>
      </c>
      <c r="I312" s="310">
        <f>NETWORKDAYS($J$113,F312,'Festivos Colombia'!$A$3:$A$22)</f>
        <v>13</v>
      </c>
      <c r="J312" s="46">
        <f t="shared" ref="J312" si="162">H312</f>
        <v>0</v>
      </c>
      <c r="K312" s="312"/>
      <c r="L312" s="310"/>
      <c r="M312" s="313"/>
      <c r="N312" s="310"/>
      <c r="O312" s="310"/>
      <c r="P312" s="310"/>
      <c r="Q312" s="310"/>
      <c r="R312" s="310"/>
      <c r="S312" s="310"/>
      <c r="T312" s="310"/>
      <c r="U312" s="310"/>
      <c r="V312" s="310"/>
      <c r="W312" s="310"/>
      <c r="X312" s="310"/>
    </row>
    <row r="313" spans="1:24" s="16" customFormat="1" ht="15" customHeight="1" outlineLevel="1">
      <c r="A313" s="310" t="str">
        <f t="shared" ref="A313:A315" si="163">G313</f>
        <v>Cancelado</v>
      </c>
      <c r="B313" s="310">
        <f t="shared" ref="B313:B315" si="164">IF(I313&lt;=-1,1,IF(I313&lt;=5,2,IF(I313&lt;=15,3,IF(H313&lt;=60,4))))</f>
        <v>3</v>
      </c>
      <c r="C313" s="325"/>
      <c r="D313" s="461" t="s">
        <v>630</v>
      </c>
      <c r="E313" s="8">
        <v>2700000</v>
      </c>
      <c r="F313" s="353">
        <v>46008</v>
      </c>
      <c r="G313" s="16" t="s">
        <v>20</v>
      </c>
      <c r="H313" s="310">
        <f>IF(OR(G313="Sin pagar",G313="Pagar"),NETWORKDAYS($J$113,F313,'Festivos Colombia'!$A$3:$A$22),0)</f>
        <v>0</v>
      </c>
      <c r="I313" s="310">
        <f>NETWORKDAYS($J$113,F313,'Festivos Colombia'!$A$3:$A$22)</f>
        <v>13</v>
      </c>
      <c r="J313" s="46">
        <f t="shared" ref="J313:J315" si="165">H313</f>
        <v>0</v>
      </c>
      <c r="K313" s="312"/>
      <c r="L313" s="310"/>
      <c r="M313" s="313"/>
      <c r="N313" s="310"/>
      <c r="O313" s="310"/>
      <c r="P313" s="310"/>
      <c r="Q313" s="310"/>
      <c r="R313" s="310"/>
      <c r="S313" s="310"/>
      <c r="T313" s="310"/>
      <c r="U313" s="310"/>
      <c r="V313" s="310"/>
      <c r="W313" s="310"/>
      <c r="X313" s="310"/>
    </row>
    <row r="314" spans="1:24" s="16" customFormat="1" ht="15" customHeight="1" outlineLevel="1">
      <c r="A314" s="310" t="str">
        <f t="shared" si="163"/>
        <v>Cancelado</v>
      </c>
      <c r="B314" s="310">
        <f t="shared" si="164"/>
        <v>3</v>
      </c>
      <c r="C314" s="325"/>
      <c r="D314" s="464" t="s">
        <v>641</v>
      </c>
      <c r="E314" s="8">
        <v>376200</v>
      </c>
      <c r="F314" s="7">
        <v>46010</v>
      </c>
      <c r="G314" s="16" t="s">
        <v>20</v>
      </c>
      <c r="H314" s="310">
        <f>IF(OR(G314="Sin pagar",G314="Pagar"),NETWORKDAYS($J$113,F314,'Festivos Colombia'!$A$3:$A$22),0)</f>
        <v>0</v>
      </c>
      <c r="I314" s="310">
        <f>NETWORKDAYS($J$113,F314,'Festivos Colombia'!$A$3:$A$22)</f>
        <v>15</v>
      </c>
      <c r="J314" s="46">
        <f t="shared" si="165"/>
        <v>0</v>
      </c>
      <c r="K314" s="312"/>
      <c r="L314" s="310"/>
      <c r="M314" s="313"/>
      <c r="N314" s="310"/>
      <c r="O314" s="310"/>
      <c r="P314" s="310"/>
      <c r="Q314" s="310"/>
      <c r="R314" s="310"/>
      <c r="S314" s="310"/>
      <c r="T314" s="310"/>
      <c r="U314" s="310"/>
      <c r="V314" s="310"/>
      <c r="W314" s="310"/>
      <c r="X314" s="310"/>
    </row>
    <row r="315" spans="1:24" s="16" customFormat="1" ht="15" customHeight="1" outlineLevel="1">
      <c r="A315" s="310" t="str">
        <f t="shared" si="163"/>
        <v>Cancelado</v>
      </c>
      <c r="B315" s="310">
        <f t="shared" si="164"/>
        <v>3</v>
      </c>
      <c r="C315" s="325" t="s">
        <v>659</v>
      </c>
      <c r="D315" s="468" t="s">
        <v>660</v>
      </c>
      <c r="E315" s="8">
        <v>58905</v>
      </c>
      <c r="F315" s="7">
        <v>46010</v>
      </c>
      <c r="G315" s="16" t="s">
        <v>20</v>
      </c>
      <c r="H315" s="310">
        <f>IF(OR(G315="Sin pagar",G315="Pagar"),NETWORKDAYS($J$113,F315,'Festivos Colombia'!$A$3:$A$22),0)</f>
        <v>0</v>
      </c>
      <c r="I315" s="310">
        <f>NETWORKDAYS($J$113,F315,'Festivos Colombia'!$A$3:$A$22)</f>
        <v>15</v>
      </c>
      <c r="J315" s="46">
        <f t="shared" si="165"/>
        <v>0</v>
      </c>
      <c r="K315" s="312"/>
      <c r="L315" s="310"/>
      <c r="M315" s="313"/>
      <c r="N315" s="310"/>
      <c r="O315" s="310"/>
      <c r="P315" s="310"/>
      <c r="Q315" s="310"/>
      <c r="R315" s="310"/>
      <c r="S315" s="310"/>
      <c r="T315" s="310"/>
      <c r="U315" s="310"/>
      <c r="V315" s="310"/>
      <c r="W315" s="310"/>
      <c r="X315" s="310"/>
    </row>
    <row r="316" spans="1:24" s="16" customFormat="1" ht="15" customHeight="1" outlineLevel="1">
      <c r="A316" s="310" t="str">
        <f t="shared" ref="A316" si="166">G316</f>
        <v>Cancelado</v>
      </c>
      <c r="B316" s="310">
        <f t="shared" ref="B316" si="167">IF(I316&lt;=-1,1,IF(I316&lt;=5,2,IF(I316&lt;=15,3,IF(H316&lt;=60,4))))</f>
        <v>3</v>
      </c>
      <c r="C316" s="325"/>
      <c r="D316" s="469" t="s">
        <v>661</v>
      </c>
      <c r="E316" s="8">
        <v>786350</v>
      </c>
      <c r="F316" s="7">
        <v>46010</v>
      </c>
      <c r="G316" s="16" t="s">
        <v>20</v>
      </c>
      <c r="H316" s="310">
        <f>IF(OR(G316="Sin pagar",G316="Pagar"),NETWORKDAYS($J$113,F316,'Festivos Colombia'!$A$3:$A$22),0)</f>
        <v>0</v>
      </c>
      <c r="I316" s="310">
        <f>NETWORKDAYS($J$113,F316,'Festivos Colombia'!$A$3:$A$22)</f>
        <v>15</v>
      </c>
      <c r="J316" s="46">
        <f t="shared" ref="J316" si="168">H316</f>
        <v>0</v>
      </c>
      <c r="K316" s="312"/>
      <c r="L316" s="310"/>
      <c r="M316" s="313"/>
      <c r="N316" s="310"/>
      <c r="O316" s="310"/>
      <c r="P316" s="310"/>
      <c r="Q316" s="310"/>
      <c r="R316" s="310"/>
      <c r="S316" s="310"/>
      <c r="T316" s="310"/>
      <c r="U316" s="310"/>
      <c r="V316" s="310"/>
      <c r="W316" s="310"/>
      <c r="X316" s="310"/>
    </row>
    <row r="317" spans="1:24" s="16" customFormat="1" ht="15" customHeight="1" outlineLevel="1">
      <c r="A317" s="310" t="str">
        <f t="shared" ref="A317" si="169">G317</f>
        <v>Cancelado</v>
      </c>
      <c r="B317" s="310">
        <f t="shared" ref="B317" si="170">IF(I317&lt;=-1,1,IF(I317&lt;=5,2,IF(I317&lt;=15,3,IF(H317&lt;=60,4))))</f>
        <v>4</v>
      </c>
      <c r="C317" s="325"/>
      <c r="D317" s="482" t="s">
        <v>700</v>
      </c>
      <c r="E317" s="8">
        <v>12000000</v>
      </c>
      <c r="F317" s="7">
        <v>46014</v>
      </c>
      <c r="G317" s="16" t="s">
        <v>20</v>
      </c>
      <c r="H317" s="310">
        <f>IF(OR(G317="Sin pagar",G317="Pagar"),NETWORKDAYS($J$113,F317,'Festivos Colombia'!$A$3:$A$22),0)</f>
        <v>0</v>
      </c>
      <c r="I317" s="310">
        <f>NETWORKDAYS($J$113,F317,'Festivos Colombia'!$A$3:$A$22)</f>
        <v>17</v>
      </c>
      <c r="J317" s="46">
        <f t="shared" ref="J317" si="171">H317</f>
        <v>0</v>
      </c>
      <c r="K317" s="312"/>
      <c r="L317" s="310"/>
      <c r="M317" s="313"/>
      <c r="N317" s="310"/>
      <c r="O317" s="310"/>
      <c r="P317" s="310"/>
      <c r="Q317" s="310"/>
      <c r="R317" s="310"/>
      <c r="S317" s="310"/>
      <c r="T317" s="310"/>
      <c r="U317" s="310"/>
      <c r="V317" s="310"/>
      <c r="W317" s="310"/>
      <c r="X317" s="310"/>
    </row>
    <row r="318" spans="1:24" s="16" customFormat="1" ht="15" customHeight="1" outlineLevel="1">
      <c r="A318" s="310" t="str">
        <f t="shared" ref="A318" si="172">G318</f>
        <v>Cancelado</v>
      </c>
      <c r="B318" s="310">
        <f t="shared" ref="B318" si="173">IF(I318&lt;=-1,1,IF(I318&lt;=5,2,IF(I318&lt;=15,3,IF(H318&lt;=60,4))))</f>
        <v>4</v>
      </c>
      <c r="C318" s="325"/>
      <c r="D318" s="471" t="s">
        <v>666</v>
      </c>
      <c r="E318" s="8">
        <v>287700</v>
      </c>
      <c r="F318" s="7">
        <v>46014</v>
      </c>
      <c r="G318" s="16" t="s">
        <v>20</v>
      </c>
      <c r="H318" s="310">
        <f>IF(OR(G318="Sin pagar",G318="Pagar"),NETWORKDAYS($J$113,F318,'Festivos Colombia'!$A$3:$A$22),0)</f>
        <v>0</v>
      </c>
      <c r="I318" s="310">
        <f>NETWORKDAYS($J$113,F318,'Festivos Colombia'!$A$3:$A$22)</f>
        <v>17</v>
      </c>
      <c r="J318" s="46">
        <f t="shared" ref="J318" si="174">H318</f>
        <v>0</v>
      </c>
      <c r="K318" s="312"/>
      <c r="L318" s="310"/>
      <c r="M318" s="313"/>
      <c r="N318" s="310"/>
      <c r="O318" s="310"/>
      <c r="P318" s="310"/>
      <c r="Q318" s="310"/>
      <c r="R318" s="310"/>
      <c r="S318" s="310"/>
      <c r="T318" s="310"/>
      <c r="U318" s="310"/>
      <c r="V318" s="310"/>
      <c r="W318" s="310"/>
      <c r="X318" s="310"/>
    </row>
    <row r="319" spans="1:24" s="16" customFormat="1" ht="15" customHeight="1" outlineLevel="1">
      <c r="A319" s="310" t="str">
        <f t="shared" ref="A319" si="175">G319</f>
        <v>Cancelado</v>
      </c>
      <c r="B319" s="310">
        <f t="shared" ref="B319" si="176">IF(I319&lt;=-1,1,IF(I319&lt;=5,2,IF(I319&lt;=15,3,IF(H319&lt;=60,4))))</f>
        <v>4</v>
      </c>
      <c r="C319" s="325"/>
      <c r="D319" s="490" t="s">
        <v>727</v>
      </c>
      <c r="E319" s="8">
        <v>5000000</v>
      </c>
      <c r="F319" s="7">
        <v>46015</v>
      </c>
      <c r="G319" s="16" t="s">
        <v>20</v>
      </c>
      <c r="H319" s="310">
        <f>IF(OR(G319="Sin pagar",G319="Pagar"),NETWORKDAYS($J$113,F319,'Festivos Colombia'!$A$3:$A$22),0)</f>
        <v>0</v>
      </c>
      <c r="I319" s="310">
        <f>NETWORKDAYS($J$113,F319,'Festivos Colombia'!$A$3:$A$22)</f>
        <v>18</v>
      </c>
      <c r="J319" s="46">
        <f t="shared" ref="J319" si="177">H319</f>
        <v>0</v>
      </c>
      <c r="K319" s="312"/>
      <c r="L319" s="310"/>
      <c r="M319" s="313"/>
      <c r="N319" s="310"/>
      <c r="O319" s="310"/>
      <c r="P319" s="310"/>
      <c r="Q319" s="310"/>
      <c r="R319" s="310"/>
      <c r="S319" s="310"/>
      <c r="T319" s="310"/>
      <c r="U319" s="310"/>
      <c r="V319" s="310"/>
      <c r="W319" s="310"/>
      <c r="X319" s="310"/>
    </row>
    <row r="320" spans="1:24" s="16" customFormat="1" ht="15" customHeight="1" outlineLevel="1">
      <c r="A320" s="310" t="str">
        <f t="shared" ref="A320" si="178">G320</f>
        <v>Cancelado</v>
      </c>
      <c r="B320" s="310">
        <f t="shared" ref="B320" si="179">IF(I320&lt;=-1,1,IF(I320&lt;=5,2,IF(I320&lt;=15,3,IF(H320&lt;=60,4))))</f>
        <v>4</v>
      </c>
      <c r="C320" s="325"/>
      <c r="D320" s="491" t="s">
        <v>728</v>
      </c>
      <c r="E320" s="8">
        <v>221940</v>
      </c>
      <c r="F320" s="7">
        <v>46020</v>
      </c>
      <c r="G320" s="16" t="s">
        <v>20</v>
      </c>
      <c r="H320" s="310">
        <f>IF(OR(G320="Sin pagar",G320="Pagar"),NETWORKDAYS($J$113,F320,'Festivos Colombia'!$A$3:$A$22),0)</f>
        <v>0</v>
      </c>
      <c r="I320" s="310">
        <f>NETWORKDAYS($J$113,F320,'Festivos Colombia'!$A$3:$A$22)</f>
        <v>21</v>
      </c>
      <c r="J320" s="46">
        <f t="shared" ref="J320" si="180">H320</f>
        <v>0</v>
      </c>
      <c r="K320" s="312"/>
      <c r="L320" s="310"/>
      <c r="M320" s="313"/>
      <c r="N320" s="310"/>
      <c r="O320" s="310"/>
      <c r="P320" s="310"/>
      <c r="Q320" s="310"/>
      <c r="R320" s="310"/>
      <c r="S320" s="310"/>
      <c r="T320" s="310"/>
      <c r="U320" s="310"/>
      <c r="V320" s="310"/>
      <c r="W320" s="310"/>
      <c r="X320" s="310"/>
    </row>
    <row r="321" spans="1:24" s="16" customFormat="1" ht="15" customHeight="1" outlineLevel="1">
      <c r="A321" s="310" t="str">
        <f t="shared" ref="A321" si="181">G321</f>
        <v>Cancelado</v>
      </c>
      <c r="B321" s="310">
        <f t="shared" ref="B321" si="182">IF(I321&lt;=-1,1,IF(I321&lt;=5,2,IF(I321&lt;=15,3,IF(H321&lt;=60,4))))</f>
        <v>4</v>
      </c>
      <c r="C321" s="325"/>
      <c r="D321" s="493" t="s">
        <v>730</v>
      </c>
      <c r="E321" s="8">
        <v>42806</v>
      </c>
      <c r="F321" s="7">
        <v>46020</v>
      </c>
      <c r="G321" s="16" t="s">
        <v>20</v>
      </c>
      <c r="H321" s="310">
        <f>IF(OR(G321="Sin pagar",G321="Pagar"),NETWORKDAYS($J$113,F321,'Festivos Colombia'!$A$3:$A$22),0)</f>
        <v>0</v>
      </c>
      <c r="I321" s="310">
        <f>NETWORKDAYS($J$113,F321,'Festivos Colombia'!$A$3:$A$22)</f>
        <v>21</v>
      </c>
      <c r="J321" s="46">
        <f t="shared" ref="J321" si="183">H321</f>
        <v>0</v>
      </c>
      <c r="K321" s="312"/>
      <c r="L321" s="310"/>
      <c r="M321" s="313"/>
      <c r="N321" s="310"/>
      <c r="O321" s="310"/>
      <c r="P321" s="310"/>
      <c r="Q321" s="310"/>
      <c r="R321" s="310"/>
      <c r="S321" s="310"/>
      <c r="T321" s="310"/>
      <c r="U321" s="310"/>
      <c r="V321" s="310"/>
      <c r="W321" s="310"/>
      <c r="X321" s="310"/>
    </row>
    <row r="322" spans="1:24" s="16" customFormat="1" ht="15" customHeight="1" outlineLevel="1">
      <c r="A322" s="310" t="str">
        <f t="shared" ref="A322" si="184">G322</f>
        <v>Cancelado</v>
      </c>
      <c r="B322" s="310">
        <f t="shared" ref="B322" si="185">IF(I322&lt;=-1,1,IF(I322&lt;=5,2,IF(I322&lt;=15,3,IF(H322&lt;=60,4))))</f>
        <v>4</v>
      </c>
      <c r="C322" s="325" t="s">
        <v>748</v>
      </c>
      <c r="D322" s="497" t="s">
        <v>747</v>
      </c>
      <c r="E322" s="8">
        <v>777000</v>
      </c>
      <c r="F322" s="7">
        <v>46020</v>
      </c>
      <c r="G322" s="16" t="s">
        <v>20</v>
      </c>
      <c r="H322" s="310">
        <f>IF(OR(G322="Sin pagar",G322="Pagar"),NETWORKDAYS($J$113,F322,'Festivos Colombia'!$A$3:$A$22),0)</f>
        <v>0</v>
      </c>
      <c r="I322" s="310">
        <f>NETWORKDAYS($J$113,F322,'Festivos Colombia'!$A$3:$A$22)</f>
        <v>21</v>
      </c>
      <c r="J322" s="46">
        <f t="shared" ref="J322" si="186">H322</f>
        <v>0</v>
      </c>
      <c r="K322" s="312"/>
      <c r="L322" s="310"/>
      <c r="M322" s="313"/>
      <c r="N322" s="310"/>
      <c r="O322" s="310"/>
      <c r="P322" s="310"/>
      <c r="Q322" s="310"/>
      <c r="R322" s="310"/>
      <c r="S322" s="310"/>
      <c r="T322" s="310"/>
      <c r="U322" s="310"/>
      <c r="V322" s="310"/>
      <c r="W322" s="310"/>
      <c r="X322" s="310"/>
    </row>
    <row r="323" spans="1:24" s="16" customFormat="1" ht="15" customHeight="1" outlineLevel="1">
      <c r="A323" s="310" t="str">
        <f t="shared" si="157"/>
        <v>Cancelado</v>
      </c>
      <c r="B323" s="310">
        <f t="shared" si="158"/>
        <v>4</v>
      </c>
      <c r="C323" s="325"/>
      <c r="D323" s="9" t="s">
        <v>124</v>
      </c>
      <c r="E323" s="350">
        <f>((48512000+41000000))*0</f>
        <v>0</v>
      </c>
      <c r="F323" s="353">
        <v>46022</v>
      </c>
      <c r="G323" s="16" t="s">
        <v>20</v>
      </c>
      <c r="H323" s="310">
        <f>IF(OR(G323="Sin pagar",G323="Pagar"),NETWORKDAYS($J$113,F323,'Festivos Colombia'!$A$3:$A$22),0)</f>
        <v>0</v>
      </c>
      <c r="I323" s="310">
        <f>NETWORKDAYS($J$113,F323,'Festivos Colombia'!$A$3:$A$22)</f>
        <v>23</v>
      </c>
      <c r="J323" s="46">
        <f t="shared" si="159"/>
        <v>0</v>
      </c>
      <c r="K323" s="312"/>
      <c r="L323" s="310"/>
      <c r="M323" s="313"/>
      <c r="N323" s="310"/>
      <c r="O323" s="310"/>
      <c r="P323" s="310"/>
      <c r="Q323" s="310"/>
      <c r="R323" s="310"/>
      <c r="S323" s="310"/>
      <c r="T323" s="310"/>
      <c r="U323" s="310"/>
      <c r="V323" s="310"/>
      <c r="W323" s="310"/>
      <c r="X323" s="310"/>
    </row>
    <row r="324" spans="1:24" s="16" customFormat="1" ht="15" customHeight="1" outlineLevel="1" thickBot="1">
      <c r="A324" s="310" t="str">
        <f t="shared" ref="A324" si="187">G324</f>
        <v>Cancelado</v>
      </c>
      <c r="B324" s="310">
        <f t="shared" ref="B324" si="188">IF(I324&lt;=-1,1,IF(I324&lt;=5,2,IF(I324&lt;=15,3,IF(H324&lt;=60,4))))</f>
        <v>4</v>
      </c>
      <c r="C324" s="325"/>
      <c r="D324" s="347" t="s">
        <v>156</v>
      </c>
      <c r="E324" s="350">
        <f>20000000*0</f>
        <v>0</v>
      </c>
      <c r="F324" s="353">
        <v>46022</v>
      </c>
      <c r="G324" s="16" t="s">
        <v>20</v>
      </c>
      <c r="H324" s="310">
        <f>IF(OR(G324="Sin pagar",G324="Pagar"),NETWORKDAYS($J$113,F324,'Festivos Colombia'!$A$3:$A$22),0)</f>
        <v>0</v>
      </c>
      <c r="I324" s="310">
        <f>NETWORKDAYS($J$113,F324,'Festivos Colombia'!$A$3:$A$22)</f>
        <v>23</v>
      </c>
      <c r="J324" s="46">
        <f t="shared" ref="J324" si="189">H324</f>
        <v>0</v>
      </c>
      <c r="K324" s="312"/>
      <c r="L324" s="310"/>
      <c r="M324" s="313"/>
      <c r="N324" s="310"/>
      <c r="O324" s="310"/>
      <c r="P324" s="310"/>
      <c r="Q324" s="310"/>
      <c r="R324" s="310"/>
      <c r="S324" s="310"/>
      <c r="T324" s="310"/>
      <c r="U324" s="310"/>
      <c r="V324" s="310"/>
      <c r="W324" s="310"/>
      <c r="X324" s="310"/>
    </row>
    <row r="325" spans="1:24" s="16" customFormat="1" ht="14.25" customHeight="1">
      <c r="C325" s="24"/>
      <c r="D325" s="85" t="s">
        <v>73</v>
      </c>
      <c r="E325" s="360">
        <f>SUBTOTAL(9,E115:E324)</f>
        <v>2887281484.1103406</v>
      </c>
      <c r="L325" s="69"/>
      <c r="M325" s="69"/>
      <c r="N325" s="69"/>
      <c r="O325" s="69"/>
      <c r="S325" s="69"/>
      <c r="T325" s="69"/>
      <c r="U325" s="69"/>
    </row>
    <row r="326" spans="1:24" ht="15.75">
      <c r="B326" s="16"/>
      <c r="E326" s="346"/>
      <c r="F326" s="5"/>
      <c r="G326" s="5"/>
      <c r="H326" s="5"/>
      <c r="I326" s="5"/>
      <c r="J326" s="5"/>
      <c r="K326" s="5"/>
    </row>
    <row r="327" spans="1:24" ht="15.75">
      <c r="B327" s="16"/>
      <c r="D327" s="86" t="s">
        <v>74</v>
      </c>
      <c r="E327" s="4" t="e">
        <f>E110-E325</f>
        <v>#REF!</v>
      </c>
      <c r="F327" s="87"/>
      <c r="G327" s="88"/>
      <c r="J327" s="88"/>
      <c r="K327" s="88"/>
    </row>
    <row r="328" spans="1:24" s="89" customFormat="1" ht="15.75">
      <c r="B328" s="16"/>
      <c r="C328" s="90"/>
      <c r="D328" s="86" t="s">
        <v>75</v>
      </c>
      <c r="E328" s="91" t="e">
        <f>IF($E$110=0,0,E327/$E$110)</f>
        <v>#REF!</v>
      </c>
      <c r="F328" s="92"/>
      <c r="G328" s="361"/>
      <c r="J328" s="93"/>
      <c r="K328" s="88"/>
      <c r="L328" s="69"/>
      <c r="M328" s="69"/>
      <c r="N328" s="69"/>
      <c r="O328" s="69"/>
      <c r="S328" s="69"/>
      <c r="T328" s="69"/>
      <c r="U328" s="69"/>
    </row>
    <row r="329" spans="1:24" ht="15.75" thickBot="1">
      <c r="B329" s="16"/>
      <c r="E329" s="346"/>
      <c r="F329" s="92"/>
      <c r="G329" s="361"/>
      <c r="K329" s="88"/>
    </row>
    <row r="330" spans="1:24" s="16" customFormat="1" ht="15.75" thickBot="1">
      <c r="A330" s="69"/>
      <c r="C330" s="70"/>
      <c r="D330" s="173" t="s">
        <v>76</v>
      </c>
      <c r="E330" s="174"/>
      <c r="F330" s="362"/>
      <c r="G330" s="69"/>
      <c r="H330" s="69"/>
      <c r="I330" s="69"/>
      <c r="J330" s="69"/>
      <c r="K330" s="69"/>
      <c r="L330" s="69"/>
      <c r="M330" s="69"/>
      <c r="N330" s="69"/>
      <c r="O330" s="69"/>
      <c r="P330" s="69"/>
      <c r="Q330" s="69"/>
      <c r="R330" s="69"/>
      <c r="S330" s="69"/>
      <c r="T330" s="69"/>
      <c r="U330" s="69"/>
      <c r="V330" s="69"/>
      <c r="W330" s="69"/>
      <c r="X330" s="69"/>
    </row>
    <row r="331" spans="1:24">
      <c r="B331" s="16"/>
      <c r="D331" s="143" t="s">
        <v>77</v>
      </c>
      <c r="E331" s="363" t="s">
        <v>78</v>
      </c>
      <c r="F331" s="88"/>
    </row>
    <row r="332" spans="1:24">
      <c r="B332" s="16"/>
      <c r="D332" s="364" t="s">
        <v>79</v>
      </c>
      <c r="E332" s="365" t="s">
        <v>80</v>
      </c>
      <c r="F332" s="88"/>
    </row>
    <row r="334" spans="1:24">
      <c r="D334" s="813" t="s">
        <v>88</v>
      </c>
      <c r="E334" s="813"/>
      <c r="G334" s="274"/>
      <c r="J334" s="275"/>
    </row>
    <row r="335" spans="1:24" ht="5.25" customHeight="1">
      <c r="D335" s="366"/>
      <c r="E335" s="346"/>
      <c r="K335" s="101"/>
    </row>
    <row r="336" spans="1:24">
      <c r="D336" s="474" t="s">
        <v>669</v>
      </c>
      <c r="E336" s="346">
        <f>SUM(DISTRIBUCIÓN!F5:F11)*0</f>
        <v>0</v>
      </c>
      <c r="G336" s="88"/>
      <c r="K336" s="101"/>
    </row>
    <row r="337" spans="3:14" ht="15.75" thickBot="1">
      <c r="D337" s="366" t="s">
        <v>89</v>
      </c>
      <c r="E337" s="376">
        <f>(E336*4)/1000</f>
        <v>0</v>
      </c>
      <c r="G337" s="88"/>
      <c r="J337" s="340"/>
      <c r="K337" s="101"/>
    </row>
    <row r="338" spans="3:14" ht="15.75" thickTop="1">
      <c r="D338" s="94" t="s">
        <v>90</v>
      </c>
      <c r="E338" s="61">
        <f>E336+E337</f>
        <v>0</v>
      </c>
      <c r="G338" s="93"/>
      <c r="J338" s="61"/>
      <c r="K338" s="101"/>
    </row>
    <row r="339" spans="3:14">
      <c r="D339" s="94"/>
      <c r="E339" s="61"/>
      <c r="G339" s="88"/>
      <c r="J339" s="270"/>
      <c r="K339" s="101"/>
    </row>
    <row r="340" spans="3:14">
      <c r="D340" s="366"/>
      <c r="E340" s="346"/>
      <c r="F340" s="240"/>
      <c r="G340" s="88"/>
      <c r="K340" s="101"/>
    </row>
    <row r="341" spans="3:14">
      <c r="D341" s="502" t="s">
        <v>760</v>
      </c>
      <c r="E341" s="346">
        <v>146987261.63</v>
      </c>
      <c r="F341" s="346"/>
      <c r="G341" s="88"/>
      <c r="H341" s="240"/>
      <c r="I341" s="88"/>
      <c r="J341" s="240"/>
      <c r="K341" s="284"/>
      <c r="N341" s="362"/>
    </row>
    <row r="342" spans="3:14" ht="15.75" thickBot="1">
      <c r="D342" s="501" t="s">
        <v>761</v>
      </c>
      <c r="E342" s="376">
        <v>910456845.17999995</v>
      </c>
      <c r="F342" s="346"/>
      <c r="G342" s="88"/>
      <c r="H342" s="346"/>
      <c r="I342" s="346"/>
      <c r="J342" s="346"/>
      <c r="K342" s="346"/>
      <c r="L342" s="346"/>
      <c r="M342" s="88"/>
      <c r="N342" s="362"/>
    </row>
    <row r="343" spans="3:14" ht="15.75" thickTop="1">
      <c r="D343" s="103" t="s">
        <v>81</v>
      </c>
      <c r="E343" s="93">
        <f>SUM(E341:E342)</f>
        <v>1057444106.8099999</v>
      </c>
      <c r="F343" s="346"/>
      <c r="G343" s="88"/>
      <c r="H343" s="240"/>
      <c r="I343" s="88"/>
      <c r="J343" s="240"/>
      <c r="K343" s="101"/>
      <c r="N343" s="362"/>
    </row>
    <row r="344" spans="3:14" ht="9" customHeight="1">
      <c r="D344" s="367"/>
      <c r="E344" s="361"/>
      <c r="F344" s="346"/>
      <c r="K344" s="101"/>
      <c r="N344" s="362"/>
    </row>
    <row r="345" spans="3:14">
      <c r="D345" s="269" t="s">
        <v>91</v>
      </c>
      <c r="E345" s="270">
        <f>E343-E338</f>
        <v>1057444106.8099999</v>
      </c>
      <c r="F345" s="346"/>
      <c r="G345" s="88"/>
      <c r="H345" s="277"/>
      <c r="I345" s="277"/>
      <c r="J345" s="277"/>
      <c r="K345" s="278"/>
    </row>
    <row r="346" spans="3:14">
      <c r="D346" s="269"/>
      <c r="E346" s="270"/>
      <c r="F346" s="346"/>
      <c r="G346" s="88"/>
      <c r="J346" s="276"/>
      <c r="K346" s="101"/>
    </row>
    <row r="347" spans="3:14">
      <c r="D347" s="811"/>
      <c r="E347" s="812"/>
    </row>
    <row r="348" spans="3:14">
      <c r="D348" s="499" t="s">
        <v>762</v>
      </c>
      <c r="E348" s="314">
        <v>2611.5700000000002</v>
      </c>
    </row>
    <row r="349" spans="3:14">
      <c r="D349" s="499" t="s">
        <v>763</v>
      </c>
      <c r="E349" s="315">
        <v>22330573.579999998</v>
      </c>
      <c r="F349" s="369">
        <f>E349/505</f>
        <v>44218.957584158416</v>
      </c>
      <c r="G349" s="175">
        <f>F349+E350</f>
        <v>55637.1646252789</v>
      </c>
    </row>
    <row r="350" spans="3:14">
      <c r="C350" s="69"/>
      <c r="D350" s="499" t="s">
        <v>764</v>
      </c>
      <c r="E350" s="314">
        <v>11418.207041120482</v>
      </c>
    </row>
    <row r="351" spans="3:14">
      <c r="C351" s="69"/>
      <c r="D351" s="499" t="s">
        <v>765</v>
      </c>
      <c r="E351" s="315">
        <v>224335.36089999927</v>
      </c>
      <c r="F351" s="370">
        <f>E351/7.46</f>
        <v>30071.764195710359</v>
      </c>
      <c r="G351" s="175">
        <f>F351+E352</f>
        <v>37229.964195710359</v>
      </c>
      <c r="L351" s="372"/>
      <c r="M351" s="372"/>
    </row>
    <row r="352" spans="3:14">
      <c r="C352" s="69"/>
      <c r="D352" s="499" t="s">
        <v>766</v>
      </c>
      <c r="E352" s="314">
        <v>7158.2</v>
      </c>
    </row>
    <row r="353" spans="3:12">
      <c r="C353" s="69"/>
      <c r="D353" s="499" t="s">
        <v>767</v>
      </c>
      <c r="E353" s="316">
        <v>204896.53</v>
      </c>
      <c r="F353" s="377">
        <f>E353/3.31</f>
        <v>61902.274924471298</v>
      </c>
      <c r="G353" s="175">
        <f>F353+E354+F355+E356</f>
        <v>70375.344592145018</v>
      </c>
      <c r="K353" s="329">
        <f>+J353-E353</f>
        <v>-204896.53</v>
      </c>
      <c r="L353" s="329"/>
    </row>
    <row r="354" spans="3:12">
      <c r="C354" s="69"/>
      <c r="D354" s="499" t="s">
        <v>768</v>
      </c>
      <c r="E354" s="314">
        <v>8434.92</v>
      </c>
      <c r="F354" s="368"/>
      <c r="G354" s="341"/>
      <c r="J354" s="328"/>
    </row>
    <row r="355" spans="3:12">
      <c r="C355" s="69"/>
      <c r="D355" s="499" t="s">
        <v>769</v>
      </c>
      <c r="E355" s="316">
        <v>39.090000000000003</v>
      </c>
      <c r="F355" s="377">
        <f>E355/3.31</f>
        <v>11.809667673716014</v>
      </c>
      <c r="G355" s="341"/>
      <c r="J355" s="328"/>
    </row>
    <row r="356" spans="3:12">
      <c r="C356" s="69"/>
      <c r="D356" s="499" t="s">
        <v>770</v>
      </c>
      <c r="E356" s="314">
        <v>26.34</v>
      </c>
      <c r="J356" s="328"/>
    </row>
    <row r="357" spans="3:12">
      <c r="C357" s="69"/>
      <c r="D357" s="499" t="s">
        <v>771</v>
      </c>
      <c r="E357" s="331">
        <v>1974827.95</v>
      </c>
      <c r="F357" s="297"/>
      <c r="G357" s="171"/>
    </row>
    <row r="358" spans="3:12">
      <c r="C358" s="69"/>
      <c r="D358" s="499"/>
      <c r="E358" s="371"/>
      <c r="F358" s="371"/>
      <c r="G358" s="171"/>
    </row>
    <row r="359" spans="3:12" ht="16.5" customHeight="1">
      <c r="C359" s="69"/>
      <c r="D359" s="500" t="s">
        <v>772</v>
      </c>
      <c r="E359" s="315">
        <v>37826.01</v>
      </c>
      <c r="F359" s="119" t="s">
        <v>82</v>
      </c>
      <c r="J359" s="368"/>
      <c r="K359" s="170"/>
    </row>
    <row r="360" spans="3:12">
      <c r="C360" s="69"/>
      <c r="D360" s="243"/>
      <c r="E360" s="371"/>
      <c r="F360" s="371"/>
      <c r="G360" s="171"/>
    </row>
    <row r="362" spans="3:12">
      <c r="D362" s="366" t="s">
        <v>2</v>
      </c>
      <c r="E362" s="346">
        <v>13</v>
      </c>
    </row>
    <row r="363" spans="3:12">
      <c r="D363" s="366" t="s">
        <v>158</v>
      </c>
      <c r="E363" s="346">
        <v>17</v>
      </c>
    </row>
    <row r="364" spans="3:12">
      <c r="D364" s="366"/>
      <c r="E364" s="378"/>
    </row>
    <row r="368" spans="3:12">
      <c r="E368" s="457"/>
    </row>
    <row r="369" spans="5:7">
      <c r="E369" s="457"/>
    </row>
    <row r="370" spans="5:7">
      <c r="E370" s="457"/>
      <c r="F370" s="457"/>
      <c r="G370" s="171"/>
    </row>
    <row r="372" spans="5:7">
      <c r="E372" s="457"/>
    </row>
  </sheetData>
  <protectedRanges>
    <protectedRange sqref="E329 F110:G110 J60 E46:F46 E39:F39 E27:F27 E34:E38 L237 F37 E47:E50 J77:J80 J92:J94 E40:E45 E5:F11 E18:E26 E54:E58 L239 E237:E240" name="Presupuestos"/>
    <protectedRange sqref="E114" name="Presupuestos_1"/>
    <protectedRange sqref="E33:F33 E28:E32" name="Presupuestos_4"/>
    <protectedRange sqref="K133" name="Presupuestos_1_1_1_1"/>
    <protectedRange sqref="K268 K285:K286" name="Presupuestos_2_1"/>
    <protectedRange sqref="K232" name="Presupuestos_7"/>
    <protectedRange sqref="E127:E129" name="Presupuestos_10"/>
    <protectedRange sqref="E220 E134:E135 E205 E222 E138 E140:E142 E145:E149 E227 E229:E230" name="Presupuestos_13_1"/>
    <protectedRange sqref="E152:E154" name="Presupuestos_14"/>
    <protectedRange sqref="E156:E158" name="Presupuestos_2_3"/>
    <protectedRange sqref="E136:E137 E139 E206:E207 E209:E210 E216:E219 E214" name="Presupuestos_16_1"/>
    <protectedRange sqref="E211 E215" name="Presupuestos_5_1_2"/>
    <protectedRange sqref="E242:E250" name="Presupuestos_18"/>
    <protectedRange sqref="E253:E263" name="Presupuestos_20"/>
    <protectedRange sqref="E268 E285:E286" name="Presupuestos_5_2_1"/>
    <protectedRange sqref="E117" name="Presupuestos_6_2"/>
    <protectedRange sqref="E221" name="Presupuestos_5_3_1"/>
    <protectedRange sqref="E232" name="Presupuestos_7_1_1"/>
    <protectedRange sqref="J37:J38" name="Presupuestos_2"/>
    <protectedRange sqref="E170:E172 E174:E181" name="Presupuestos_15_1"/>
    <protectedRange sqref="E183:E200" name="Presupuestos_15_3"/>
    <protectedRange sqref="E228" name="Presupuestos_5_3_1_1"/>
    <protectedRange sqref="E251" name="Presupuestos_18_1"/>
    <protectedRange sqref="E208 E204" name="Presupuestos_16_1_2"/>
    <protectedRange sqref="E212:E213 E223:E226" name="Presupuestos_16_1_3"/>
    <protectedRange sqref="E143:E144 E150" name="Presupuestos_13_1_1"/>
  </protectedRanges>
  <autoFilter ref="C114:K324" xr:uid="{00000000-0009-0000-0000-000002000000}"/>
  <mergeCells count="2">
    <mergeCell ref="D347:E347"/>
    <mergeCell ref="D334:E334"/>
  </mergeCells>
  <conditionalFormatting sqref="J1:J12 J18:J333 J337:J1048576">
    <cfRule type="cellIs" dxfId="140" priority="17" operator="lessThan">
      <formula>0</formula>
    </cfRule>
    <cfRule type="cellIs" dxfId="139" priority="31" operator="between">
      <formula>1</formula>
      <formula>5</formula>
    </cfRule>
    <cfRule type="cellIs" dxfId="138" priority="32" operator="between">
      <formula>16</formula>
      <formula>60</formula>
    </cfRule>
  </conditionalFormatting>
  <conditionalFormatting sqref="J18:J333 J1:J12 J337:J1048576">
    <cfRule type="cellIs" dxfId="137" priority="30" operator="between">
      <formula>6</formula>
      <formula>15</formula>
    </cfRule>
  </conditionalFormatting>
  <conditionalFormatting sqref="J116:J120 J134:J150 J152:J154 J156:J158 J160:J165 J167:J168 J170:J172 J174:J181 J183:J200 J202 J204:J230 J237:J240 J253:J263 J265:J289 J291:J300 J302:J324">
    <cfRule type="cellIs" dxfId="136" priority="27" operator="between">
      <formula>6</formula>
      <formula>15</formula>
    </cfRule>
    <cfRule type="cellIs" dxfId="135" priority="28" operator="between">
      <formula>1</formula>
      <formula>5</formula>
    </cfRule>
    <cfRule type="cellIs" dxfId="134" priority="29" operator="between">
      <formula>16</formula>
      <formula>60</formula>
    </cfRule>
  </conditionalFormatting>
  <conditionalFormatting sqref="J122:J125">
    <cfRule type="cellIs" dxfId="133" priority="7" operator="between">
      <formula>6</formula>
      <formula>15</formula>
    </cfRule>
    <cfRule type="cellIs" dxfId="132" priority="8" operator="between">
      <formula>1</formula>
      <formula>5</formula>
    </cfRule>
    <cfRule type="cellIs" dxfId="131" priority="9" operator="between">
      <formula>16</formula>
      <formula>60</formula>
    </cfRule>
  </conditionalFormatting>
  <conditionalFormatting sqref="J127:J129">
    <cfRule type="cellIs" dxfId="130" priority="4" operator="between">
      <formula>6</formula>
      <formula>15</formula>
    </cfRule>
    <cfRule type="cellIs" dxfId="129" priority="5" operator="between">
      <formula>1</formula>
      <formula>5</formula>
    </cfRule>
    <cfRule type="cellIs" dxfId="128" priority="6" operator="between">
      <formula>16</formula>
      <formula>60</formula>
    </cfRule>
  </conditionalFormatting>
  <conditionalFormatting sqref="J232">
    <cfRule type="cellIs" dxfId="127" priority="21" operator="between">
      <formula>6</formula>
      <formula>15</formula>
    </cfRule>
    <cfRule type="cellIs" dxfId="126" priority="22" operator="between">
      <formula>1</formula>
      <formula>5</formula>
    </cfRule>
    <cfRule type="cellIs" dxfId="125" priority="23" operator="between">
      <formula>16</formula>
      <formula>60</formula>
    </cfRule>
  </conditionalFormatting>
  <conditionalFormatting sqref="J234:J235">
    <cfRule type="cellIs" dxfId="124" priority="18" operator="between">
      <formula>6</formula>
      <formula>15</formula>
    </cfRule>
    <cfRule type="cellIs" dxfId="123" priority="19" operator="between">
      <formula>1</formula>
      <formula>5</formula>
    </cfRule>
    <cfRule type="cellIs" dxfId="122" priority="20" operator="between">
      <formula>16</formula>
      <formula>60</formula>
    </cfRule>
  </conditionalFormatting>
  <conditionalFormatting sqref="K323">
    <cfRule type="cellIs" dxfId="121" priority="10" operator="lessThan">
      <formula>0</formula>
    </cfRule>
    <cfRule type="cellIs" dxfId="120" priority="11" operator="between">
      <formula>6</formula>
      <formula>15</formula>
    </cfRule>
    <cfRule type="cellIs" dxfId="119" priority="12" operator="between">
      <formula>1</formula>
      <formula>5</formula>
    </cfRule>
    <cfRule type="cellIs" dxfId="118" priority="13" operator="between">
      <formula>16</formula>
      <formula>60</formula>
    </cfRule>
    <cfRule type="cellIs" dxfId="117" priority="14" operator="between">
      <formula>6</formula>
      <formula>15</formula>
    </cfRule>
    <cfRule type="cellIs" dxfId="116" priority="15" operator="between">
      <formula>1</formula>
      <formula>5</formula>
    </cfRule>
    <cfRule type="cellIs" dxfId="115" priority="16" operator="between">
      <formula>16</formula>
      <formula>60</formula>
    </cfRule>
  </conditionalFormatting>
  <dataValidations count="5">
    <dataValidation type="list" allowBlank="1" showInputMessage="1" showErrorMessage="1" sqref="C13:C58 C60:C109" xr:uid="{00E55FDF-1DD7-4306-ABA4-5E5965932FCF}">
      <formula1>"Pagado, Sin Pagar"</formula1>
    </dataValidation>
    <dataValidation type="list" allowBlank="1" showInputMessage="1" showErrorMessage="1" sqref="F59:F60" xr:uid="{60EA7874-EE77-4C29-A7C6-EFC7EB76BE5C}">
      <formula1>"25%,50%,75%,80%,90%,95%,100%"</formula1>
    </dataValidation>
    <dataValidation type="list" allowBlank="1" showInputMessage="1" showErrorMessage="1" sqref="E113" xr:uid="{471EB934-86BC-4BBD-AA30-D72D0FD3D264}">
      <formula1>"ENERO,FEBRERO,MARZO,ABRIL,MAYO,JUNIO,JULIO,AGOSTO,SEPTIEMBRE,OCTUBRE,NOVIEMBRE,DICIEMBRE"</formula1>
    </dataValidation>
    <dataValidation type="list" allowBlank="1" showInputMessage="1" showErrorMessage="1" sqref="G330:G332 G232 G116:G125 G131:G132 G242:G251 G234:G235 G167:G172 G302:G324 G134:G150 G237:G240 G174:G202 G156:G158 G253:G263 G127:G129 G160:G165 G265:G289 G204:G230 G291:G300 G152:G154" xr:uid="{0C46C6FB-6D79-4AD9-999A-2368C228A121}">
      <formula1>"Cancelado,Pagar,Sin Pagar"</formula1>
    </dataValidation>
    <dataValidation type="list" allowBlank="1" showInputMessage="1" showErrorMessage="1" sqref="F54:F55 F57:F58" xr:uid="{7FF6BD1C-7687-4D20-998E-6D9D5E8854C2}">
      <formula1>"10%,15%,20%,21%,22%,23%,24%,25%,26%,27%,28%,29%,30%,35%,40%,50%,100%"</formula1>
    </dataValidation>
  </dataValidations>
  <pageMargins left="0.7" right="0.7" top="0.75" bottom="0.75" header="0.3" footer="0.3"/>
  <pageSetup paperSize="9" orientation="portrait" r:id="rId1"/>
  <ignoredErrors>
    <ignoredError sqref="K127:K133 J54 G51:G53 J116:J118 G37 J173:J177 G60 J215 G75:G82 G85 G104:G105 G65:G70 J166:J170 J323:J324 J155:J164 J217:J222 J179 J182:J213 G90:G94 J225:J239 J241:J321 J121:J153" unlockedFormula="1"/>
    <ignoredError sqref="C306:C307" numberStoredAsText="1"/>
    <ignoredError sqref="G108:G110 G99:G103 G95 G88:G89" formula="1"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CECA-BD72-496B-AC47-BE378BC37556}">
  <sheetPr codeName="Hoja3"/>
  <dimension ref="A1:X352"/>
  <sheetViews>
    <sheetView showGridLines="0" topLeftCell="C305" zoomScaleNormal="100" workbookViewId="0">
      <selection activeCell="E16" sqref="E16:E47"/>
    </sheetView>
  </sheetViews>
  <sheetFormatPr baseColWidth="10" defaultColWidth="11.42578125" defaultRowHeight="15" outlineLevelRow="1"/>
  <cols>
    <col min="1" max="1" width="10.140625" style="69" hidden="1" customWidth="1"/>
    <col min="2" max="2" width="6.5703125" style="69" hidden="1" customWidth="1"/>
    <col min="3" max="3" width="18.140625" style="70" customWidth="1"/>
    <col min="4" max="4" width="81.42578125" style="69" customWidth="1"/>
    <col min="5" max="5" width="24.42578125" style="71" customWidth="1"/>
    <col min="6" max="6" width="24.7109375" style="69" customWidth="1"/>
    <col min="7" max="7" width="16.85546875" style="69" bestFit="1" customWidth="1"/>
    <col min="8" max="8" width="3" style="69" hidden="1" customWidth="1"/>
    <col min="9" max="9" width="6.7109375" style="69" hidden="1" customWidth="1"/>
    <col min="10" max="10" width="16.5703125" style="69" bestFit="1" customWidth="1"/>
    <col min="11" max="11" width="19.5703125" style="69" customWidth="1"/>
    <col min="12" max="12" width="21.5703125" style="69" bestFit="1" customWidth="1"/>
    <col min="13" max="13" width="15.7109375" style="69" customWidth="1"/>
    <col min="14" max="14" width="13.85546875" style="69" bestFit="1" customWidth="1"/>
    <col min="15" max="17" width="15.85546875" style="69" customWidth="1"/>
    <col min="18" max="18" width="14.5703125" style="69" bestFit="1" customWidth="1"/>
    <col min="19" max="19" width="13.140625" style="69" bestFit="1" customWidth="1"/>
    <col min="20" max="20" width="26.140625" style="69" customWidth="1"/>
    <col min="21" max="21" width="19.28515625" style="69" bestFit="1" customWidth="1"/>
    <col min="22" max="22" width="15.28515625" style="69" bestFit="1" customWidth="1"/>
    <col min="23" max="23" width="14" style="69" bestFit="1" customWidth="1"/>
    <col min="24" max="24" width="13" style="69" bestFit="1" customWidth="1"/>
    <col min="25" max="16384" width="11.42578125" style="69"/>
  </cols>
  <sheetData>
    <row r="1" spans="1:12" ht="15" hidden="1" customHeight="1">
      <c r="E1" s="346">
        <v>42400</v>
      </c>
    </row>
    <row r="2" spans="1:12">
      <c r="E2" s="23"/>
      <c r="I2" s="16">
        <v>1</v>
      </c>
    </row>
    <row r="3" spans="1:12">
      <c r="E3" s="23"/>
      <c r="I3" s="16">
        <v>2</v>
      </c>
    </row>
    <row r="4" spans="1:12" s="21" customFormat="1" ht="15.75">
      <c r="D4" s="20" t="s">
        <v>1</v>
      </c>
      <c r="E4" s="19">
        <f>SUBTOTAL(9,E5:E14)</f>
        <v>1093947677.8099999</v>
      </c>
      <c r="F4" s="22"/>
      <c r="I4" s="16">
        <v>3</v>
      </c>
    </row>
    <row r="5" spans="1:12" s="16" customFormat="1" outlineLevel="1">
      <c r="C5" s="24"/>
      <c r="D5" s="9" t="s">
        <v>2</v>
      </c>
      <c r="E5" s="350">
        <f>DICIEMBRE!$E$345</f>
        <v>1057444106.8099999</v>
      </c>
      <c r="F5" s="350"/>
      <c r="G5" s="350"/>
      <c r="I5" s="16">
        <v>4</v>
      </c>
    </row>
    <row r="6" spans="1:12" s="16" customFormat="1" outlineLevel="1">
      <c r="C6" s="24"/>
      <c r="D6" s="231" t="s">
        <v>812</v>
      </c>
      <c r="E6" s="837">
        <v>800040</v>
      </c>
      <c r="F6" s="350"/>
      <c r="G6" s="350"/>
    </row>
    <row r="7" spans="1:12" s="16" customFormat="1" outlineLevel="1">
      <c r="C7" s="24"/>
      <c r="D7" s="231" t="s">
        <v>812</v>
      </c>
      <c r="E7" s="837">
        <v>400475</v>
      </c>
      <c r="F7" s="350"/>
      <c r="G7" s="350"/>
    </row>
    <row r="8" spans="1:12" s="16" customFormat="1" outlineLevel="1">
      <c r="C8" s="24"/>
      <c r="D8" s="231" t="s">
        <v>887</v>
      </c>
      <c r="E8" s="837">
        <v>64397</v>
      </c>
      <c r="F8" s="350"/>
      <c r="G8" s="350"/>
    </row>
    <row r="9" spans="1:12" s="16" customFormat="1" outlineLevel="1">
      <c r="C9" s="24"/>
      <c r="D9" s="231" t="s">
        <v>100</v>
      </c>
      <c r="E9" s="837">
        <v>22670000</v>
      </c>
      <c r="F9" s="350"/>
      <c r="G9" s="350"/>
    </row>
    <row r="10" spans="1:12" s="16" customFormat="1" outlineLevel="1">
      <c r="C10" s="24"/>
      <c r="D10" s="231" t="s">
        <v>830</v>
      </c>
      <c r="E10" s="837">
        <v>190000</v>
      </c>
      <c r="F10" s="350"/>
      <c r="G10" s="350"/>
    </row>
    <row r="11" spans="1:12" s="16" customFormat="1" outlineLevel="1">
      <c r="C11" s="24"/>
      <c r="D11" s="231" t="s">
        <v>830</v>
      </c>
      <c r="E11" s="837">
        <v>69000</v>
      </c>
      <c r="F11" s="350"/>
      <c r="G11" s="350"/>
    </row>
    <row r="12" spans="1:12" s="16" customFormat="1" outlineLevel="1">
      <c r="C12" s="24"/>
      <c r="D12" s="231" t="s">
        <v>907</v>
      </c>
      <c r="E12" s="837">
        <v>284009</v>
      </c>
      <c r="F12" s="350"/>
      <c r="G12" s="350"/>
    </row>
    <row r="13" spans="1:12" s="16" customFormat="1" outlineLevel="1">
      <c r="C13" s="24"/>
      <c r="D13" s="231" t="s">
        <v>798</v>
      </c>
      <c r="E13" s="837">
        <v>12000000</v>
      </c>
      <c r="F13" s="350"/>
      <c r="G13" s="350"/>
    </row>
    <row r="14" spans="1:12" s="16" customFormat="1" outlineLevel="1">
      <c r="C14" s="24"/>
      <c r="D14" s="231" t="s">
        <v>946</v>
      </c>
      <c r="E14" s="837">
        <v>25650</v>
      </c>
      <c r="F14" s="350"/>
      <c r="G14" s="350"/>
    </row>
    <row r="15" spans="1:12" s="16" customFormat="1" ht="15.75">
      <c r="C15" s="24"/>
      <c r="D15" s="20" t="s">
        <v>3</v>
      </c>
      <c r="E15" s="19">
        <f>SUBTOTAL(9,E16:E55)</f>
        <v>126534369.02306999</v>
      </c>
      <c r="F15" s="99"/>
    </row>
    <row r="16" spans="1:12" s="16" customFormat="1" ht="14.25" customHeight="1" outlineLevel="1">
      <c r="A16" s="24"/>
      <c r="B16" s="347"/>
      <c r="C16" s="348" t="s">
        <v>4</v>
      </c>
      <c r="D16" s="530" t="s">
        <v>777</v>
      </c>
      <c r="E16" s="773">
        <v>1572392.2830699999</v>
      </c>
      <c r="F16" s="241"/>
      <c r="G16" s="25"/>
      <c r="J16" s="25"/>
      <c r="L16" s="25"/>
    </row>
    <row r="17" spans="1:12" s="16" customFormat="1" ht="14.25" customHeight="1" outlineLevel="1">
      <c r="A17" s="24"/>
      <c r="B17" s="347"/>
      <c r="C17" s="348" t="s">
        <v>4</v>
      </c>
      <c r="D17" s="542" t="s">
        <v>900</v>
      </c>
      <c r="E17" s="773">
        <v>1549380</v>
      </c>
      <c r="F17" s="241"/>
      <c r="G17" s="25"/>
      <c r="J17" s="25"/>
      <c r="L17" s="25"/>
    </row>
    <row r="18" spans="1:12" s="16" customFormat="1" ht="14.25" customHeight="1" outlineLevel="1">
      <c r="A18" s="24"/>
      <c r="B18" s="347"/>
      <c r="C18" s="350" t="s">
        <v>5</v>
      </c>
      <c r="D18" s="567" t="s">
        <v>1030</v>
      </c>
      <c r="E18" s="838">
        <f>34362712.65*0</f>
        <v>0</v>
      </c>
      <c r="F18" s="8"/>
      <c r="G18" s="25"/>
      <c r="J18" s="25"/>
      <c r="K18" s="25"/>
      <c r="L18" s="25"/>
    </row>
    <row r="19" spans="1:12" s="16" customFormat="1" ht="14.25" customHeight="1" outlineLevel="1">
      <c r="A19" s="24"/>
      <c r="B19" s="347"/>
      <c r="C19" s="350" t="s">
        <v>5</v>
      </c>
      <c r="D19" s="567" t="s">
        <v>1031</v>
      </c>
      <c r="E19" s="838">
        <f>2104000*0</f>
        <v>0</v>
      </c>
      <c r="F19" s="8"/>
      <c r="G19" s="25"/>
      <c r="J19" s="25"/>
      <c r="K19" s="25"/>
      <c r="L19" s="25"/>
    </row>
    <row r="20" spans="1:12" s="16" customFormat="1" outlineLevel="1">
      <c r="C20" s="348" t="s">
        <v>4</v>
      </c>
      <c r="D20" s="523" t="s">
        <v>829</v>
      </c>
      <c r="E20" s="837">
        <v>2373194.87</v>
      </c>
      <c r="F20" s="241"/>
      <c r="G20" s="25"/>
      <c r="K20" s="25"/>
      <c r="L20" s="25"/>
    </row>
    <row r="21" spans="1:12" s="16" customFormat="1" outlineLevel="1">
      <c r="C21" s="348" t="s">
        <v>4</v>
      </c>
      <c r="D21" s="231" t="s">
        <v>1029</v>
      </c>
      <c r="E21" s="837">
        <f>6898752.51</f>
        <v>6898752.5099999998</v>
      </c>
      <c r="F21" s="49"/>
      <c r="G21" s="25">
        <f>E22+E23+E24+E30+E37+E38</f>
        <v>33574449</v>
      </c>
      <c r="K21" s="25"/>
      <c r="L21" s="25"/>
    </row>
    <row r="22" spans="1:12" s="16" customFormat="1" outlineLevel="1">
      <c r="C22" s="348" t="s">
        <v>4</v>
      </c>
      <c r="D22" s="529" t="s">
        <v>864</v>
      </c>
      <c r="E22" s="837">
        <v>3254917</v>
      </c>
      <c r="F22" s="49"/>
      <c r="K22" s="25"/>
      <c r="L22" s="25"/>
    </row>
    <row r="23" spans="1:12" s="16" customFormat="1" outlineLevel="1">
      <c r="C23" s="348" t="s">
        <v>4</v>
      </c>
      <c r="D23" s="519" t="s">
        <v>813</v>
      </c>
      <c r="E23" s="837">
        <v>498186</v>
      </c>
      <c r="F23" s="49"/>
      <c r="G23" s="25"/>
      <c r="K23" s="25"/>
      <c r="L23" s="25"/>
    </row>
    <row r="24" spans="1:12" s="16" customFormat="1" outlineLevel="1">
      <c r="C24" s="348" t="s">
        <v>4</v>
      </c>
      <c r="D24" s="529" t="s">
        <v>863</v>
      </c>
      <c r="E24" s="837">
        <v>1568049</v>
      </c>
      <c r="F24" s="49"/>
      <c r="G24" s="25"/>
      <c r="K24" s="25"/>
      <c r="L24" s="25"/>
    </row>
    <row r="25" spans="1:12" s="16" customFormat="1" outlineLevel="1">
      <c r="C25" s="348" t="s">
        <v>4</v>
      </c>
      <c r="D25" s="519" t="s">
        <v>815</v>
      </c>
      <c r="E25" s="837">
        <v>177905</v>
      </c>
      <c r="F25" s="49"/>
      <c r="G25" s="25"/>
      <c r="K25" s="25"/>
      <c r="L25" s="25"/>
    </row>
    <row r="26" spans="1:12" s="16" customFormat="1" outlineLevel="1">
      <c r="C26" s="348" t="s">
        <v>4</v>
      </c>
      <c r="D26" s="564" t="s">
        <v>534</v>
      </c>
      <c r="E26" s="837">
        <f>1692717.2</f>
        <v>1692717.2</v>
      </c>
      <c r="F26" s="241"/>
      <c r="G26" s="25"/>
      <c r="K26" s="25"/>
      <c r="L26" s="25"/>
    </row>
    <row r="27" spans="1:12" s="16" customFormat="1" outlineLevel="1">
      <c r="C27" s="350" t="s">
        <v>5</v>
      </c>
      <c r="D27" s="9" t="s">
        <v>109</v>
      </c>
      <c r="E27" s="838">
        <f>7528323*0</f>
        <v>0</v>
      </c>
      <c r="F27" s="349"/>
      <c r="G27" s="137"/>
      <c r="K27" s="25"/>
      <c r="L27" s="25"/>
    </row>
    <row r="28" spans="1:12" s="16" customFormat="1" outlineLevel="1">
      <c r="C28" s="350" t="s">
        <v>5</v>
      </c>
      <c r="D28" s="9" t="s">
        <v>110</v>
      </c>
      <c r="E28" s="838">
        <f>5391183.76*0</f>
        <v>0</v>
      </c>
      <c r="F28" s="136"/>
      <c r="G28" s="25"/>
      <c r="K28" s="25"/>
      <c r="L28" s="25"/>
    </row>
    <row r="29" spans="1:12" s="16" customFormat="1" outlineLevel="1">
      <c r="C29" s="350" t="s">
        <v>5</v>
      </c>
      <c r="D29" s="9" t="s">
        <v>778</v>
      </c>
      <c r="E29" s="838">
        <f>23310881.53*0</f>
        <v>0</v>
      </c>
      <c r="F29" s="136"/>
      <c r="G29" s="25"/>
      <c r="K29" s="25"/>
      <c r="L29" s="25"/>
    </row>
    <row r="30" spans="1:12" s="16" customFormat="1" outlineLevel="1">
      <c r="C30" s="348" t="s">
        <v>4</v>
      </c>
      <c r="D30" s="593" t="s">
        <v>1066</v>
      </c>
      <c r="E30" s="837">
        <v>1228867</v>
      </c>
      <c r="F30" s="97"/>
      <c r="K30" s="25"/>
      <c r="L30" s="25"/>
    </row>
    <row r="31" spans="1:12" s="16" customFormat="1" outlineLevel="1">
      <c r="C31" s="348" t="s">
        <v>4</v>
      </c>
      <c r="D31" s="548" t="s">
        <v>945</v>
      </c>
      <c r="E31" s="837">
        <v>771364.8</v>
      </c>
      <c r="F31" s="8"/>
      <c r="G31" s="25"/>
      <c r="K31" s="25"/>
      <c r="L31" s="25"/>
    </row>
    <row r="32" spans="1:12" s="16" customFormat="1" outlineLevel="1">
      <c r="C32" s="348" t="s">
        <v>4</v>
      </c>
      <c r="D32" s="231" t="s">
        <v>955</v>
      </c>
      <c r="E32" s="837">
        <v>915290.76</v>
      </c>
      <c r="F32" s="169"/>
      <c r="K32" s="25"/>
      <c r="L32" s="25"/>
    </row>
    <row r="33" spans="3:12" s="16" customFormat="1" outlineLevel="1">
      <c r="C33" s="350" t="s">
        <v>5</v>
      </c>
      <c r="D33" s="507" t="s">
        <v>779</v>
      </c>
      <c r="E33" s="839">
        <f>17406803.72*0</f>
        <v>0</v>
      </c>
      <c r="F33" s="241"/>
      <c r="G33" s="25"/>
      <c r="K33" s="25"/>
      <c r="L33" s="25"/>
    </row>
    <row r="34" spans="3:12" s="16" customFormat="1" outlineLevel="1">
      <c r="C34" s="348" t="s">
        <v>4</v>
      </c>
      <c r="D34" s="519" t="s">
        <v>811</v>
      </c>
      <c r="E34" s="837">
        <v>19282040</v>
      </c>
      <c r="F34" s="241"/>
      <c r="G34" s="25"/>
      <c r="K34" s="25"/>
      <c r="L34" s="25"/>
    </row>
    <row r="35" spans="3:12" s="16" customFormat="1" ht="14.25" customHeight="1" outlineLevel="1">
      <c r="C35" s="350" t="s">
        <v>5</v>
      </c>
      <c r="D35" s="507" t="s">
        <v>780</v>
      </c>
      <c r="E35" s="840">
        <f>15456075.3468*0</f>
        <v>0</v>
      </c>
      <c r="F35" s="333"/>
      <c r="G35" s="25"/>
      <c r="J35" s="241"/>
      <c r="K35" s="25"/>
      <c r="L35" s="25"/>
    </row>
    <row r="36" spans="3:12" s="16" customFormat="1" outlineLevel="1">
      <c r="C36" s="350" t="s">
        <v>5</v>
      </c>
      <c r="D36" s="9" t="s">
        <v>134</v>
      </c>
      <c r="E36" s="838">
        <f>1121157.31*0</f>
        <v>0</v>
      </c>
      <c r="F36" s="172"/>
      <c r="I36" s="16">
        <v>4</v>
      </c>
      <c r="K36" s="25"/>
      <c r="L36" s="25"/>
    </row>
    <row r="37" spans="3:12" s="16" customFormat="1" outlineLevel="1">
      <c r="C37" s="348" t="s">
        <v>4</v>
      </c>
      <c r="D37" s="519" t="s">
        <v>816</v>
      </c>
      <c r="E37" s="837">
        <v>217212</v>
      </c>
      <c r="F37" s="97"/>
      <c r="K37" s="25"/>
      <c r="L37" s="25"/>
    </row>
    <row r="38" spans="3:12" s="16" customFormat="1" outlineLevel="1">
      <c r="C38" s="348" t="s">
        <v>4</v>
      </c>
      <c r="D38" s="519" t="s">
        <v>814</v>
      </c>
      <c r="E38" s="837">
        <v>26807218</v>
      </c>
      <c r="F38" s="97"/>
      <c r="K38" s="25"/>
      <c r="L38" s="25"/>
    </row>
    <row r="39" spans="3:12" s="16" customFormat="1" outlineLevel="1">
      <c r="C39" s="524" t="s">
        <v>4</v>
      </c>
      <c r="D39" s="523" t="s">
        <v>831</v>
      </c>
      <c r="E39" s="837">
        <v>2049073</v>
      </c>
      <c r="F39" s="97"/>
      <c r="K39" s="25"/>
      <c r="L39" s="25"/>
    </row>
    <row r="40" spans="3:12" s="16" customFormat="1" outlineLevel="1">
      <c r="C40" s="524" t="s">
        <v>4</v>
      </c>
      <c r="D40" s="568" t="s">
        <v>1033</v>
      </c>
      <c r="E40" s="837">
        <v>2013009</v>
      </c>
      <c r="F40" s="97"/>
      <c r="K40" s="25"/>
      <c r="L40" s="25"/>
    </row>
    <row r="41" spans="3:12" s="16" customFormat="1" outlineLevel="1">
      <c r="C41" s="350" t="s">
        <v>5</v>
      </c>
      <c r="D41" s="9" t="s">
        <v>540</v>
      </c>
      <c r="E41" s="838">
        <f>1202975.28*0</f>
        <v>0</v>
      </c>
      <c r="F41" s="241"/>
      <c r="K41" s="25"/>
      <c r="L41" s="25"/>
    </row>
    <row r="42" spans="3:12" s="16" customFormat="1" outlineLevel="1">
      <c r="C42" s="348" t="s">
        <v>4</v>
      </c>
      <c r="D42" s="577" t="s">
        <v>1067</v>
      </c>
      <c r="E42" s="837">
        <f>1380793.13</f>
        <v>1380793.13</v>
      </c>
      <c r="F42" s="349"/>
      <c r="K42" s="25"/>
      <c r="L42" s="25"/>
    </row>
    <row r="43" spans="3:12" s="16" customFormat="1" outlineLevel="1">
      <c r="C43" s="348" t="s">
        <v>4</v>
      </c>
      <c r="D43" s="576" t="s">
        <v>1040</v>
      </c>
      <c r="E43" s="837">
        <f>1380793.13</f>
        <v>1380793.13</v>
      </c>
      <c r="F43" s="349"/>
      <c r="K43" s="25"/>
      <c r="L43" s="25"/>
    </row>
    <row r="44" spans="3:12" s="16" customFormat="1" outlineLevel="1">
      <c r="C44" s="348" t="s">
        <v>4</v>
      </c>
      <c r="D44" s="519" t="s">
        <v>781</v>
      </c>
      <c r="E44" s="837">
        <v>17383715.23</v>
      </c>
      <c r="F44" s="241"/>
      <c r="K44" s="25"/>
      <c r="L44" s="25"/>
    </row>
    <row r="45" spans="3:12" s="16" customFormat="1" outlineLevel="1">
      <c r="C45" s="348" t="s">
        <v>4</v>
      </c>
      <c r="D45" s="529" t="s">
        <v>865</v>
      </c>
      <c r="E45" s="837">
        <v>17383715.23</v>
      </c>
      <c r="F45" s="241"/>
      <c r="K45" s="25"/>
      <c r="L45" s="25"/>
    </row>
    <row r="46" spans="3:12" s="16" customFormat="1" outlineLevel="1">
      <c r="C46" s="348" t="s">
        <v>4</v>
      </c>
      <c r="D46" s="231" t="s">
        <v>782</v>
      </c>
      <c r="E46" s="837">
        <v>6664686.1600000001</v>
      </c>
      <c r="F46" s="241"/>
      <c r="K46" s="25"/>
      <c r="L46" s="25"/>
    </row>
    <row r="47" spans="3:12" s="16" customFormat="1" outlineLevel="1">
      <c r="C47" s="348" t="s">
        <v>4</v>
      </c>
      <c r="D47" s="231" t="s">
        <v>810</v>
      </c>
      <c r="E47" s="837">
        <v>6714054.2000000002</v>
      </c>
      <c r="F47" s="241"/>
      <c r="K47" s="25"/>
      <c r="L47" s="25"/>
    </row>
    <row r="48" spans="3:12" s="16" customFormat="1" outlineLevel="1">
      <c r="C48" s="350" t="s">
        <v>5</v>
      </c>
      <c r="D48" s="9" t="s">
        <v>783</v>
      </c>
      <c r="E48" s="8">
        <f>3462300*0</f>
        <v>0</v>
      </c>
      <c r="F48" s="241"/>
      <c r="K48" s="25"/>
      <c r="L48" s="25"/>
    </row>
    <row r="49" spans="1:21" s="16" customFormat="1" outlineLevel="1">
      <c r="C49" s="350" t="s">
        <v>5</v>
      </c>
      <c r="D49" s="9" t="s">
        <v>783</v>
      </c>
      <c r="E49" s="8">
        <f>('MONETIZACIONES PEND'!$R$348+'MONETIZACIONES PEND'!$R$349+'MONETIZACIONES PEND'!$R$350+'MONETIZACIONES PEND'!$R$351)*0</f>
        <v>0</v>
      </c>
      <c r="F49" s="241"/>
      <c r="K49" s="25"/>
      <c r="L49" s="25"/>
    </row>
    <row r="50" spans="1:21" s="16" customFormat="1" ht="14.25" customHeight="1" outlineLevel="1">
      <c r="A50" s="24"/>
      <c r="B50" s="347"/>
      <c r="C50" s="350" t="s">
        <v>5</v>
      </c>
      <c r="D50" s="432" t="s">
        <v>546</v>
      </c>
      <c r="E50" s="8">
        <f>87111218.1195*0</f>
        <v>0</v>
      </c>
      <c r="F50" s="350">
        <v>0</v>
      </c>
      <c r="G50" s="25">
        <f>(E50-F50)*0</f>
        <v>0</v>
      </c>
      <c r="J50" s="433">
        <v>20841.55</v>
      </c>
      <c r="K50" s="25"/>
      <c r="L50" s="25"/>
    </row>
    <row r="51" spans="1:21" s="16" customFormat="1" ht="14.25" customHeight="1" outlineLevel="1">
      <c r="A51" s="24"/>
      <c r="B51" s="347"/>
      <c r="C51" s="350" t="s">
        <v>5</v>
      </c>
      <c r="D51" s="432" t="s">
        <v>547</v>
      </c>
      <c r="E51" s="8">
        <f>66875205.9551*0</f>
        <v>0</v>
      </c>
      <c r="F51" s="350">
        <v>0</v>
      </c>
      <c r="G51" s="25">
        <f>(E51-F51)*0</f>
        <v>0</v>
      </c>
      <c r="J51" s="433">
        <v>16639.39</v>
      </c>
      <c r="K51" s="25"/>
      <c r="L51" s="25"/>
    </row>
    <row r="52" spans="1:21" s="16" customFormat="1" ht="14.25" customHeight="1" outlineLevel="1">
      <c r="A52" s="24"/>
      <c r="B52" s="347"/>
      <c r="C52" s="350" t="s">
        <v>5</v>
      </c>
      <c r="D52" s="432" t="s">
        <v>548</v>
      </c>
      <c r="E52" s="8">
        <f>63738690.8265*0</f>
        <v>0</v>
      </c>
      <c r="F52" s="350">
        <v>0</v>
      </c>
      <c r="G52" s="25">
        <f>(E52-F52)*0</f>
        <v>0</v>
      </c>
      <c r="J52" s="433">
        <v>16337.849999999999</v>
      </c>
      <c r="K52" s="25"/>
      <c r="L52" s="25"/>
    </row>
    <row r="53" spans="1:21" s="16" customFormat="1" ht="30" outlineLevel="1">
      <c r="C53" s="350" t="s">
        <v>5</v>
      </c>
      <c r="D53" s="9" t="s">
        <v>103</v>
      </c>
      <c r="E53" s="8">
        <f>7370606*0</f>
        <v>0</v>
      </c>
      <c r="F53" s="100"/>
      <c r="J53" s="434">
        <f>SUM(J50:J52)</f>
        <v>53818.79</v>
      </c>
      <c r="K53" s="25"/>
      <c r="L53" s="25"/>
    </row>
    <row r="54" spans="1:21" s="16" customFormat="1" outlineLevel="1">
      <c r="C54" s="348" t="s">
        <v>4</v>
      </c>
      <c r="D54" s="231" t="s">
        <v>1034</v>
      </c>
      <c r="E54" s="837">
        <v>691500</v>
      </c>
      <c r="F54" s="241"/>
      <c r="G54" s="25"/>
      <c r="J54" s="235"/>
      <c r="K54" s="25"/>
      <c r="L54" s="25"/>
    </row>
    <row r="55" spans="1:21" s="16" customFormat="1" outlineLevel="1">
      <c r="C55" s="348" t="s">
        <v>4</v>
      </c>
      <c r="D55" s="231" t="s">
        <v>1032</v>
      </c>
      <c r="E55" s="837">
        <v>2065543.52</v>
      </c>
      <c r="F55" s="100"/>
      <c r="K55" s="25"/>
      <c r="L55" s="25"/>
    </row>
    <row r="56" spans="1:21" s="16" customFormat="1" ht="15" customHeight="1">
      <c r="C56" s="24"/>
      <c r="D56" s="20" t="s">
        <v>6</v>
      </c>
      <c r="E56" s="19">
        <f>SUBTOTAL(9,E57:E110)</f>
        <v>1486272673.4513998</v>
      </c>
      <c r="F56" s="72">
        <v>1</v>
      </c>
      <c r="L56" s="25"/>
      <c r="S56" s="26"/>
    </row>
    <row r="57" spans="1:21" s="16" customFormat="1" ht="15" customHeight="1" outlineLevel="1">
      <c r="C57" s="232" t="s">
        <v>4</v>
      </c>
      <c r="D57" s="231" t="s">
        <v>954</v>
      </c>
      <c r="E57" s="837">
        <v>8144748.8099999996</v>
      </c>
      <c r="F57" s="350">
        <v>8125837.9884000001</v>
      </c>
      <c r="G57" s="25">
        <f>(E57-F57)</f>
        <v>18910.821599999443</v>
      </c>
      <c r="J57" s="349"/>
      <c r="K57" s="8"/>
      <c r="L57" s="25"/>
      <c r="M57" s="30"/>
      <c r="T57" s="74"/>
      <c r="U57" s="74"/>
    </row>
    <row r="58" spans="1:21" s="16" customFormat="1" outlineLevel="1">
      <c r="C58" s="479" t="s">
        <v>4</v>
      </c>
      <c r="D58" s="551" t="s">
        <v>936</v>
      </c>
      <c r="E58" s="837">
        <v>1302416.6400000001</v>
      </c>
      <c r="F58" s="544">
        <v>1295534.9376000001</v>
      </c>
      <c r="G58" s="25">
        <f>(E58-F58)</f>
        <v>6881.7024000000674</v>
      </c>
      <c r="L58" s="25"/>
      <c r="S58" s="26"/>
    </row>
    <row r="59" spans="1:21" s="16" customFormat="1" outlineLevel="1">
      <c r="C59" s="479" t="s">
        <v>4</v>
      </c>
      <c r="D59" s="551" t="s">
        <v>937</v>
      </c>
      <c r="E59" s="837">
        <v>11840204.32</v>
      </c>
      <c r="F59" s="544">
        <v>11777643.1088</v>
      </c>
      <c r="G59" s="25">
        <f>(E59-F59)</f>
        <v>62561.211200000718</v>
      </c>
      <c r="L59" s="25"/>
      <c r="S59" s="26"/>
    </row>
    <row r="60" spans="1:21" s="16" customFormat="1" outlineLevel="1">
      <c r="C60" s="8" t="s">
        <v>4</v>
      </c>
      <c r="D60" s="9" t="s">
        <v>866</v>
      </c>
      <c r="E60" s="838">
        <f>447027.7908*0</f>
        <v>0</v>
      </c>
      <c r="F60" s="350"/>
      <c r="G60" s="25">
        <f t="shared" ref="G60:G110" si="0">(E60-F60)*0</f>
        <v>0</v>
      </c>
      <c r="J60" s="73"/>
      <c r="K60" s="8"/>
      <c r="L60" s="25"/>
      <c r="M60" s="30"/>
      <c r="T60" s="74"/>
      <c r="U60" s="74"/>
    </row>
    <row r="61" spans="1:21" s="16" customFormat="1" outlineLevel="1">
      <c r="C61" s="8" t="s">
        <v>4</v>
      </c>
      <c r="D61" s="531" t="s">
        <v>867</v>
      </c>
      <c r="E61" s="838">
        <f>4064001.2694*0</f>
        <v>0</v>
      </c>
      <c r="F61" s="350"/>
      <c r="G61" s="25">
        <f t="shared" si="0"/>
        <v>0</v>
      </c>
      <c r="J61" s="73"/>
      <c r="K61" s="8"/>
      <c r="L61" s="25"/>
      <c r="M61" s="30"/>
      <c r="T61" s="74"/>
      <c r="U61" s="74"/>
    </row>
    <row r="62" spans="1:21" s="16" customFormat="1" outlineLevel="1">
      <c r="C62" s="232" t="s">
        <v>4</v>
      </c>
      <c r="D62" s="537" t="s">
        <v>868</v>
      </c>
      <c r="E62" s="837">
        <v>3571941.66</v>
      </c>
      <c r="F62" s="532">
        <v>3547520.8924000002</v>
      </c>
      <c r="G62" s="25">
        <f>(E62-F62)</f>
        <v>24420.767599999905</v>
      </c>
      <c r="J62" s="52"/>
      <c r="K62" s="25">
        <f>E56-E57-E70-E71-E72+E73-E76-E77-E78-E79-E80-E81-E85-E94-E100-E101-E102-E103-E104</f>
        <v>1443377065.7452507</v>
      </c>
      <c r="L62" s="25"/>
      <c r="M62" s="26"/>
    </row>
    <row r="63" spans="1:21" s="16" customFormat="1" outlineLevel="1">
      <c r="C63" s="232" t="s">
        <v>4</v>
      </c>
      <c r="D63" s="537" t="s">
        <v>869</v>
      </c>
      <c r="E63" s="837">
        <v>64944403.754999995</v>
      </c>
      <c r="F63" s="532">
        <v>64500389.730700001</v>
      </c>
      <c r="G63" s="25">
        <f>(E63-F63)</f>
        <v>444014.02429999411</v>
      </c>
      <c r="J63" s="52"/>
      <c r="L63" s="25"/>
      <c r="M63" s="26"/>
    </row>
    <row r="64" spans="1:21" s="16" customFormat="1" outlineLevel="1">
      <c r="C64" s="232" t="s">
        <v>4</v>
      </c>
      <c r="D64" s="537" t="s">
        <v>632</v>
      </c>
      <c r="E64" s="837">
        <v>1005157.2</v>
      </c>
      <c r="F64" s="350"/>
      <c r="G64" s="25">
        <f t="shared" si="0"/>
        <v>0</v>
      </c>
      <c r="J64" s="52"/>
      <c r="K64" s="8"/>
      <c r="L64" s="25"/>
      <c r="M64" s="30"/>
      <c r="T64" s="74"/>
      <c r="U64" s="74"/>
    </row>
    <row r="65" spans="3:21" s="16" customFormat="1" outlineLevel="1">
      <c r="C65" s="232" t="s">
        <v>4</v>
      </c>
      <c r="D65" s="537" t="s">
        <v>633</v>
      </c>
      <c r="E65" s="837">
        <v>10051573</v>
      </c>
      <c r="F65" s="350"/>
      <c r="G65" s="25">
        <f t="shared" si="0"/>
        <v>0</v>
      </c>
      <c r="J65" s="52"/>
      <c r="K65" s="8"/>
      <c r="L65" s="25"/>
      <c r="M65" s="30"/>
      <c r="T65" s="74"/>
      <c r="U65" s="74"/>
    </row>
    <row r="66" spans="3:21" s="16" customFormat="1" outlineLevel="1">
      <c r="C66" s="232" t="s">
        <v>4</v>
      </c>
      <c r="D66" s="537" t="s">
        <v>870</v>
      </c>
      <c r="E66" s="837">
        <v>655634.24480907305</v>
      </c>
      <c r="F66" s="532">
        <v>653547.40500000003</v>
      </c>
      <c r="G66" s="25">
        <f t="shared" ref="G66:G77" si="1">(E66-F66)</f>
        <v>2086.8398090730188</v>
      </c>
      <c r="J66" s="52"/>
      <c r="K66" s="8"/>
      <c r="L66" s="25"/>
      <c r="M66" s="30"/>
      <c r="T66" s="74"/>
      <c r="U66" s="74"/>
    </row>
    <row r="67" spans="3:21" s="16" customFormat="1" outlineLevel="1">
      <c r="C67" s="232" t="s">
        <v>4</v>
      </c>
      <c r="D67" s="546" t="s">
        <v>938</v>
      </c>
      <c r="E67" s="837">
        <v>4454896.9551909268</v>
      </c>
      <c r="F67" s="532">
        <v>4440717.3170999996</v>
      </c>
      <c r="G67" s="25">
        <f t="shared" si="1"/>
        <v>14179.638090927154</v>
      </c>
      <c r="J67" s="52"/>
      <c r="K67" s="8"/>
      <c r="L67" s="25"/>
      <c r="M67" s="30"/>
      <c r="T67" s="74"/>
      <c r="U67" s="74"/>
    </row>
    <row r="68" spans="3:21" s="16" customFormat="1" outlineLevel="1">
      <c r="C68" s="232" t="s">
        <v>4</v>
      </c>
      <c r="D68" s="537" t="s">
        <v>871</v>
      </c>
      <c r="E68" s="837">
        <v>3005458.1049370929</v>
      </c>
      <c r="F68" s="532">
        <v>2973712.0476000002</v>
      </c>
      <c r="G68" s="25">
        <f t="shared" si="1"/>
        <v>31746.057337092701</v>
      </c>
      <c r="J68" s="73"/>
      <c r="K68" s="8"/>
      <c r="L68" s="25"/>
      <c r="M68" s="30"/>
      <c r="T68" s="74"/>
      <c r="U68" s="74"/>
    </row>
    <row r="69" spans="3:21" s="16" customFormat="1" outlineLevel="1">
      <c r="C69" s="232" t="s">
        <v>4</v>
      </c>
      <c r="D69" s="537" t="s">
        <v>872</v>
      </c>
      <c r="E69" s="837">
        <v>45096717.655062914</v>
      </c>
      <c r="F69" s="532">
        <v>44620369.978799999</v>
      </c>
      <c r="G69" s="25">
        <f t="shared" si="1"/>
        <v>476347.67626291513</v>
      </c>
      <c r="J69" s="73"/>
      <c r="K69" s="8"/>
      <c r="L69" s="25"/>
      <c r="M69" s="30"/>
      <c r="T69" s="74"/>
      <c r="U69" s="74"/>
    </row>
    <row r="70" spans="3:21" s="16" customFormat="1" outlineLevel="1">
      <c r="C70" s="232" t="s">
        <v>4</v>
      </c>
      <c r="D70" s="551" t="s">
        <v>550</v>
      </c>
      <c r="E70" s="837">
        <v>674536.89720000001</v>
      </c>
      <c r="F70" s="435">
        <v>683895.32799999998</v>
      </c>
      <c r="G70" s="25">
        <f t="shared" si="1"/>
        <v>-9358.4307999999728</v>
      </c>
      <c r="J70" s="73"/>
      <c r="K70" s="8"/>
      <c r="L70" s="25"/>
      <c r="M70" s="30"/>
      <c r="T70" s="74"/>
      <c r="U70" s="74"/>
    </row>
    <row r="71" spans="3:21" s="16" customFormat="1" outlineLevel="1">
      <c r="C71" s="232" t="s">
        <v>4</v>
      </c>
      <c r="D71" s="431" t="s">
        <v>549</v>
      </c>
      <c r="E71" s="837">
        <v>6745332.6519000009</v>
      </c>
      <c r="F71" s="435">
        <v>6838916.4560000002</v>
      </c>
      <c r="G71" s="25">
        <f t="shared" si="1"/>
        <v>-93583.804099999368</v>
      </c>
      <c r="J71" s="73"/>
      <c r="K71" s="8"/>
      <c r="L71" s="25"/>
      <c r="M71" s="30"/>
      <c r="T71" s="74"/>
      <c r="U71" s="74"/>
    </row>
    <row r="72" spans="3:21" s="16" customFormat="1" outlineLevel="1">
      <c r="C72" s="232" t="s">
        <v>4</v>
      </c>
      <c r="D72" s="431" t="s">
        <v>552</v>
      </c>
      <c r="E72" s="837">
        <v>421603.72080000001</v>
      </c>
      <c r="F72" s="435">
        <v>427452.99200000003</v>
      </c>
      <c r="G72" s="25">
        <f t="shared" si="1"/>
        <v>-5849.2712000000174</v>
      </c>
      <c r="J72" s="242"/>
      <c r="K72" s="8"/>
      <c r="L72" s="25"/>
      <c r="M72" s="30"/>
      <c r="T72" s="74"/>
      <c r="U72" s="74"/>
    </row>
    <row r="73" spans="3:21" s="16" customFormat="1" outlineLevel="1">
      <c r="C73" s="232" t="s">
        <v>4</v>
      </c>
      <c r="D73" s="431" t="s">
        <v>551</v>
      </c>
      <c r="E73" s="837">
        <v>4216146.1683</v>
      </c>
      <c r="F73" s="435">
        <v>4274640.392</v>
      </c>
      <c r="G73" s="25">
        <f t="shared" si="1"/>
        <v>-58494.223699999973</v>
      </c>
      <c r="J73" s="242"/>
      <c r="K73" s="8"/>
      <c r="L73" s="25"/>
      <c r="M73" s="30"/>
      <c r="T73" s="74"/>
      <c r="U73" s="74"/>
    </row>
    <row r="74" spans="3:21" s="16" customFormat="1" outlineLevel="1">
      <c r="C74" s="232" t="s">
        <v>4</v>
      </c>
      <c r="D74" s="552" t="s">
        <v>980</v>
      </c>
      <c r="E74" s="837">
        <v>656449.4874000001</v>
      </c>
      <c r="F74" s="435">
        <v>683090.56339999998</v>
      </c>
      <c r="G74" s="25">
        <f t="shared" si="1"/>
        <v>-26641.075999999885</v>
      </c>
      <c r="J74" s="242"/>
      <c r="K74" s="8"/>
      <c r="L74" s="25"/>
      <c r="M74" s="30"/>
      <c r="T74" s="74"/>
      <c r="U74" s="74"/>
    </row>
    <row r="75" spans="3:21" s="16" customFormat="1" outlineLevel="1">
      <c r="C75" s="232" t="s">
        <v>4</v>
      </c>
      <c r="D75" s="552" t="s">
        <v>981</v>
      </c>
      <c r="E75" s="837">
        <v>6564567.514200001</v>
      </c>
      <c r="F75" s="435">
        <v>6830981.2221999997</v>
      </c>
      <c r="G75" s="25">
        <f t="shared" si="1"/>
        <v>-266413.7079999987</v>
      </c>
      <c r="J75" s="242"/>
      <c r="K75" s="8"/>
      <c r="L75" s="25"/>
      <c r="M75" s="30"/>
      <c r="T75" s="74"/>
      <c r="U75" s="74"/>
    </row>
    <row r="76" spans="3:21" s="16" customFormat="1" outlineLevel="1">
      <c r="C76" s="232" t="s">
        <v>4</v>
      </c>
      <c r="D76" s="530" t="s">
        <v>786</v>
      </c>
      <c r="E76" s="837">
        <v>411288.8124</v>
      </c>
      <c r="F76" s="435">
        <v>427980.38839999994</v>
      </c>
      <c r="G76" s="25">
        <f t="shared" si="1"/>
        <v>-16691.575999999943</v>
      </c>
      <c r="J76" s="242"/>
      <c r="K76" s="8"/>
      <c r="L76" s="25"/>
      <c r="M76" s="30"/>
      <c r="T76" s="74"/>
      <c r="U76" s="74"/>
    </row>
    <row r="77" spans="3:21" s="16" customFormat="1" outlineLevel="1">
      <c r="C77" s="232" t="s">
        <v>4</v>
      </c>
      <c r="D77" s="530" t="s">
        <v>787</v>
      </c>
      <c r="E77" s="837">
        <v>4112960.7642000006</v>
      </c>
      <c r="F77" s="435">
        <v>4279879.4721999997</v>
      </c>
      <c r="G77" s="25">
        <f t="shared" si="1"/>
        <v>-166918.70799999917</v>
      </c>
      <c r="J77" s="242"/>
      <c r="K77" s="8"/>
      <c r="L77" s="25"/>
      <c r="M77" s="30"/>
      <c r="T77" s="74"/>
      <c r="U77" s="74"/>
    </row>
    <row r="78" spans="3:21" s="16" customFormat="1" ht="30" outlineLevel="1">
      <c r="C78" s="8" t="s">
        <v>5</v>
      </c>
      <c r="D78" s="507" t="s">
        <v>784</v>
      </c>
      <c r="E78" s="838">
        <f>2855434.869*0</f>
        <v>0</v>
      </c>
      <c r="F78" s="350"/>
      <c r="G78" s="25">
        <f t="shared" si="0"/>
        <v>0</v>
      </c>
      <c r="J78" s="73"/>
      <c r="L78" s="25"/>
      <c r="M78" s="26"/>
    </row>
    <row r="79" spans="3:21" s="16" customFormat="1" ht="30" outlineLevel="1">
      <c r="C79" s="8" t="s">
        <v>5</v>
      </c>
      <c r="D79" s="507" t="s">
        <v>785</v>
      </c>
      <c r="E79" s="838">
        <f>53276427.2691*0</f>
        <v>0</v>
      </c>
      <c r="F79" s="350"/>
      <c r="G79" s="25">
        <f t="shared" si="0"/>
        <v>0</v>
      </c>
      <c r="J79" s="73"/>
      <c r="L79" s="25"/>
      <c r="M79" s="26"/>
    </row>
    <row r="80" spans="3:21" s="16" customFormat="1" outlineLevel="1">
      <c r="C80" s="8" t="s">
        <v>5</v>
      </c>
      <c r="D80" s="543" t="s">
        <v>933</v>
      </c>
      <c r="E80" s="838">
        <f>2707376.616*0</f>
        <v>0</v>
      </c>
      <c r="F80" s="350"/>
      <c r="G80" s="25">
        <f t="shared" ref="G80:G81" si="2">(E80-F80)*0</f>
        <v>0</v>
      </c>
      <c r="J80" s="73"/>
      <c r="L80" s="25"/>
      <c r="M80" s="26"/>
    </row>
    <row r="81" spans="3:23" s="16" customFormat="1" outlineLevel="1">
      <c r="C81" s="8" t="s">
        <v>5</v>
      </c>
      <c r="D81" s="543" t="s">
        <v>934</v>
      </c>
      <c r="E81" s="838">
        <f>43507906.9584*0</f>
        <v>0</v>
      </c>
      <c r="F81" s="350"/>
      <c r="G81" s="25">
        <f t="shared" si="2"/>
        <v>0</v>
      </c>
      <c r="J81" s="73"/>
      <c r="L81" s="25"/>
      <c r="M81" s="26"/>
    </row>
    <row r="82" spans="3:23" s="16" customFormat="1" outlineLevel="1">
      <c r="C82" s="8" t="s">
        <v>5</v>
      </c>
      <c r="D82" s="543" t="s">
        <v>935</v>
      </c>
      <c r="E82" s="838">
        <f>21217642.2864*0</f>
        <v>0</v>
      </c>
      <c r="F82" s="350"/>
      <c r="G82" s="25">
        <f t="shared" ref="G82" si="3">(E82-F82)*0</f>
        <v>0</v>
      </c>
      <c r="J82" s="73"/>
      <c r="L82" s="25"/>
      <c r="M82" s="26"/>
    </row>
    <row r="83" spans="3:23" s="16" customFormat="1" outlineLevel="1">
      <c r="C83" s="232" t="s">
        <v>4</v>
      </c>
      <c r="D83" s="537" t="s">
        <v>873</v>
      </c>
      <c r="E83" s="837">
        <v>4074854.4165706965</v>
      </c>
      <c r="F83" s="532">
        <v>4040409.0362999998</v>
      </c>
      <c r="G83" s="25">
        <f>(E83-F83)</f>
        <v>34445.380270696711</v>
      </c>
      <c r="K83" s="25"/>
      <c r="L83" s="25"/>
      <c r="S83" s="35"/>
      <c r="U83" s="25"/>
      <c r="V83" s="102"/>
      <c r="W83" s="26"/>
    </row>
    <row r="84" spans="3:23" s="16" customFormat="1" outlineLevel="1">
      <c r="C84" s="232" t="s">
        <v>4</v>
      </c>
      <c r="D84" s="537" t="s">
        <v>874</v>
      </c>
      <c r="E84" s="837">
        <v>45275600.603429303</v>
      </c>
      <c r="F84" s="532">
        <v>44892878.886200003</v>
      </c>
      <c r="G84" s="25">
        <f>(E84-F84)</f>
        <v>382721.71722929925</v>
      </c>
      <c r="K84" s="25"/>
      <c r="L84" s="25"/>
      <c r="S84" s="35"/>
      <c r="U84" s="25"/>
      <c r="V84" s="102"/>
      <c r="W84" s="26"/>
    </row>
    <row r="85" spans="3:23" s="16" customFormat="1" outlineLevel="1">
      <c r="C85" s="8" t="s">
        <v>5</v>
      </c>
      <c r="D85" s="507" t="s">
        <v>790</v>
      </c>
      <c r="E85" s="838">
        <f>3973041.075*0</f>
        <v>0</v>
      </c>
      <c r="F85" s="489"/>
      <c r="G85" s="25">
        <f t="shared" si="0"/>
        <v>0</v>
      </c>
      <c r="J85" s="73"/>
      <c r="K85" s="25"/>
      <c r="L85" s="25"/>
      <c r="M85" s="30"/>
      <c r="T85" s="74"/>
      <c r="U85" s="74"/>
    </row>
    <row r="86" spans="3:23" s="16" customFormat="1" outlineLevel="1">
      <c r="C86" s="8" t="s">
        <v>5</v>
      </c>
      <c r="D86" s="541" t="s">
        <v>896</v>
      </c>
      <c r="E86" s="838">
        <f>5737331.7549*0</f>
        <v>0</v>
      </c>
      <c r="F86" s="489"/>
      <c r="G86" s="25">
        <f t="shared" ref="G86" si="4">(E86-F86)*0</f>
        <v>0</v>
      </c>
      <c r="J86" s="73"/>
      <c r="K86" s="25"/>
      <c r="L86" s="25"/>
      <c r="M86" s="30"/>
      <c r="T86" s="74"/>
      <c r="U86" s="74"/>
    </row>
    <row r="87" spans="3:23" s="16" customFormat="1" outlineLevel="1">
      <c r="C87" s="8" t="s">
        <v>5</v>
      </c>
      <c r="D87" s="507" t="s">
        <v>788</v>
      </c>
      <c r="E87" s="838">
        <f>761389470.9*0</f>
        <v>0</v>
      </c>
      <c r="F87" s="489"/>
      <c r="G87" s="25">
        <f>(E87-F87)*0</f>
        <v>0</v>
      </c>
      <c r="J87" s="73"/>
      <c r="K87" s="25"/>
      <c r="L87" s="25"/>
      <c r="M87" s="30"/>
      <c r="T87" s="74"/>
      <c r="U87" s="74"/>
    </row>
    <row r="88" spans="3:23" s="16" customFormat="1" ht="14.25" customHeight="1" outlineLevel="1">
      <c r="C88" s="232" t="s">
        <v>4</v>
      </c>
      <c r="D88" s="551" t="s">
        <v>875</v>
      </c>
      <c r="E88" s="837">
        <v>508583.24999999994</v>
      </c>
      <c r="F88" s="532">
        <v>498246.90089999995</v>
      </c>
      <c r="G88" s="25">
        <f>(E88-F88)</f>
        <v>10336.349099999992</v>
      </c>
      <c r="J88" s="52"/>
      <c r="L88" s="25"/>
      <c r="M88" s="26"/>
      <c r="U88" s="288"/>
    </row>
    <row r="89" spans="3:23" s="16" customFormat="1" ht="14.25" customHeight="1" outlineLevel="1">
      <c r="C89" s="232" t="s">
        <v>4</v>
      </c>
      <c r="D89" s="551" t="s">
        <v>876</v>
      </c>
      <c r="E89" s="837">
        <v>4623113.25</v>
      </c>
      <c r="F89" s="532">
        <v>4529153.9769000001</v>
      </c>
      <c r="G89" s="25">
        <f>(E89-F89)</f>
        <v>93959.273099999875</v>
      </c>
      <c r="J89" s="52"/>
      <c r="L89" s="25"/>
      <c r="M89" s="26"/>
      <c r="U89" s="288"/>
    </row>
    <row r="90" spans="3:23" s="16" customFormat="1" outlineLevel="1">
      <c r="C90" s="232" t="s">
        <v>4</v>
      </c>
      <c r="D90" s="537" t="s">
        <v>877</v>
      </c>
      <c r="E90" s="837">
        <v>3239286.4230468189</v>
      </c>
      <c r="F90" s="532">
        <v>3205708.8810000001</v>
      </c>
      <c r="G90" s="25">
        <f>(E90-F90)</f>
        <v>33577.542046818882</v>
      </c>
      <c r="L90" s="25"/>
      <c r="S90" s="26"/>
      <c r="U90" s="287"/>
    </row>
    <row r="91" spans="3:23" s="16" customFormat="1" outlineLevel="1">
      <c r="C91" s="232" t="s">
        <v>4</v>
      </c>
      <c r="D91" s="537" t="s">
        <v>878</v>
      </c>
      <c r="E91" s="837">
        <v>53987558.57695318</v>
      </c>
      <c r="F91" s="532">
        <v>53427938.561500005</v>
      </c>
      <c r="G91" s="25">
        <f>(E91-F91)</f>
        <v>559620.01545317471</v>
      </c>
      <c r="L91" s="25"/>
      <c r="S91" s="26"/>
      <c r="U91" s="287"/>
    </row>
    <row r="92" spans="3:23" s="16" customFormat="1" outlineLevel="1">
      <c r="C92" s="8" t="s">
        <v>5</v>
      </c>
      <c r="D92" s="531" t="s">
        <v>879</v>
      </c>
      <c r="E92" s="838">
        <f>5494632.9165*0</f>
        <v>0</v>
      </c>
      <c r="F92" s="350"/>
      <c r="G92" s="25">
        <f t="shared" si="0"/>
        <v>0</v>
      </c>
      <c r="J92" s="241"/>
      <c r="K92" s="8"/>
      <c r="L92" s="25"/>
      <c r="M92" s="30"/>
      <c r="T92" s="74"/>
      <c r="U92" s="74"/>
    </row>
    <row r="93" spans="3:23" s="16" customFormat="1" outlineLevel="1">
      <c r="C93" s="8" t="s">
        <v>5</v>
      </c>
      <c r="D93" s="531" t="s">
        <v>880</v>
      </c>
      <c r="E93" s="838">
        <f>68683476.3615*0</f>
        <v>0</v>
      </c>
      <c r="F93" s="350"/>
      <c r="G93" s="25">
        <f t="shared" si="0"/>
        <v>0</v>
      </c>
      <c r="J93" s="241"/>
      <c r="K93" s="8"/>
      <c r="L93" s="25"/>
      <c r="M93" s="30"/>
      <c r="T93" s="74"/>
      <c r="U93" s="74"/>
    </row>
    <row r="94" spans="3:23" s="16" customFormat="1" outlineLevel="1">
      <c r="C94" s="232" t="s">
        <v>5</v>
      </c>
      <c r="D94" s="545" t="s">
        <v>914</v>
      </c>
      <c r="E94" s="837">
        <v>10822101.792948769</v>
      </c>
      <c r="F94" s="8">
        <f>11287082.5151</f>
        <v>11287082.5151</v>
      </c>
      <c r="G94" s="25">
        <f t="shared" ref="G94:G99" si="5">(E94-F94)</f>
        <v>-464980.72215123102</v>
      </c>
      <c r="J94" s="73"/>
      <c r="K94" s="25"/>
      <c r="L94" s="25"/>
      <c r="S94" s="35"/>
      <c r="U94" s="25"/>
    </row>
    <row r="95" spans="3:23" s="16" customFormat="1" outlineLevel="1">
      <c r="C95" s="232" t="s">
        <v>5</v>
      </c>
      <c r="D95" s="545" t="s">
        <v>915</v>
      </c>
      <c r="E95" s="837">
        <v>1037676.560250781</v>
      </c>
      <c r="F95" s="8">
        <v>1031230.2000000001</v>
      </c>
      <c r="G95" s="25">
        <f t="shared" si="5"/>
        <v>6446.360250780941</v>
      </c>
      <c r="J95" s="73"/>
      <c r="K95" s="25"/>
      <c r="L95" s="25"/>
      <c r="S95" s="35"/>
      <c r="U95" s="25"/>
    </row>
    <row r="96" spans="3:23" s="16" customFormat="1" outlineLevel="1">
      <c r="C96" s="232" t="s">
        <v>5</v>
      </c>
      <c r="D96" s="545" t="s">
        <v>916</v>
      </c>
      <c r="E96" s="837">
        <v>11831038.781800449</v>
      </c>
      <c r="F96" s="8">
        <v>11757540.795</v>
      </c>
      <c r="G96" s="25">
        <f t="shared" si="5"/>
        <v>73497.986800448969</v>
      </c>
      <c r="J96" s="73"/>
      <c r="K96" s="25"/>
      <c r="L96" s="25"/>
      <c r="S96" s="35"/>
      <c r="U96" s="25"/>
    </row>
    <row r="97" spans="3:22" s="16" customFormat="1" outlineLevel="1">
      <c r="C97" s="232" t="s">
        <v>4</v>
      </c>
      <c r="D97" s="545" t="s">
        <v>921</v>
      </c>
      <c r="E97" s="837">
        <v>1751760</v>
      </c>
      <c r="F97" s="8">
        <v>1749384</v>
      </c>
      <c r="G97" s="25">
        <f t="shared" si="5"/>
        <v>2376</v>
      </c>
      <c r="J97" s="73"/>
      <c r="K97" s="25"/>
      <c r="L97" s="25"/>
      <c r="S97" s="35"/>
      <c r="U97" s="25"/>
    </row>
    <row r="98" spans="3:22" s="16" customFormat="1" outlineLevel="1">
      <c r="C98" s="232" t="s">
        <v>4</v>
      </c>
      <c r="D98" s="545" t="s">
        <v>922</v>
      </c>
      <c r="E98" s="837">
        <v>5417974.71</v>
      </c>
      <c r="F98" s="8">
        <v>5410626.0389999999</v>
      </c>
      <c r="G98" s="25">
        <f t="shared" si="5"/>
        <v>7348.6710000000894</v>
      </c>
      <c r="J98" s="73"/>
      <c r="K98" s="25"/>
      <c r="L98" s="25"/>
      <c r="S98" s="35"/>
      <c r="U98" s="25"/>
    </row>
    <row r="99" spans="3:22" s="16" customFormat="1" outlineLevel="1">
      <c r="C99" s="232" t="s">
        <v>4</v>
      </c>
      <c r="D99" s="545" t="s">
        <v>923</v>
      </c>
      <c r="E99" s="837">
        <v>5474250</v>
      </c>
      <c r="F99" s="8">
        <v>5466825</v>
      </c>
      <c r="G99" s="25">
        <f t="shared" si="5"/>
        <v>7425</v>
      </c>
      <c r="J99" s="73"/>
      <c r="K99" s="25"/>
      <c r="L99" s="25"/>
      <c r="S99" s="35"/>
      <c r="U99" s="25"/>
    </row>
    <row r="100" spans="3:22" s="16" customFormat="1" outlineLevel="1">
      <c r="C100" s="232" t="s">
        <v>4</v>
      </c>
      <c r="D100" s="231" t="s">
        <v>977</v>
      </c>
      <c r="E100" s="837">
        <v>11825858.025</v>
      </c>
      <c r="F100" s="435">
        <f>(3255.57*3890.28)</f>
        <v>12665078.859600002</v>
      </c>
      <c r="G100" s="25">
        <f>(E100-F100)</f>
        <v>-839220.83460000157</v>
      </c>
      <c r="J100" s="326"/>
      <c r="L100" s="25"/>
      <c r="M100" s="26"/>
    </row>
    <row r="101" spans="3:22" s="16" customFormat="1" outlineLevel="1">
      <c r="C101" s="232" t="s">
        <v>4</v>
      </c>
      <c r="D101" s="231" t="s">
        <v>978</v>
      </c>
      <c r="E101" s="837">
        <v>3112326</v>
      </c>
      <c r="F101" s="435">
        <f>3333190.9</f>
        <v>3333190.9</v>
      </c>
      <c r="G101" s="25">
        <f>(E101-F101)</f>
        <v>-220864.89999999991</v>
      </c>
      <c r="J101" s="73"/>
      <c r="K101" s="25"/>
      <c r="L101" s="25"/>
      <c r="M101" s="30"/>
      <c r="T101" s="74"/>
      <c r="U101" s="74"/>
    </row>
    <row r="102" spans="3:22" s="16" customFormat="1" outlineLevel="1">
      <c r="C102" s="232" t="s">
        <v>4</v>
      </c>
      <c r="D102" s="552" t="s">
        <v>979</v>
      </c>
      <c r="E102" s="837">
        <v>840996.4</v>
      </c>
      <c r="F102" s="435">
        <f>868549.5952</f>
        <v>868549.59519999998</v>
      </c>
      <c r="G102" s="25">
        <f>(E102-F102)</f>
        <v>-27553.195199999958</v>
      </c>
      <c r="J102" s="326"/>
      <c r="L102" s="25"/>
      <c r="M102" s="26"/>
    </row>
    <row r="103" spans="3:22" s="16" customFormat="1" outlineLevel="1">
      <c r="C103" s="8" t="s">
        <v>5</v>
      </c>
      <c r="D103" s="9" t="s">
        <v>942</v>
      </c>
      <c r="E103" s="838">
        <f>23615660.7027*0</f>
        <v>0</v>
      </c>
      <c r="F103" s="8"/>
      <c r="G103" s="25">
        <f t="shared" si="0"/>
        <v>0</v>
      </c>
      <c r="J103" s="326"/>
      <c r="L103" s="25"/>
      <c r="M103" s="26"/>
    </row>
    <row r="104" spans="3:22" s="16" customFormat="1" outlineLevel="1">
      <c r="C104" s="8" t="s">
        <v>5</v>
      </c>
      <c r="D104" s="9" t="s">
        <v>789</v>
      </c>
      <c r="E104" s="838">
        <f>2672509.14*0</f>
        <v>0</v>
      </c>
      <c r="F104" s="8"/>
      <c r="G104" s="25">
        <f t="shared" si="0"/>
        <v>0</v>
      </c>
      <c r="J104" s="326"/>
      <c r="L104" s="25"/>
      <c r="M104" s="26"/>
    </row>
    <row r="105" spans="3:22" s="16" customFormat="1" outlineLevel="1">
      <c r="C105" s="232" t="s">
        <v>4</v>
      </c>
      <c r="D105" s="231" t="s">
        <v>1038</v>
      </c>
      <c r="E105" s="837">
        <v>2356414.2000000002</v>
      </c>
      <c r="F105" s="8">
        <v>2375897.8320000004</v>
      </c>
      <c r="G105" s="25">
        <f>(E105-F105)</f>
        <v>-19483.632000000216</v>
      </c>
      <c r="J105" s="326"/>
      <c r="L105" s="25"/>
      <c r="M105" s="26"/>
    </row>
    <row r="106" spans="3:22" s="16" customFormat="1" outlineLevel="1">
      <c r="C106" s="232" t="s">
        <v>4</v>
      </c>
      <c r="D106" s="231" t="s">
        <v>1039</v>
      </c>
      <c r="E106" s="837">
        <v>62827811.099999994</v>
      </c>
      <c r="F106" s="8">
        <v>63347292.755999997</v>
      </c>
      <c r="G106" s="25">
        <f>(E106-F106)</f>
        <v>-519481.65600000322</v>
      </c>
      <c r="J106" s="326"/>
      <c r="L106" s="25"/>
      <c r="M106" s="26"/>
    </row>
    <row r="107" spans="3:22" s="16" customFormat="1" outlineLevel="1">
      <c r="C107" s="232" t="s">
        <v>4</v>
      </c>
      <c r="D107" s="231" t="s">
        <v>881</v>
      </c>
      <c r="E107" s="837">
        <v>46678464</v>
      </c>
      <c r="F107" s="532">
        <v>47517956.640000001</v>
      </c>
      <c r="G107" s="25">
        <f>(E107-F107)</f>
        <v>-839492.6400000006</v>
      </c>
      <c r="J107" s="326"/>
      <c r="L107" s="25"/>
      <c r="M107" s="26"/>
    </row>
    <row r="108" spans="3:22" s="16" customFormat="1" outlineLevel="1">
      <c r="C108" s="232" t="s">
        <v>4</v>
      </c>
      <c r="D108" s="231" t="s">
        <v>882</v>
      </c>
      <c r="E108" s="837">
        <v>948507696</v>
      </c>
      <c r="F108" s="532">
        <v>965566209.96000004</v>
      </c>
      <c r="G108" s="25">
        <f>(E108-F108)</f>
        <v>-17058513.960000038</v>
      </c>
      <c r="J108" s="326"/>
      <c r="L108" s="25"/>
      <c r="M108" s="26"/>
    </row>
    <row r="109" spans="3:22" s="16" customFormat="1" outlineLevel="1">
      <c r="C109" s="232" t="s">
        <v>4</v>
      </c>
      <c r="D109" s="231" t="s">
        <v>883</v>
      </c>
      <c r="E109" s="837">
        <v>1095096</v>
      </c>
      <c r="F109" s="350"/>
      <c r="G109" s="25">
        <f t="shared" si="0"/>
        <v>0</v>
      </c>
      <c r="J109" s="73"/>
      <c r="K109" s="25"/>
      <c r="L109" s="25"/>
      <c r="M109" s="30"/>
      <c r="T109" s="74"/>
      <c r="U109" s="74"/>
    </row>
    <row r="110" spans="3:22" s="16" customFormat="1" outlineLevel="1">
      <c r="C110" s="232" t="s">
        <v>4</v>
      </c>
      <c r="D110" s="231" t="s">
        <v>884</v>
      </c>
      <c r="E110" s="837">
        <v>83108175</v>
      </c>
      <c r="F110" s="350"/>
      <c r="G110" s="25">
        <f t="shared" si="0"/>
        <v>0</v>
      </c>
      <c r="J110" s="73"/>
      <c r="K110" s="25"/>
      <c r="L110" s="25"/>
      <c r="M110" s="30"/>
      <c r="T110" s="74"/>
      <c r="U110" s="74"/>
    </row>
    <row r="111" spans="3:22" s="16" customFormat="1" ht="15.75">
      <c r="C111" s="24"/>
      <c r="D111" s="75" t="s">
        <v>8</v>
      </c>
      <c r="E111" s="18">
        <f>SUBTOTAL(9,E4:E110)</f>
        <v>2706754720.2844706</v>
      </c>
      <c r="F111" s="14"/>
      <c r="G111" s="14">
        <f>SUM(G16:G110)</f>
        <v>15233809.696099937</v>
      </c>
      <c r="J111" s="25"/>
      <c r="K111" s="76"/>
      <c r="L111" s="25"/>
      <c r="T111" s="78"/>
      <c r="U111" s="33"/>
      <c r="V111" s="26"/>
    </row>
    <row r="112" spans="3:22" s="16" customFormat="1" ht="15.75">
      <c r="C112" s="24"/>
      <c r="D112" s="79"/>
      <c r="E112" s="17"/>
      <c r="G112" s="80"/>
      <c r="T112" s="33"/>
      <c r="U112" s="33"/>
    </row>
    <row r="113" spans="1:24" s="16" customFormat="1" ht="15.75">
      <c r="C113" s="24"/>
      <c r="G113" s="25"/>
      <c r="K113" s="25"/>
      <c r="S113" s="12"/>
      <c r="T113" s="32"/>
      <c r="U113" s="10"/>
    </row>
    <row r="114" spans="1:24" s="16" customFormat="1" ht="15.75">
      <c r="C114" s="81" t="s">
        <v>9</v>
      </c>
      <c r="D114" s="81"/>
      <c r="E114" s="81" t="s">
        <v>791</v>
      </c>
      <c r="F114" s="81" t="s">
        <v>10</v>
      </c>
      <c r="G114" s="81"/>
      <c r="H114" s="81"/>
      <c r="I114" s="81"/>
      <c r="J114" s="82">
        <v>46023</v>
      </c>
      <c r="K114" s="25"/>
      <c r="L114" s="10"/>
      <c r="M114" s="10"/>
      <c r="N114" s="10"/>
      <c r="O114" s="10"/>
      <c r="S114" s="12"/>
      <c r="W114" s="25"/>
      <c r="X114" s="25"/>
    </row>
    <row r="115" spans="1:24" s="16" customFormat="1" ht="16.5" thickBot="1">
      <c r="C115" s="48" t="s">
        <v>11</v>
      </c>
      <c r="D115" s="15" t="s">
        <v>12</v>
      </c>
      <c r="E115" s="14" t="s">
        <v>13</v>
      </c>
      <c r="F115" s="13" t="s">
        <v>14</v>
      </c>
      <c r="G115" s="12" t="s">
        <v>15</v>
      </c>
      <c r="H115" s="12"/>
      <c r="I115" s="12"/>
      <c r="J115" s="11" t="s">
        <v>16</v>
      </c>
      <c r="K115" s="11" t="s">
        <v>17</v>
      </c>
      <c r="S115" s="31"/>
      <c r="W115" s="25"/>
      <c r="X115" s="83"/>
    </row>
    <row r="116" spans="1:24" s="16" customFormat="1" ht="16.5" thickBot="1">
      <c r="D116" s="351" t="s">
        <v>18</v>
      </c>
      <c r="E116" s="352">
        <f>SUBTOTAL(9,E117:E121)</f>
        <v>21791439</v>
      </c>
      <c r="K116" s="25"/>
    </row>
    <row r="117" spans="1:24" s="16" customFormat="1" outlineLevel="1">
      <c r="A117" s="16" t="str">
        <f>G117</f>
        <v>Cancelado</v>
      </c>
      <c r="B117" s="16">
        <f>IF(I117&lt;=-1,1,IF(I117&lt;=5,2,IF(I117&lt;=15,3,IF(H117&lt;=60,4))))</f>
        <v>2</v>
      </c>
      <c r="C117" s="24"/>
      <c r="D117" s="347" t="s">
        <v>93</v>
      </c>
      <c r="E117" s="350">
        <f>3666326*0</f>
        <v>0</v>
      </c>
      <c r="F117" s="7">
        <v>46024</v>
      </c>
      <c r="G117" s="16" t="s">
        <v>20</v>
      </c>
      <c r="H117" s="16">
        <f>IF(OR(G117="Sin pagar",G117="Pagar"),NETWORKDAYS($J$114,F117,'Festivos Colombia'!$A$3:$A$22),0)</f>
        <v>0</v>
      </c>
      <c r="I117" s="16">
        <f>NETWORKDAYS($J$114,F117,'Festivos Colombia'!$A$3:$A$22)</f>
        <v>1</v>
      </c>
      <c r="J117" s="46">
        <f>H117</f>
        <v>0</v>
      </c>
      <c r="K117" s="25"/>
      <c r="L117" s="25"/>
      <c r="M117" s="41"/>
    </row>
    <row r="118" spans="1:24" s="16" customFormat="1" outlineLevel="1">
      <c r="A118" s="16" t="str">
        <f>G118</f>
        <v>Cancelado</v>
      </c>
      <c r="B118" s="16">
        <f>IF(I118&lt;=-1,1,IF(I118&lt;=5,2,IF(I118&lt;=15,3,IF(H118&lt;=60,4))))</f>
        <v>2</v>
      </c>
      <c r="C118" s="24"/>
      <c r="D118" s="511" t="s">
        <v>800</v>
      </c>
      <c r="E118" s="350">
        <v>3184147</v>
      </c>
      <c r="F118" s="7">
        <v>46029</v>
      </c>
      <c r="G118" s="16" t="s">
        <v>20</v>
      </c>
      <c r="H118" s="16">
        <f>IF(OR(G118="Sin pagar",G118="Pagar"),NETWORKDAYS($J$114,F118,'Festivos Colombia'!$A$3:$A$22),0)</f>
        <v>0</v>
      </c>
      <c r="I118" s="16">
        <f>NETWORKDAYS($J$114,F118,'Festivos Colombia'!$A$3:$A$22)</f>
        <v>4</v>
      </c>
      <c r="J118" s="46">
        <f>H118</f>
        <v>0</v>
      </c>
      <c r="K118" s="25"/>
      <c r="L118" s="25"/>
      <c r="M118" s="41"/>
    </row>
    <row r="119" spans="1:24" s="16" customFormat="1" outlineLevel="1">
      <c r="A119" s="16" t="str">
        <f>G119</f>
        <v>Cancelado</v>
      </c>
      <c r="B119" s="16">
        <f>IF(I119&lt;=-1,1,IF(I119&lt;=5,2,IF(I119&lt;=15,3,IF(H119&lt;=60,4))))</f>
        <v>3</v>
      </c>
      <c r="C119" s="24"/>
      <c r="D119" s="347" t="s">
        <v>19</v>
      </c>
      <c r="E119" s="350">
        <v>9500000</v>
      </c>
      <c r="F119" s="7">
        <v>46036</v>
      </c>
      <c r="G119" s="16" t="s">
        <v>20</v>
      </c>
      <c r="H119" s="16">
        <f>IF(OR(G119="Sin pagar",G119="Pagar"),NETWORKDAYS($J$114,F119,'Festivos Colombia'!$A$3:$A$22),0)</f>
        <v>0</v>
      </c>
      <c r="I119" s="16">
        <f>NETWORKDAYS($J$114,F119,'Festivos Colombia'!$A$3:$A$22)</f>
        <v>8</v>
      </c>
      <c r="J119" s="46">
        <f t="shared" ref="J119:J120" si="6">H119</f>
        <v>0</v>
      </c>
      <c r="K119" s="25"/>
      <c r="L119" s="25"/>
      <c r="M119" s="41"/>
    </row>
    <row r="120" spans="1:24" s="16" customFormat="1" outlineLevel="1">
      <c r="A120" s="16" t="str">
        <f>G120</f>
        <v>Cancelado</v>
      </c>
      <c r="B120" s="16">
        <f>IF(I120&lt;=-1,1,IF(I120&lt;=5,2,IF(I120&lt;=15,3,IF(H120&lt;=60,4))))</f>
        <v>3</v>
      </c>
      <c r="C120" s="24"/>
      <c r="D120" s="347" t="s">
        <v>93</v>
      </c>
      <c r="E120" s="350">
        <v>4360000</v>
      </c>
      <c r="F120" s="7">
        <v>46036</v>
      </c>
      <c r="G120" s="16" t="s">
        <v>20</v>
      </c>
      <c r="H120" s="16">
        <f>IF(OR(G120="Sin pagar",G120="Pagar"),NETWORKDAYS($J$114,F120,'Festivos Colombia'!$A$3:$A$22),0)</f>
        <v>0</v>
      </c>
      <c r="I120" s="16">
        <f>NETWORKDAYS($J$114,F120,'Festivos Colombia'!$A$3:$A$22)</f>
        <v>8</v>
      </c>
      <c r="J120" s="46">
        <f t="shared" si="6"/>
        <v>0</v>
      </c>
      <c r="K120" s="25"/>
      <c r="L120" s="25"/>
      <c r="M120" s="41"/>
    </row>
    <row r="121" spans="1:24" s="16" customFormat="1" ht="15.75" outlineLevel="1" thickBot="1">
      <c r="A121" s="16" t="str">
        <f>G121</f>
        <v>Cancelado</v>
      </c>
      <c r="B121" s="16">
        <f>IF(I121&lt;=-1,1,IF(I121&lt;=5,2,IF(I121&lt;=15,3,IF(H121&lt;=60,4))))</f>
        <v>4</v>
      </c>
      <c r="C121" s="24"/>
      <c r="D121" s="347" t="s">
        <v>93</v>
      </c>
      <c r="E121" s="350">
        <f>4747292</f>
        <v>4747292</v>
      </c>
      <c r="F121" s="7">
        <v>46055</v>
      </c>
      <c r="G121" s="16" t="s">
        <v>20</v>
      </c>
      <c r="H121" s="16">
        <f>IF(OR(G121="Sin pagar",G121="Pagar"),NETWORKDAYS($J$114,F121,'Festivos Colombia'!$A$3:$A$22),0)</f>
        <v>0</v>
      </c>
      <c r="I121" s="16">
        <f>NETWORKDAYS($J$114,F121,'Festivos Colombia'!$A$3:$A$22)</f>
        <v>21</v>
      </c>
      <c r="J121" s="46">
        <f>H121</f>
        <v>0</v>
      </c>
      <c r="K121" s="25"/>
      <c r="L121" s="25"/>
      <c r="M121" s="41"/>
    </row>
    <row r="122" spans="1:24" s="16" customFormat="1" ht="16.5" thickBot="1">
      <c r="C122" s="24"/>
      <c r="D122" s="351" t="s">
        <v>21</v>
      </c>
      <c r="E122" s="352">
        <f>SUBTOTAL(9,E123:E123)</f>
        <v>464642000</v>
      </c>
      <c r="F122" s="7"/>
      <c r="J122" s="29"/>
    </row>
    <row r="123" spans="1:24" s="16" customFormat="1" ht="15.75" outlineLevel="1" thickBot="1">
      <c r="A123" s="16" t="str">
        <f>G123</f>
        <v>Cancelado</v>
      </c>
      <c r="B123" s="16">
        <f>IF(I123&lt;=-1,1,IF(I123&lt;=5,2,IF(I123&lt;=15,3,IF(H123&lt;=60,4))))</f>
        <v>3</v>
      </c>
      <c r="C123" s="105">
        <v>176206200</v>
      </c>
      <c r="D123" s="95" t="s">
        <v>22</v>
      </c>
      <c r="E123" s="508">
        <v>464642000</v>
      </c>
      <c r="F123" s="7">
        <v>46036</v>
      </c>
      <c r="G123" s="16" t="s">
        <v>20</v>
      </c>
      <c r="H123" s="16">
        <f>IF(OR(G123="Sin pagar",G123="Pagar"),NETWORKDAYS($J$114,F123,'Festivos Colombia'!$A$3:$A$22),0)</f>
        <v>0</v>
      </c>
      <c r="I123" s="16">
        <f>NETWORKDAYS($J$114,F123,'Festivos Colombia'!$A$3:$A$22)</f>
        <v>8</v>
      </c>
      <c r="J123" s="46">
        <f t="shared" ref="J123" si="7">H123</f>
        <v>0</v>
      </c>
      <c r="K123" s="8"/>
      <c r="L123" s="25"/>
      <c r="M123" s="25"/>
    </row>
    <row r="124" spans="1:24" s="16" customFormat="1" ht="16.5" thickBot="1">
      <c r="C124" s="24"/>
      <c r="D124" s="351" t="s">
        <v>23</v>
      </c>
      <c r="E124" s="352">
        <f>SUBTOTAL(9,E125:E127)</f>
        <v>18075460</v>
      </c>
      <c r="K124" s="34"/>
      <c r="L124" s="25"/>
    </row>
    <row r="125" spans="1:24" s="16" customFormat="1" outlineLevel="1">
      <c r="A125" s="16" t="str">
        <f t="shared" ref="A125:A127" si="8">G125</f>
        <v>Cancelado</v>
      </c>
      <c r="B125" s="16">
        <f t="shared" ref="B125:B127" si="9">IF(I125&lt;=-1,1,IF(I125&lt;=5,2,IF(I125&lt;=15,3,IF(H125&lt;=60,4))))</f>
        <v>4</v>
      </c>
      <c r="C125" s="24"/>
      <c r="D125" s="9" t="s">
        <v>101</v>
      </c>
      <c r="E125" s="8">
        <v>1000000</v>
      </c>
      <c r="F125" s="7">
        <v>46052</v>
      </c>
      <c r="G125" s="16" t="s">
        <v>20</v>
      </c>
      <c r="H125" s="16">
        <f>IF(OR(G125="Sin pagar",G125="Pagar"),NETWORKDAYS($J$114,F125,'Festivos Colombia'!$A$3:$A$22),0)</f>
        <v>0</v>
      </c>
      <c r="I125" s="16">
        <f>NETWORKDAYS($J$114,F125,'Festivos Colombia'!$A$3:$A$22)</f>
        <v>20</v>
      </c>
      <c r="J125" s="46">
        <f t="shared" ref="J125:J149" si="10">H125</f>
        <v>0</v>
      </c>
      <c r="K125" s="25"/>
      <c r="L125" s="25"/>
    </row>
    <row r="126" spans="1:24" s="16" customFormat="1" outlineLevel="1">
      <c r="A126" s="16" t="str">
        <f t="shared" si="8"/>
        <v>Cancelado</v>
      </c>
      <c r="B126" s="16">
        <f t="shared" si="9"/>
        <v>4</v>
      </c>
      <c r="C126" s="24"/>
      <c r="D126" s="9" t="s">
        <v>24</v>
      </c>
      <c r="E126" s="8">
        <f>4100000+1650000+5000000+3950000</f>
        <v>14700000</v>
      </c>
      <c r="F126" s="7">
        <v>46050</v>
      </c>
      <c r="G126" s="16" t="s">
        <v>20</v>
      </c>
      <c r="H126" s="16">
        <f>IF(OR(G126="Sin pagar",G126="Pagar"),NETWORKDAYS($J$114,F126,'Festivos Colombia'!$A$3:$A$22),0)</f>
        <v>0</v>
      </c>
      <c r="I126" s="16">
        <f>NETWORKDAYS($J$114,F126,'Festivos Colombia'!$A$3:$A$22)</f>
        <v>18</v>
      </c>
      <c r="J126" s="46">
        <f t="shared" si="10"/>
        <v>0</v>
      </c>
      <c r="L126" s="25"/>
      <c r="M126" s="25"/>
    </row>
    <row r="127" spans="1:24" s="16" customFormat="1" ht="15.75" outlineLevel="1" thickBot="1">
      <c r="A127" s="16" t="str">
        <f t="shared" si="8"/>
        <v>Cancelado</v>
      </c>
      <c r="B127" s="16">
        <f t="shared" si="9"/>
        <v>4</v>
      </c>
      <c r="C127" s="24"/>
      <c r="D127" s="9" t="s">
        <v>102</v>
      </c>
      <c r="E127" s="8">
        <v>2375460</v>
      </c>
      <c r="F127" s="7">
        <v>46050</v>
      </c>
      <c r="G127" s="16" t="s">
        <v>20</v>
      </c>
      <c r="H127" s="16">
        <f>IF(OR(G127="Sin pagar",G127="Pagar"),NETWORKDAYS($J$114,F127,'Festivos Colombia'!$A$3:$A$22),0)</f>
        <v>0</v>
      </c>
      <c r="I127" s="16">
        <f>NETWORKDAYS($J$114,F127,'Festivos Colombia'!$A$3:$A$22)</f>
        <v>18</v>
      </c>
      <c r="J127" s="46">
        <f t="shared" si="10"/>
        <v>0</v>
      </c>
      <c r="K127" s="25"/>
      <c r="L127" s="25"/>
      <c r="M127" s="25"/>
    </row>
    <row r="128" spans="1:24" s="16" customFormat="1" ht="16.5" thickBot="1">
      <c r="C128" s="24"/>
      <c r="D128" s="351" t="s">
        <v>26</v>
      </c>
      <c r="E128" s="352">
        <f>SUBTOTAL(9,E129:E132)</f>
        <v>216455000</v>
      </c>
      <c r="J128" s="29">
        <f t="shared" si="10"/>
        <v>0</v>
      </c>
      <c r="K128" s="25"/>
      <c r="L128" s="25"/>
    </row>
    <row r="129" spans="1:21" s="16" customFormat="1" outlineLevel="1">
      <c r="C129" s="60"/>
      <c r="D129" s="9" t="s">
        <v>828</v>
      </c>
      <c r="E129" s="8">
        <v>1090000</v>
      </c>
      <c r="F129" s="353">
        <v>46038</v>
      </c>
      <c r="G129" s="16" t="s">
        <v>20</v>
      </c>
      <c r="H129" s="16">
        <f>IF(OR(G129="Sin pagar",G129="Pagar"),NETWORKDAYS($J$114,F129,'Festivos Colombia'!$A$3:$A$22),0)</f>
        <v>0</v>
      </c>
      <c r="I129" s="16">
        <f>NETWORKDAYS($J$114,F129,'Festivos Colombia'!$A$3:$A$22)</f>
        <v>10</v>
      </c>
      <c r="J129" s="46">
        <f>H129</f>
        <v>0</v>
      </c>
      <c r="K129" s="8"/>
      <c r="L129" s="41"/>
      <c r="M129" s="236"/>
    </row>
    <row r="130" spans="1:21" s="16" customFormat="1" outlineLevel="1">
      <c r="C130" s="60"/>
      <c r="D130" s="9" t="s">
        <v>792</v>
      </c>
      <c r="E130" s="8">
        <v>72004000</v>
      </c>
      <c r="F130" s="353">
        <v>46041</v>
      </c>
      <c r="G130" s="16" t="s">
        <v>20</v>
      </c>
      <c r="H130" s="16">
        <f>IF(OR(G130="Sin pagar",G130="Pagar"),NETWORKDAYS($J$114,F130,'Festivos Colombia'!$A$3:$A$22),0)</f>
        <v>0</v>
      </c>
      <c r="I130" s="16">
        <f>NETWORKDAYS($J$114,F130,'Festivos Colombia'!$A$3:$A$22)</f>
        <v>11</v>
      </c>
      <c r="J130" s="46">
        <f>H130</f>
        <v>0</v>
      </c>
      <c r="K130" s="8"/>
      <c r="L130" s="41"/>
      <c r="M130" s="236"/>
    </row>
    <row r="131" spans="1:21" s="16" customFormat="1" outlineLevel="1">
      <c r="A131" s="16" t="str">
        <f>G131</f>
        <v>Cancelado</v>
      </c>
      <c r="B131" s="16">
        <f>IF(I131&lt;=-1,1,IF(I131&lt;=5,2,IF(I131&lt;=15,3,IF(H131&lt;=60,4))))</f>
        <v>3</v>
      </c>
      <c r="C131" s="60"/>
      <c r="D131" s="9" t="s">
        <v>28</v>
      </c>
      <c r="E131" s="508">
        <v>143189000</v>
      </c>
      <c r="F131" s="353">
        <v>46041</v>
      </c>
      <c r="G131" s="16" t="s">
        <v>20</v>
      </c>
      <c r="H131" s="16">
        <f>IF(OR(G131="Sin pagar",G131="Pagar"),NETWORKDAYS($J$114,F131,'Festivos Colombia'!$A$3:$A$22),0)</f>
        <v>0</v>
      </c>
      <c r="I131" s="16">
        <f>NETWORKDAYS($J$114,F131,'Festivos Colombia'!$A$3:$A$22)</f>
        <v>11</v>
      </c>
      <c r="J131" s="46">
        <f>H131</f>
        <v>0</v>
      </c>
      <c r="K131" s="8"/>
      <c r="L131" s="41"/>
      <c r="M131" s="236"/>
    </row>
    <row r="132" spans="1:21" s="16" customFormat="1" ht="15.75" outlineLevel="1" thickBot="1">
      <c r="C132" s="60"/>
      <c r="D132" s="9" t="s">
        <v>29</v>
      </c>
      <c r="E132" s="508">
        <v>172000</v>
      </c>
      <c r="F132" s="353">
        <v>46041</v>
      </c>
      <c r="G132" s="16" t="s">
        <v>20</v>
      </c>
      <c r="H132" s="16">
        <f>IF(OR(G132="Sin pagar",G132="Pagar"),NETWORKDAYS($J$114,F132,'Festivos Colombia'!$A$3:$A$22),0)</f>
        <v>0</v>
      </c>
      <c r="I132" s="16">
        <f>NETWORKDAYS($J$114,F132,'Festivos Colombia'!$A$3:$A$22)</f>
        <v>11</v>
      </c>
      <c r="J132" s="46">
        <f>H132</f>
        <v>0</v>
      </c>
      <c r="K132" s="8"/>
      <c r="L132" s="41"/>
      <c r="M132" s="236"/>
    </row>
    <row r="133" spans="1:21" s="16" customFormat="1" ht="16.5" thickBot="1">
      <c r="C133" s="24"/>
      <c r="D133" s="351" t="s">
        <v>31</v>
      </c>
      <c r="E133" s="352">
        <f>SUBTOTAL(9,E134:E152)</f>
        <v>9884764.5099999998</v>
      </c>
      <c r="J133" s="29">
        <f t="shared" si="10"/>
        <v>0</v>
      </c>
      <c r="K133" s="34"/>
      <c r="L133" s="25"/>
      <c r="M133" s="25"/>
    </row>
    <row r="134" spans="1:21" s="16" customFormat="1" outlineLevel="1">
      <c r="A134" s="16" t="str">
        <f>G134</f>
        <v>Cancelado</v>
      </c>
      <c r="B134" s="16">
        <f>IF(I134&lt;=-1,1,IF(I134&lt;=5,2,IF(I134&lt;=15,3,IF(H134&lt;=60,4))))</f>
        <v>3</v>
      </c>
      <c r="C134" s="24">
        <v>26978</v>
      </c>
      <c r="D134" s="9" t="s">
        <v>610</v>
      </c>
      <c r="E134" s="8">
        <v>667000</v>
      </c>
      <c r="F134" s="353">
        <v>46031</v>
      </c>
      <c r="G134" s="16" t="s">
        <v>20</v>
      </c>
      <c r="H134" s="16">
        <f>IF(OR(G134="Sin pagar",G134="Pagar"),NETWORKDAYS($J$114,F134,'Festivos Colombia'!$A$3:$A$22),0)</f>
        <v>0</v>
      </c>
      <c r="I134" s="16">
        <f>NETWORKDAYS($J$114,F134,'Festivos Colombia'!$A$3:$A$22)</f>
        <v>6</v>
      </c>
      <c r="J134" s="46">
        <f>H134</f>
        <v>0</v>
      </c>
      <c r="K134" s="58"/>
      <c r="S134" s="27"/>
    </row>
    <row r="135" spans="1:21" s="16" customFormat="1" ht="14.25" customHeight="1" outlineLevel="1">
      <c r="A135" s="16" t="str">
        <f>G135</f>
        <v>Cancelado</v>
      </c>
      <c r="B135" s="16">
        <f>IF(I135&lt;=-1,1,IF(I135&lt;=5,2,IF(I135&lt;=15,3,IF(H135&lt;=60,4))))</f>
        <v>3</v>
      </c>
      <c r="C135" s="513" t="s">
        <v>805</v>
      </c>
      <c r="D135" s="9" t="s">
        <v>569</v>
      </c>
      <c r="E135" s="350">
        <f>1178285.75</f>
        <v>1178285.75</v>
      </c>
      <c r="F135" s="353">
        <v>46031</v>
      </c>
      <c r="G135" s="16" t="s">
        <v>20</v>
      </c>
      <c r="H135" s="16">
        <f>IF(OR(G135="Sin pagar",G135="Pagar"),NETWORKDAYS($J$114,F135,'Festivos Colombia'!$A$3:$A$22),0)</f>
        <v>0</v>
      </c>
      <c r="I135" s="16">
        <f>NETWORKDAYS($J$114,F135,'Festivos Colombia'!$A$3:$A$22)</f>
        <v>6</v>
      </c>
      <c r="J135" s="46">
        <f>H135</f>
        <v>0</v>
      </c>
      <c r="K135" s="58"/>
      <c r="S135" s="27"/>
    </row>
    <row r="136" spans="1:21" s="16" customFormat="1" outlineLevel="1">
      <c r="A136" s="16" t="str">
        <f t="shared" ref="A136" si="11">G136</f>
        <v>Cancelado</v>
      </c>
      <c r="B136" s="16">
        <f t="shared" ref="B136" si="12">IF(I136&lt;=-1,1,IF(I136&lt;=5,2,IF(I136&lt;=15,3,IF(H136&lt;=60,4))))</f>
        <v>3</v>
      </c>
      <c r="C136" s="234" t="s">
        <v>808</v>
      </c>
      <c r="D136" s="9" t="s">
        <v>807</v>
      </c>
      <c r="E136" s="516">
        <v>1104320</v>
      </c>
      <c r="F136" s="517">
        <v>46036</v>
      </c>
      <c r="G136" s="16" t="s">
        <v>20</v>
      </c>
      <c r="H136" s="16">
        <f>IF(OR(G136="Sin pagar",G136="Pagar"),NETWORKDAYS($J$114,F136,'Festivos Colombia'!$A$3:$A$22),0)</f>
        <v>0</v>
      </c>
      <c r="I136" s="16">
        <f>NETWORKDAYS($J$114,F136,'Festivos Colombia'!$A$3:$A$22)</f>
        <v>8</v>
      </c>
      <c r="J136" s="46">
        <f t="shared" ref="J136" si="13">H136</f>
        <v>0</v>
      </c>
      <c r="K136" s="58"/>
      <c r="L136" s="516"/>
      <c r="M136" s="516"/>
      <c r="S136" s="27"/>
    </row>
    <row r="137" spans="1:21" s="16" customFormat="1" outlineLevel="1">
      <c r="A137" s="16" t="str">
        <f t="shared" ref="A137:A143" si="14">G137</f>
        <v>Cancelado</v>
      </c>
      <c r="B137" s="16">
        <f t="shared" ref="B137:B143" si="15">IF(I137&lt;=-1,1,IF(I137&lt;=5,2,IF(I137&lt;=15,3,IF(H137&lt;=60,4))))</f>
        <v>3</v>
      </c>
      <c r="C137" s="24" t="s">
        <v>832</v>
      </c>
      <c r="D137" s="9" t="s">
        <v>32</v>
      </c>
      <c r="E137" s="8">
        <v>358066.76</v>
      </c>
      <c r="F137" s="7">
        <v>46041</v>
      </c>
      <c r="G137" s="16" t="s">
        <v>20</v>
      </c>
      <c r="H137" s="16">
        <f>IF(OR(G137="Sin pagar",G137="Pagar"),NETWORKDAYS($J$114,F137,'Festivos Colombia'!$A$3:$A$22),0)</f>
        <v>0</v>
      </c>
      <c r="I137" s="16">
        <f>NETWORKDAYS($J$114,F137,'Festivos Colombia'!$A$3:$A$22)</f>
        <v>11</v>
      </c>
      <c r="J137" s="46">
        <f t="shared" ref="J137:J143" si="16">H137</f>
        <v>0</v>
      </c>
      <c r="K137" s="58"/>
      <c r="L137" s="25"/>
    </row>
    <row r="138" spans="1:21" s="16" customFormat="1" outlineLevel="1">
      <c r="A138" s="16" t="str">
        <f t="shared" si="14"/>
        <v>Cancelado</v>
      </c>
      <c r="B138" s="16">
        <f t="shared" si="15"/>
        <v>3</v>
      </c>
      <c r="C138" s="24" t="s">
        <v>825</v>
      </c>
      <c r="D138" s="9" t="s">
        <v>826</v>
      </c>
      <c r="E138" s="8">
        <v>912272</v>
      </c>
      <c r="F138" s="7">
        <v>46041</v>
      </c>
      <c r="G138" s="16" t="s">
        <v>20</v>
      </c>
      <c r="H138" s="16">
        <f>IF(OR(G138="Sin pagar",G138="Pagar"),NETWORKDAYS($J$114,F138,'Festivos Colombia'!$A$3:$A$22),0)</f>
        <v>0</v>
      </c>
      <c r="I138" s="16">
        <f>NETWORKDAYS($J$114,F138,'Festivos Colombia'!$A$3:$A$22)</f>
        <v>11</v>
      </c>
      <c r="J138" s="46">
        <f t="shared" si="16"/>
        <v>0</v>
      </c>
      <c r="K138" s="58"/>
      <c r="L138" s="25"/>
    </row>
    <row r="139" spans="1:21" s="16" customFormat="1" outlineLevel="1">
      <c r="A139" s="16" t="str">
        <f t="shared" si="14"/>
        <v>Cancelado</v>
      </c>
      <c r="B139" s="16">
        <f t="shared" si="15"/>
        <v>3</v>
      </c>
      <c r="C139" s="24" t="s">
        <v>823</v>
      </c>
      <c r="D139" s="9" t="s">
        <v>824</v>
      </c>
      <c r="E139" s="8">
        <v>218500</v>
      </c>
      <c r="F139" s="7">
        <v>46041</v>
      </c>
      <c r="G139" s="16" t="s">
        <v>20</v>
      </c>
      <c r="H139" s="16">
        <f>IF(OR(G139="Sin pagar",G139="Pagar"),NETWORKDAYS($J$114,F139,'Festivos Colombia'!$A$3:$A$22),0)</f>
        <v>0</v>
      </c>
      <c r="I139" s="16">
        <f>NETWORKDAYS($J$114,F139,'Festivos Colombia'!$A$3:$A$22)</f>
        <v>11</v>
      </c>
      <c r="J139" s="46">
        <f t="shared" si="16"/>
        <v>0</v>
      </c>
      <c r="K139" s="58"/>
      <c r="L139" s="25"/>
    </row>
    <row r="140" spans="1:21" s="16" customFormat="1" outlineLevel="1">
      <c r="A140" s="16" t="str">
        <f t="shared" si="14"/>
        <v>Cancelado</v>
      </c>
      <c r="B140" s="16">
        <f t="shared" si="15"/>
        <v>3</v>
      </c>
      <c r="C140" s="24" t="s">
        <v>843</v>
      </c>
      <c r="D140" s="9" t="s">
        <v>844</v>
      </c>
      <c r="E140" s="8">
        <v>207000</v>
      </c>
      <c r="F140" s="7">
        <v>46042</v>
      </c>
      <c r="G140" s="16" t="s">
        <v>20</v>
      </c>
      <c r="H140" s="16">
        <f>IF(OR(G140="Sin pagar",G140="Pagar"),NETWORKDAYS($J$114,F140,'Festivos Colombia'!$A$3:$A$22),0)</f>
        <v>0</v>
      </c>
      <c r="I140" s="16">
        <f>NETWORKDAYS($J$114,F140,'Festivos Colombia'!$A$3:$A$22)</f>
        <v>12</v>
      </c>
      <c r="J140" s="46">
        <f t="shared" si="16"/>
        <v>0</v>
      </c>
      <c r="K140" s="58"/>
      <c r="L140" s="25"/>
    </row>
    <row r="141" spans="1:21" s="16" customFormat="1" outlineLevel="1">
      <c r="A141" s="16" t="str">
        <f t="shared" ref="A141" si="17">G141</f>
        <v>Cancelado</v>
      </c>
      <c r="B141" s="16">
        <f t="shared" ref="B141" si="18">IF(I141&lt;=-1,1,IF(I141&lt;=5,2,IF(I141&lt;=15,3,IF(H141&lt;=60,4))))</f>
        <v>4</v>
      </c>
      <c r="C141" s="24" t="s">
        <v>944</v>
      </c>
      <c r="D141" s="9" t="s">
        <v>844</v>
      </c>
      <c r="E141" s="8">
        <v>227700</v>
      </c>
      <c r="F141" s="7">
        <v>46052</v>
      </c>
      <c r="G141" s="16" t="s">
        <v>20</v>
      </c>
      <c r="H141" s="16">
        <f>IF(OR(G141="Sin pagar",G141="Pagar"),NETWORKDAYS($J$114,F141,'Festivos Colombia'!$A$3:$A$22),0)</f>
        <v>0</v>
      </c>
      <c r="I141" s="16">
        <f>NETWORKDAYS($J$114,F141,'Festivos Colombia'!$A$3:$A$22)</f>
        <v>20</v>
      </c>
      <c r="J141" s="46">
        <f t="shared" ref="J141" si="19">H141</f>
        <v>0</v>
      </c>
      <c r="K141" s="58"/>
      <c r="L141" s="25"/>
    </row>
    <row r="142" spans="1:21" s="16" customFormat="1" outlineLevel="1">
      <c r="A142" s="16" t="str">
        <f t="shared" si="14"/>
        <v>Cancelado</v>
      </c>
      <c r="B142" s="16">
        <f t="shared" si="15"/>
        <v>3</v>
      </c>
      <c r="C142" s="234" t="s">
        <v>893</v>
      </c>
      <c r="D142" s="9" t="s">
        <v>33</v>
      </c>
      <c r="E142" s="8">
        <v>352410</v>
      </c>
      <c r="F142" s="7">
        <v>46031</v>
      </c>
      <c r="G142" s="16" t="s">
        <v>20</v>
      </c>
      <c r="H142" s="16">
        <f>IF(OR(G142="Sin pagar",G142="Pagar"),NETWORKDAYS($J$114,F142,'Festivos Colombia'!$A$3:$A$22),0)</f>
        <v>0</v>
      </c>
      <c r="I142" s="16">
        <f>NETWORKDAYS($J$114,F142,'Festivos Colombia'!$A$3:$A$22)</f>
        <v>6</v>
      </c>
      <c r="J142" s="46">
        <f t="shared" si="16"/>
        <v>0</v>
      </c>
      <c r="K142" s="58" t="s">
        <v>806</v>
      </c>
      <c r="L142" s="14"/>
      <c r="M142" s="8"/>
    </row>
    <row r="143" spans="1:21" s="27" customFormat="1" outlineLevel="1">
      <c r="A143" s="16" t="str">
        <f t="shared" si="14"/>
        <v>Cancelado</v>
      </c>
      <c r="B143" s="16">
        <f t="shared" si="15"/>
        <v>3</v>
      </c>
      <c r="C143" s="24" t="s">
        <v>648</v>
      </c>
      <c r="D143" s="9" t="s">
        <v>140</v>
      </c>
      <c r="E143" s="8">
        <f>150000</f>
        <v>150000</v>
      </c>
      <c r="F143" s="522">
        <v>46038</v>
      </c>
      <c r="G143" s="16" t="s">
        <v>20</v>
      </c>
      <c r="H143" s="16">
        <f>IF(OR(G143="Sin pagar",G143="Pagar"),NETWORKDAYS($J$114,F143,'Festivos Colombia'!$A$3:$A$22),0)</f>
        <v>0</v>
      </c>
      <c r="I143" s="16">
        <f>NETWORKDAYS($J$114,F143,'Festivos Colombia'!$A$3:$A$22)</f>
        <v>10</v>
      </c>
      <c r="J143" s="46">
        <f t="shared" si="16"/>
        <v>0</v>
      </c>
      <c r="K143" s="58"/>
      <c r="L143" s="25"/>
      <c r="M143" s="16"/>
      <c r="N143" s="16"/>
      <c r="O143" s="16"/>
      <c r="T143" s="16"/>
      <c r="U143" s="16"/>
    </row>
    <row r="144" spans="1:21" s="16" customFormat="1" outlineLevel="1">
      <c r="A144" s="16" t="str">
        <f t="shared" ref="A144:A147" si="20">G144</f>
        <v>Cancelado</v>
      </c>
      <c r="B144" s="16">
        <f t="shared" ref="B144:B147" si="21">IF(I144&lt;=-1,1,IF(I144&lt;=5,2,IF(I144&lt;=15,3,IF(H144&lt;=60,4))))</f>
        <v>3</v>
      </c>
      <c r="C144" s="24">
        <v>62</v>
      </c>
      <c r="D144" s="9" t="s">
        <v>34</v>
      </c>
      <c r="E144" s="8">
        <v>180000</v>
      </c>
      <c r="F144" s="353">
        <v>46036</v>
      </c>
      <c r="G144" s="16" t="s">
        <v>20</v>
      </c>
      <c r="H144" s="16">
        <f>IF(OR(G144="Sin pagar",G144="Pagar"),NETWORKDAYS($J$114,F144,'Festivos Colombia'!$A$3:$A$22),0)</f>
        <v>0</v>
      </c>
      <c r="I144" s="16">
        <f>NETWORKDAYS($J$114,F144,'Festivos Colombia'!$A$3:$A$22)</f>
        <v>8</v>
      </c>
      <c r="J144" s="46">
        <f t="shared" ref="J144" si="22">H144</f>
        <v>0</v>
      </c>
      <c r="K144" s="58"/>
      <c r="S144" s="27"/>
    </row>
    <row r="145" spans="1:21" s="16" customFormat="1" outlineLevel="1">
      <c r="A145" s="16" t="str">
        <f t="shared" si="20"/>
        <v>Cancelado</v>
      </c>
      <c r="B145" s="16">
        <f t="shared" si="21"/>
        <v>3</v>
      </c>
      <c r="C145" s="24">
        <v>1</v>
      </c>
      <c r="D145" s="9" t="s">
        <v>597</v>
      </c>
      <c r="E145" s="8">
        <v>146000</v>
      </c>
      <c r="F145" s="353">
        <v>46045</v>
      </c>
      <c r="G145" s="16" t="s">
        <v>20</v>
      </c>
      <c r="H145" s="16">
        <f>IF(OR(G145="Sin pagar",G145="Pagar"),NETWORKDAYS($J$114,F145,'Festivos Colombia'!$A$3:$A$22),0)</f>
        <v>0</v>
      </c>
      <c r="I145" s="16">
        <f>NETWORKDAYS($J$114,F145,'Festivos Colombia'!$A$3:$A$22)</f>
        <v>15</v>
      </c>
      <c r="J145" s="46">
        <f t="shared" si="10"/>
        <v>0</v>
      </c>
      <c r="K145" s="58"/>
      <c r="S145" s="27"/>
    </row>
    <row r="146" spans="1:21" s="16" customFormat="1" outlineLevel="1">
      <c r="A146" s="16" t="str">
        <f t="shared" si="20"/>
        <v>Cancelado</v>
      </c>
      <c r="B146" s="16">
        <f t="shared" si="21"/>
        <v>3</v>
      </c>
      <c r="C146" s="198" t="s">
        <v>897</v>
      </c>
      <c r="D146" s="9" t="s">
        <v>35</v>
      </c>
      <c r="E146" s="350">
        <v>1357345</v>
      </c>
      <c r="F146" s="7">
        <v>46044</v>
      </c>
      <c r="G146" s="16" t="s">
        <v>20</v>
      </c>
      <c r="H146" s="16">
        <f>IF(OR(G146="Sin pagar",G146="Pagar"),NETWORKDAYS($J$114,F146,'Festivos Colombia'!$A$3:$A$22),0)</f>
        <v>0</v>
      </c>
      <c r="I146" s="16">
        <f>NETWORKDAYS($J$114,F146,'Festivos Colombia'!$A$3:$A$22)</f>
        <v>14</v>
      </c>
      <c r="J146" s="46">
        <f t="shared" si="10"/>
        <v>0</v>
      </c>
      <c r="K146" s="58"/>
      <c r="S146" s="27"/>
    </row>
    <row r="147" spans="1:21" s="16" customFormat="1" outlineLevel="1">
      <c r="A147" s="16" t="str">
        <f t="shared" si="20"/>
        <v>Cancelado</v>
      </c>
      <c r="B147" s="16">
        <f t="shared" si="21"/>
        <v>3</v>
      </c>
      <c r="C147" s="56" t="s">
        <v>898</v>
      </c>
      <c r="D147" s="9" t="s">
        <v>36</v>
      </c>
      <c r="E147" s="350">
        <v>845089</v>
      </c>
      <c r="F147" s="7">
        <v>46044</v>
      </c>
      <c r="G147" s="16" t="s">
        <v>20</v>
      </c>
      <c r="H147" s="16">
        <f>IF(OR(G147="Sin pagar",G147="Pagar"),NETWORKDAYS($J$114,F147,'Festivos Colombia'!$A$3:$A$22),0)</f>
        <v>0</v>
      </c>
      <c r="I147" s="16">
        <f>NETWORKDAYS($J$114,F147,'Festivos Colombia'!$A$3:$A$22)</f>
        <v>14</v>
      </c>
      <c r="J147" s="46">
        <f>H147</f>
        <v>0</v>
      </c>
      <c r="K147" s="58"/>
      <c r="L147" s="27"/>
      <c r="M147" s="27"/>
      <c r="N147" s="27"/>
      <c r="O147" s="27"/>
      <c r="T147" s="27"/>
      <c r="U147" s="27"/>
    </row>
    <row r="148" spans="1:21" s="16" customFormat="1" outlineLevel="1">
      <c r="A148" s="16" t="str">
        <f t="shared" ref="A148" si="23">G148</f>
        <v>Cancelado</v>
      </c>
      <c r="B148" s="16">
        <f t="shared" ref="B148" si="24">IF(I148&lt;=-1,1,IF(I148&lt;=5,2,IF(I148&lt;=15,3,IF(H148&lt;=60,4))))</f>
        <v>4</v>
      </c>
      <c r="C148" s="56" t="s">
        <v>38</v>
      </c>
      <c r="D148" s="9" t="s">
        <v>1016</v>
      </c>
      <c r="E148" s="350">
        <v>267900</v>
      </c>
      <c r="F148" s="7">
        <v>46052</v>
      </c>
      <c r="G148" s="16" t="s">
        <v>20</v>
      </c>
      <c r="H148" s="16">
        <f>IF(OR(G148="Sin pagar",G148="Pagar"),NETWORKDAYS($J$114,F148,'Festivos Colombia'!$A$3:$A$22),0)</f>
        <v>0</v>
      </c>
      <c r="I148" s="16">
        <f>NETWORKDAYS($J$114,F148,'Festivos Colombia'!$A$3:$A$22)</f>
        <v>20</v>
      </c>
      <c r="J148" s="46">
        <f>H148</f>
        <v>0</v>
      </c>
      <c r="K148" s="58"/>
      <c r="L148" s="27"/>
      <c r="M148" s="27"/>
      <c r="N148" s="27"/>
      <c r="O148" s="27"/>
      <c r="T148" s="27"/>
      <c r="U148" s="27"/>
    </row>
    <row r="149" spans="1:21" s="16" customFormat="1" outlineLevel="1">
      <c r="A149" s="16" t="str">
        <f>G149</f>
        <v>Cancelado</v>
      </c>
      <c r="B149" s="16">
        <f>IF(I149&lt;=-1,1,IF(I149&lt;=5,2,IF(I149&lt;=15,3,IF(H149&lt;=60,4))))</f>
        <v>4</v>
      </c>
      <c r="C149" s="234" t="s">
        <v>939</v>
      </c>
      <c r="D149" s="9" t="s">
        <v>37</v>
      </c>
      <c r="E149" s="350">
        <v>856438</v>
      </c>
      <c r="F149" s="7">
        <v>46052</v>
      </c>
      <c r="G149" s="16" t="s">
        <v>20</v>
      </c>
      <c r="H149" s="16">
        <f>IF(OR(G149="Sin pagar",G149="Pagar"),NETWORKDAYS($J$114,F149,'Festivos Colombia'!$A$3:$A$22),0)</f>
        <v>0</v>
      </c>
      <c r="I149" s="16">
        <f>NETWORKDAYS($J$114,F149,'Festivos Colombia'!$A$3:$A$22)</f>
        <v>20</v>
      </c>
      <c r="J149" s="46">
        <f t="shared" si="10"/>
        <v>0</v>
      </c>
      <c r="K149" s="58"/>
      <c r="S149" s="27"/>
    </row>
    <row r="150" spans="1:21" s="16" customFormat="1" outlineLevel="1">
      <c r="A150" s="16" t="str">
        <f>G150</f>
        <v>Cancelado</v>
      </c>
      <c r="B150" s="16">
        <f>IF(I150&lt;=-1,1,IF(I150&lt;=5,2,IF(I150&lt;=15,3,IF(H150&lt;=60,4))))</f>
        <v>4</v>
      </c>
      <c r="C150" s="234" t="s">
        <v>939</v>
      </c>
      <c r="D150" s="9" t="s">
        <v>37</v>
      </c>
      <c r="E150" s="350">
        <v>856438</v>
      </c>
      <c r="F150" s="7">
        <v>46052</v>
      </c>
      <c r="G150" s="16" t="s">
        <v>20</v>
      </c>
      <c r="H150" s="16">
        <f>IF(OR(G150="Sin pagar",G150="Pagar"),NETWORKDAYS($J$114,F150,'Festivos Colombia'!$A$3:$A$22),0)</f>
        <v>0</v>
      </c>
      <c r="I150" s="16">
        <f>NETWORKDAYS($J$114,F150,'Festivos Colombia'!$A$3:$A$22)</f>
        <v>20</v>
      </c>
      <c r="J150" s="46">
        <f t="shared" ref="J150" si="25">H150</f>
        <v>0</v>
      </c>
      <c r="K150" s="58"/>
      <c r="S150" s="27"/>
    </row>
    <row r="151" spans="1:21" s="16" customFormat="1" outlineLevel="1">
      <c r="A151" s="16" t="str">
        <f>G151</f>
        <v>Sin Pagar</v>
      </c>
      <c r="B151" s="16">
        <f>IF(I151&lt;=-1,1,IF(I151&lt;=5,2,IF(I151&lt;=15,3,IF(H151&lt;=60,4))))</f>
        <v>4</v>
      </c>
      <c r="C151" s="28">
        <v>16</v>
      </c>
      <c r="D151" s="9" t="s">
        <v>112</v>
      </c>
      <c r="E151" s="350">
        <f>1015098.5*0</f>
        <v>0</v>
      </c>
      <c r="F151" s="477">
        <v>46059</v>
      </c>
      <c r="G151" s="16" t="s">
        <v>5</v>
      </c>
      <c r="H151" s="16">
        <f>IF(OR(G151="Sin pagar",G151="Pagar"),NETWORKDAYS($J$114,F151,'Festivos Colombia'!$A$3:$A$22),0)</f>
        <v>25</v>
      </c>
      <c r="I151" s="16">
        <f>NETWORKDAYS($J$114,F151,'Festivos Colombia'!$A$3:$A$22)</f>
        <v>25</v>
      </c>
      <c r="J151" s="46">
        <f>H151</f>
        <v>25</v>
      </c>
      <c r="K151" s="58" t="s">
        <v>44</v>
      </c>
      <c r="S151" s="27"/>
    </row>
    <row r="152" spans="1:21" s="16" customFormat="1" ht="14.25" customHeight="1" outlineLevel="1" thickBot="1">
      <c r="A152" s="16" t="str">
        <f>G152</f>
        <v>Sin Pagar</v>
      </c>
      <c r="B152" s="16">
        <f>IF(I152&lt;=-1,1,IF(I152&lt;=5,2,IF(I152&lt;=15,3,IF(H152&lt;=60,4))))</f>
        <v>4</v>
      </c>
      <c r="C152" s="525" t="s">
        <v>846</v>
      </c>
      <c r="D152" s="9" t="s">
        <v>1369</v>
      </c>
      <c r="E152" s="350">
        <f>1244113.7*0</f>
        <v>0</v>
      </c>
      <c r="F152" s="353">
        <v>46066</v>
      </c>
      <c r="G152" s="16" t="s">
        <v>5</v>
      </c>
      <c r="H152" s="16">
        <f>IF(OR(G152="Sin pagar",G152="Pagar"),NETWORKDAYS($J$114,F152,'Festivos Colombia'!$A$3:$A$22),0)</f>
        <v>30</v>
      </c>
      <c r="I152" s="16">
        <f>NETWORKDAYS($J$114,F152,'Festivos Colombia'!$A$3:$A$22)</f>
        <v>30</v>
      </c>
      <c r="J152" s="46">
        <f>H152</f>
        <v>30</v>
      </c>
      <c r="K152" s="58"/>
      <c r="S152" s="27"/>
    </row>
    <row r="153" spans="1:21" s="16" customFormat="1" ht="16.5" thickBot="1">
      <c r="D153" s="351" t="s">
        <v>39</v>
      </c>
      <c r="E153" s="352">
        <f>SUBTOTAL(9,E154:E155)</f>
        <v>1462406</v>
      </c>
      <c r="J153" s="46"/>
      <c r="L153" s="27"/>
      <c r="M153" s="27"/>
      <c r="N153" s="27"/>
      <c r="O153" s="27"/>
      <c r="T153" s="27"/>
      <c r="U153" s="27"/>
    </row>
    <row r="154" spans="1:21" s="16" customFormat="1" ht="14.25" customHeight="1" outlineLevel="1">
      <c r="A154" s="16" t="str">
        <f>G154</f>
        <v>Cancelado</v>
      </c>
      <c r="B154" s="16">
        <f>IF(I154&lt;=-1,1,IF(I154&lt;=5,2,IF(I154&lt;=15,3,IF(H154&lt;=60,4))))</f>
        <v>3</v>
      </c>
      <c r="C154" s="56" t="s">
        <v>773</v>
      </c>
      <c r="D154" s="9" t="s">
        <v>94</v>
      </c>
      <c r="E154" s="8">
        <v>658350</v>
      </c>
      <c r="F154" s="7">
        <v>46038</v>
      </c>
      <c r="G154" s="16" t="s">
        <v>20</v>
      </c>
      <c r="H154" s="16">
        <f>IF(OR(G154="Sin pagar",G154="Pagar"),NETWORKDAYS($J$114,F154,'Festivos Colombia'!$A$3:$A$22),0)</f>
        <v>0</v>
      </c>
      <c r="I154" s="16">
        <f>NETWORKDAYS($J$114,F154,'Festivos Colombia'!$A$3:$A$22)</f>
        <v>10</v>
      </c>
      <c r="J154" s="46">
        <f>H154</f>
        <v>0</v>
      </c>
      <c r="K154" s="437"/>
      <c r="L154" s="8"/>
    </row>
    <row r="155" spans="1:21" s="16" customFormat="1" ht="15.75" outlineLevel="1" thickBot="1">
      <c r="A155" s="16" t="str">
        <f>G155</f>
        <v>Cancelado</v>
      </c>
      <c r="B155" s="16">
        <f>IF(I155&lt;=-1,1,IF(I155&lt;=5,2,IF(I155&lt;=15,3,IF(H155&lt;=60,4))))</f>
        <v>3</v>
      </c>
      <c r="C155" s="198" t="s">
        <v>845</v>
      </c>
      <c r="D155" s="9" t="s">
        <v>40</v>
      </c>
      <c r="E155" s="350">
        <f>804056</f>
        <v>804056</v>
      </c>
      <c r="F155" s="477">
        <v>46045</v>
      </c>
      <c r="G155" s="16" t="s">
        <v>20</v>
      </c>
      <c r="H155" s="16">
        <f>IF(OR(G155="Sin pagar",G155="Pagar"),NETWORKDAYS($J$114,F155,'Festivos Colombia'!$A$3:$A$22),0)</f>
        <v>0</v>
      </c>
      <c r="I155" s="16">
        <f>NETWORKDAYS($J$114,F155,'Festivos Colombia'!$A$3:$A$22)</f>
        <v>15</v>
      </c>
      <c r="J155" s="46">
        <f t="shared" ref="J155" si="26">H155</f>
        <v>0</v>
      </c>
      <c r="K155" s="58"/>
    </row>
    <row r="156" spans="1:21" s="27" customFormat="1" ht="16.5" thickBot="1">
      <c r="A156" s="16"/>
      <c r="B156" s="16"/>
      <c r="D156" s="351" t="s">
        <v>41</v>
      </c>
      <c r="E156" s="352">
        <f>SUBTOTAL(9,E157:E161)</f>
        <v>9704799</v>
      </c>
      <c r="J156" s="46"/>
      <c r="K156" s="16"/>
      <c r="L156" s="16"/>
      <c r="M156" s="16"/>
      <c r="N156" s="16"/>
      <c r="O156" s="16"/>
      <c r="S156" s="16"/>
      <c r="T156" s="16"/>
      <c r="U156" s="16"/>
    </row>
    <row r="157" spans="1:21" s="27" customFormat="1" outlineLevel="1">
      <c r="A157" s="16" t="str">
        <f>G157</f>
        <v>Cancelado</v>
      </c>
      <c r="B157" s="16">
        <f>IF(I157&lt;=-1,1,IF(I157&lt;=5,2,IF(I157&lt;=15,3,IF(H157&lt;=60,4))))</f>
        <v>4</v>
      </c>
      <c r="C157" s="373">
        <v>20833343208</v>
      </c>
      <c r="D157" s="9" t="s">
        <v>42</v>
      </c>
      <c r="E157" s="350">
        <v>174056</v>
      </c>
      <c r="F157" s="353">
        <v>46052</v>
      </c>
      <c r="G157" s="16" t="s">
        <v>20</v>
      </c>
      <c r="H157" s="16">
        <f>IF(OR(G157="Sin pagar",G157="Pagar"),NETWORKDAYS($J$114,F157,'Festivos Colombia'!$A$3:$A$22),0)</f>
        <v>0</v>
      </c>
      <c r="I157" s="16">
        <f>NETWORKDAYS($J$114,F157,'Festivos Colombia'!$A$3:$A$22)</f>
        <v>20</v>
      </c>
      <c r="J157" s="46">
        <f>H157</f>
        <v>0</v>
      </c>
      <c r="K157" s="58" t="s">
        <v>44</v>
      </c>
      <c r="L157" s="16"/>
      <c r="M157" s="16"/>
      <c r="N157" s="25"/>
      <c r="O157" s="16"/>
      <c r="S157" s="16"/>
      <c r="T157" s="16"/>
      <c r="U157" s="16"/>
    </row>
    <row r="158" spans="1:21" s="27" customFormat="1" outlineLevel="1">
      <c r="A158" s="16" t="str">
        <f>G158</f>
        <v>Cancelado</v>
      </c>
      <c r="B158" s="16">
        <f>IF(I158&lt;=-1,1,IF(I158&lt;=5,2,IF(I158&lt;=15,3,IF(H158&lt;=60,4))))</f>
        <v>4</v>
      </c>
      <c r="C158" s="373">
        <v>20911204190</v>
      </c>
      <c r="D158" s="9" t="s">
        <v>43</v>
      </c>
      <c r="E158" s="350">
        <v>70096</v>
      </c>
      <c r="F158" s="353">
        <v>46052</v>
      </c>
      <c r="G158" s="16" t="s">
        <v>20</v>
      </c>
      <c r="H158" s="16">
        <f>IF(OR(G158="Sin pagar",G158="Pagar"),NETWORKDAYS($J$114,F158,'Festivos Colombia'!$A$3:$A$22),0)</f>
        <v>0</v>
      </c>
      <c r="I158" s="16">
        <f>NETWORKDAYS($J$114,F158,'Festivos Colombia'!$A$3:$A$22)</f>
        <v>20</v>
      </c>
      <c r="J158" s="46">
        <f t="shared" ref="J158:J167" si="27">H158</f>
        <v>0</v>
      </c>
      <c r="K158" s="58" t="s">
        <v>44</v>
      </c>
      <c r="L158" s="16"/>
      <c r="M158" s="16"/>
      <c r="N158" s="25"/>
      <c r="O158" s="16"/>
      <c r="S158" s="16"/>
      <c r="T158" s="16"/>
      <c r="U158" s="16"/>
    </row>
    <row r="159" spans="1:21" s="27" customFormat="1" outlineLevel="1">
      <c r="A159" s="16" t="str">
        <f>G159</f>
        <v>Cancelado</v>
      </c>
      <c r="B159" s="16">
        <f>IF(I159&lt;=-1,1,IF(I159&lt;=5,2,IF(I159&lt;=15,3,IF(H159&lt;=60,4))))</f>
        <v>4</v>
      </c>
      <c r="C159" s="373">
        <v>20911204307</v>
      </c>
      <c r="D159" s="9" t="s">
        <v>43</v>
      </c>
      <c r="E159" s="350">
        <v>28438</v>
      </c>
      <c r="F159" s="353">
        <v>46052</v>
      </c>
      <c r="G159" s="16" t="s">
        <v>20</v>
      </c>
      <c r="H159" s="16">
        <f>IF(OR(G159="Sin pagar",G159="Pagar"),NETWORKDAYS($J$114,F159,'Festivos Colombia'!$A$3:$A$22),0)</f>
        <v>0</v>
      </c>
      <c r="I159" s="16">
        <f>NETWORKDAYS($J$114,F159,'Festivos Colombia'!$A$3:$A$22)</f>
        <v>20</v>
      </c>
      <c r="J159" s="46">
        <f t="shared" ref="J159" si="28">H159</f>
        <v>0</v>
      </c>
      <c r="K159" s="58" t="s">
        <v>44</v>
      </c>
      <c r="L159" s="16"/>
      <c r="M159" s="16"/>
      <c r="N159" s="25"/>
      <c r="O159" s="16"/>
      <c r="S159" s="16"/>
      <c r="T159" s="16"/>
      <c r="U159" s="16"/>
    </row>
    <row r="160" spans="1:21" s="27" customFormat="1" outlineLevel="1">
      <c r="A160" s="16" t="str">
        <f>G160</f>
        <v>Cancelado</v>
      </c>
      <c r="B160" s="16">
        <f>IF(I160&lt;=-1,1,IF(I160&lt;=5,2,IF(I160&lt;=15,3,IF(H160&lt;=60,4))))</f>
        <v>4</v>
      </c>
      <c r="C160" s="563" t="s">
        <v>38</v>
      </c>
      <c r="D160" s="9" t="s">
        <v>43</v>
      </c>
      <c r="E160" s="350">
        <v>9432209</v>
      </c>
      <c r="F160" s="353">
        <v>46053</v>
      </c>
      <c r="G160" s="16" t="s">
        <v>20</v>
      </c>
      <c r="H160" s="16">
        <f>IF(OR(G160="Sin pagar",G160="Pagar"),NETWORKDAYS($J$114,F160,'Festivos Colombia'!$A$3:$A$22),0)</f>
        <v>0</v>
      </c>
      <c r="I160" s="16">
        <f>NETWORKDAYS($J$114,F160,'Festivos Colombia'!$A$3:$A$22)</f>
        <v>20</v>
      </c>
      <c r="J160" s="46">
        <f t="shared" ref="J160" si="29">H160</f>
        <v>0</v>
      </c>
      <c r="K160" s="58" t="s">
        <v>44</v>
      </c>
      <c r="L160" s="16"/>
      <c r="M160" s="16"/>
      <c r="N160" s="25"/>
      <c r="O160" s="16"/>
      <c r="S160" s="16"/>
      <c r="T160" s="16"/>
      <c r="U160" s="16"/>
    </row>
    <row r="161" spans="1:21" s="27" customFormat="1" ht="15.75" outlineLevel="1" thickBot="1">
      <c r="A161" s="16" t="str">
        <f>G161</f>
        <v>Sin Pagar</v>
      </c>
      <c r="B161" s="16">
        <f>IF(I161&lt;=-1,1,IF(I161&lt;=5,2,IF(I161&lt;=15,3,IF(H161&lt;=60,4))))</f>
        <v>4</v>
      </c>
      <c r="C161" s="563" t="s">
        <v>38</v>
      </c>
      <c r="D161" s="9" t="s">
        <v>42</v>
      </c>
      <c r="E161" s="350">
        <f>9337*0</f>
        <v>0</v>
      </c>
      <c r="F161" s="353">
        <v>46054</v>
      </c>
      <c r="G161" s="16" t="s">
        <v>5</v>
      </c>
      <c r="H161" s="16">
        <f>IF(OR(G161="Sin pagar",G161="Pagar"),NETWORKDAYS($J$114,F161,'Festivos Colombia'!$A$3:$A$22),0)</f>
        <v>20</v>
      </c>
      <c r="I161" s="16">
        <f>NETWORKDAYS($J$114,F161,'Festivos Colombia'!$A$3:$A$22)</f>
        <v>20</v>
      </c>
      <c r="J161" s="46">
        <f>H161</f>
        <v>20</v>
      </c>
      <c r="K161" s="58" t="s">
        <v>44</v>
      </c>
      <c r="L161" s="16"/>
      <c r="M161" s="16"/>
      <c r="N161" s="25"/>
      <c r="O161" s="16"/>
      <c r="S161" s="16"/>
      <c r="T161" s="16"/>
      <c r="U161" s="16"/>
    </row>
    <row r="162" spans="1:21" s="16" customFormat="1" ht="16.5" thickBot="1">
      <c r="D162" s="351" t="s">
        <v>45</v>
      </c>
      <c r="E162" s="352">
        <f>SUBTOTAL(9,E163:E167)</f>
        <v>603266.6</v>
      </c>
      <c r="J162" s="46"/>
      <c r="K162" s="50"/>
    </row>
    <row r="163" spans="1:21" s="16" customFormat="1" outlineLevel="1">
      <c r="A163" s="16" t="str">
        <f t="shared" ref="A163:A167" si="30">G163</f>
        <v>Cancelado</v>
      </c>
      <c r="B163" s="16">
        <f t="shared" ref="B163:B167" si="31">IF(I163&lt;=-1,1,IF(I163&lt;=5,2,IF(I163&lt;=15,3,IF(H163&lt;=60,4))))</f>
        <v>3</v>
      </c>
      <c r="C163" s="24">
        <v>53</v>
      </c>
      <c r="D163" s="9" t="s">
        <v>46</v>
      </c>
      <c r="E163" s="350">
        <v>39000</v>
      </c>
      <c r="F163" s="353">
        <v>46031</v>
      </c>
      <c r="G163" s="16" t="s">
        <v>20</v>
      </c>
      <c r="H163" s="16">
        <f>IF(OR(G163="Sin pagar",G163="Pagar"),NETWORKDAYS($J$114,F163,'Festivos Colombia'!$A$3:$A$22),0)</f>
        <v>0</v>
      </c>
      <c r="I163" s="16">
        <f>NETWORKDAYS($J$114,F163,'Festivos Colombia'!$A$3:$A$22)</f>
        <v>6</v>
      </c>
      <c r="J163" s="46">
        <f t="shared" si="27"/>
        <v>0</v>
      </c>
      <c r="K163" s="58"/>
      <c r="L163" s="25"/>
    </row>
    <row r="164" spans="1:21" s="16" customFormat="1" outlineLevel="1">
      <c r="A164" s="16" t="str">
        <f t="shared" ref="A164" si="32">G164</f>
        <v>Cancelado</v>
      </c>
      <c r="B164" s="16">
        <f t="shared" ref="B164" si="33">IF(I164&lt;=-1,1,IF(I164&lt;=5,2,IF(I164&lt;=15,3,IF(H164&lt;=60,4))))</f>
        <v>3</v>
      </c>
      <c r="C164" s="24">
        <v>18</v>
      </c>
      <c r="D164" s="9" t="s">
        <v>802</v>
      </c>
      <c r="E164" s="350">
        <v>40000</v>
      </c>
      <c r="F164" s="353">
        <v>46031</v>
      </c>
      <c r="G164" s="16" t="s">
        <v>20</v>
      </c>
      <c r="H164" s="16">
        <f>IF(OR(G164="Sin pagar",G164="Pagar"),NETWORKDAYS($J$114,F164,'Festivos Colombia'!$A$3:$A$22),0)</f>
        <v>0</v>
      </c>
      <c r="I164" s="16">
        <f>NETWORKDAYS($J$114,F164,'Festivos Colombia'!$A$3:$A$22)</f>
        <v>6</v>
      </c>
      <c r="J164" s="46">
        <f t="shared" ref="J164" si="34">H164</f>
        <v>0</v>
      </c>
      <c r="K164" s="58"/>
      <c r="L164" s="25"/>
    </row>
    <row r="165" spans="1:21" s="16" customFormat="1" outlineLevel="1">
      <c r="A165" s="16" t="str">
        <f t="shared" si="30"/>
        <v>Cancelado</v>
      </c>
      <c r="B165" s="16">
        <f t="shared" si="31"/>
        <v>3</v>
      </c>
      <c r="C165" s="24">
        <v>54</v>
      </c>
      <c r="D165" s="9" t="s">
        <v>46</v>
      </c>
      <c r="E165" s="350">
        <v>39000</v>
      </c>
      <c r="F165" s="522">
        <v>46038</v>
      </c>
      <c r="G165" s="16" t="s">
        <v>20</v>
      </c>
      <c r="H165" s="16">
        <f>IF(OR(G165="Sin pagar",G165="Pagar"),NETWORKDAYS($J$114,F165,'Festivos Colombia'!$A$3:$A$22),0)</f>
        <v>0</v>
      </c>
      <c r="I165" s="16">
        <f>NETWORKDAYS($J$114,F165,'Festivos Colombia'!$A$3:$A$22)</f>
        <v>10</v>
      </c>
      <c r="J165" s="46">
        <f t="shared" si="27"/>
        <v>0</v>
      </c>
      <c r="K165" s="58"/>
      <c r="L165" s="25"/>
    </row>
    <row r="166" spans="1:21" s="16" customFormat="1" outlineLevel="1">
      <c r="A166" s="16" t="str">
        <f t="shared" si="30"/>
        <v>Cancelado</v>
      </c>
      <c r="B166" s="16">
        <f t="shared" si="31"/>
        <v>3</v>
      </c>
      <c r="C166" s="24">
        <v>55</v>
      </c>
      <c r="D166" s="9" t="s">
        <v>46</v>
      </c>
      <c r="E166" s="350">
        <v>242681.98</v>
      </c>
      <c r="F166" s="353">
        <v>46045</v>
      </c>
      <c r="G166" s="16" t="s">
        <v>20</v>
      </c>
      <c r="H166" s="16">
        <f>IF(OR(G166="Sin pagar",G166="Pagar"),NETWORKDAYS($J$114,F166,'Festivos Colombia'!$A$3:$A$22),0)</f>
        <v>0</v>
      </c>
      <c r="I166" s="16">
        <f>NETWORKDAYS($J$114,F166,'Festivos Colombia'!$A$3:$A$22)</f>
        <v>15</v>
      </c>
      <c r="J166" s="46">
        <f t="shared" si="27"/>
        <v>0</v>
      </c>
      <c r="K166" s="58" t="s">
        <v>44</v>
      </c>
      <c r="L166" s="25"/>
    </row>
    <row r="167" spans="1:21" s="16" customFormat="1" ht="15.75" outlineLevel="1" thickBot="1">
      <c r="A167" s="16" t="str">
        <f t="shared" si="30"/>
        <v>Cancelado</v>
      </c>
      <c r="B167" s="16">
        <f t="shared" si="31"/>
        <v>4</v>
      </c>
      <c r="C167" s="565">
        <v>56</v>
      </c>
      <c r="D167" s="9" t="s">
        <v>46</v>
      </c>
      <c r="E167" s="350">
        <v>242584.62</v>
      </c>
      <c r="F167" s="7">
        <v>46052</v>
      </c>
      <c r="G167" s="16" t="s">
        <v>20</v>
      </c>
      <c r="H167" s="16">
        <f>IF(OR(G167="Sin pagar",G167="Pagar"),NETWORKDAYS($J$114,F167,'Festivos Colombia'!$A$3:$A$22),0)</f>
        <v>0</v>
      </c>
      <c r="I167" s="16">
        <f>NETWORKDAYS($J$114,F167,'Festivos Colombia'!$A$3:$A$22)</f>
        <v>20</v>
      </c>
      <c r="J167" s="46">
        <f t="shared" si="27"/>
        <v>0</v>
      </c>
      <c r="K167" s="58" t="s">
        <v>44</v>
      </c>
      <c r="L167" s="25"/>
    </row>
    <row r="168" spans="1:21" s="16" customFormat="1" ht="15.75" customHeight="1" thickBot="1">
      <c r="C168" s="28"/>
      <c r="D168" s="354" t="s">
        <v>47</v>
      </c>
      <c r="E168" s="352">
        <f>SUBTOTAL(9,E169:E170)</f>
        <v>0</v>
      </c>
      <c r="J168" s="46"/>
      <c r="L168" s="25"/>
    </row>
    <row r="169" spans="1:21" s="16" customFormat="1" outlineLevel="1">
      <c r="C169" s="28"/>
      <c r="D169" s="507" t="s">
        <v>794</v>
      </c>
      <c r="E169" s="508">
        <f>1200000*0</f>
        <v>0</v>
      </c>
      <c r="F169" s="353">
        <v>46052</v>
      </c>
      <c r="G169" s="16" t="s">
        <v>20</v>
      </c>
      <c r="H169" s="16">
        <f>IF(OR(G169="Sin pagar",G169="Pagar"),NETWORKDAYS($J$114,F169,'Festivos Colombia'!$A$3:$A$22),0)</f>
        <v>0</v>
      </c>
      <c r="I169" s="16">
        <f>NETWORKDAYS($J$114,F169,'Festivos Colombia'!$A$3:$A$22)</f>
        <v>20</v>
      </c>
      <c r="J169" s="46">
        <f>H169</f>
        <v>0</v>
      </c>
      <c r="K169" s="58"/>
      <c r="L169" s="25"/>
    </row>
    <row r="170" spans="1:21" s="16" customFormat="1" ht="15.75" outlineLevel="1" thickBot="1">
      <c r="C170" s="28"/>
      <c r="D170" s="507" t="s">
        <v>609</v>
      </c>
      <c r="E170" s="508">
        <f>500000*0</f>
        <v>0</v>
      </c>
      <c r="F170" s="353">
        <v>46052</v>
      </c>
      <c r="G170" s="16" t="s">
        <v>20</v>
      </c>
      <c r="H170" s="16">
        <f>IF(OR(G170="Sin pagar",G170="Pagar"),NETWORKDAYS($J$114,F170,'Festivos Colombia'!$A$3:$A$22),0)</f>
        <v>0</v>
      </c>
      <c r="I170" s="16">
        <f>NETWORKDAYS($J$114,F170,'Festivos Colombia'!$A$3:$A$22)</f>
        <v>20</v>
      </c>
      <c r="J170" s="46">
        <f t="shared" ref="J170" si="35">H170</f>
        <v>0</v>
      </c>
      <c r="K170" s="58"/>
      <c r="L170" s="25"/>
    </row>
    <row r="171" spans="1:21" s="16" customFormat="1" ht="16.5" thickBot="1">
      <c r="C171" s="24"/>
      <c r="D171" s="351" t="s">
        <v>104</v>
      </c>
      <c r="E171" s="352">
        <f>SUBTOTAL(9,E172:E175)</f>
        <v>4712238</v>
      </c>
      <c r="J171" s="46"/>
      <c r="K171" s="25"/>
    </row>
    <row r="172" spans="1:21" s="16" customFormat="1" outlineLevel="1">
      <c r="C172" s="28"/>
      <c r="D172" s="9" t="s">
        <v>755</v>
      </c>
      <c r="E172" s="350">
        <f>2004302*0</f>
        <v>0</v>
      </c>
      <c r="F172" s="353">
        <v>46024</v>
      </c>
      <c r="G172" s="16" t="s">
        <v>20</v>
      </c>
      <c r="H172" s="16">
        <f>IF(OR(G172="Sin pagar",G172="Pagar"),NETWORKDAYS($J$114,F172,'Festivos Colombia'!$A$3:$A$22),0)</f>
        <v>0</v>
      </c>
      <c r="I172" s="16">
        <f>NETWORKDAYS($J$114,F172,'Festivos Colombia'!$A$3:$A$22)</f>
        <v>1</v>
      </c>
      <c r="J172" s="46">
        <f t="shared" ref="J172" si="36">H172</f>
        <v>0</v>
      </c>
      <c r="K172" s="58"/>
      <c r="L172" s="25"/>
    </row>
    <row r="173" spans="1:21" s="16" customFormat="1" outlineLevel="1">
      <c r="C173" s="28"/>
      <c r="D173" s="9" t="s">
        <v>854</v>
      </c>
      <c r="E173" s="350">
        <v>570360</v>
      </c>
      <c r="F173" s="353">
        <v>46035</v>
      </c>
      <c r="G173" s="16" t="s">
        <v>20</v>
      </c>
      <c r="H173" s="16">
        <f>IF(OR(G173="Sin pagar",G173="Pagar"),NETWORKDAYS($J$114,F173,'Festivos Colombia'!$A$3:$A$22),0)</f>
        <v>0</v>
      </c>
      <c r="I173" s="16">
        <f>NETWORKDAYS($J$114,F173,'Festivos Colombia'!$A$3:$A$22)</f>
        <v>7</v>
      </c>
      <c r="J173" s="46">
        <f t="shared" ref="J173" si="37">H173</f>
        <v>0</v>
      </c>
      <c r="K173" s="58"/>
      <c r="L173" s="25"/>
    </row>
    <row r="174" spans="1:21" s="16" customFormat="1" outlineLevel="1">
      <c r="C174" s="28"/>
      <c r="D174" s="9" t="s">
        <v>855</v>
      </c>
      <c r="E174" s="508">
        <v>2004302</v>
      </c>
      <c r="F174" s="353">
        <v>46041</v>
      </c>
      <c r="G174" s="16" t="s">
        <v>20</v>
      </c>
      <c r="H174" s="16">
        <f>IF(OR(G174="Sin pagar",G174="Pagar"),NETWORKDAYS($J$114,F174,'Festivos Colombia'!$A$3:$A$22),0)</f>
        <v>0</v>
      </c>
      <c r="I174" s="16">
        <f>NETWORKDAYS($J$114,F174,'Festivos Colombia'!$A$3:$A$22)</f>
        <v>11</v>
      </c>
      <c r="J174" s="46">
        <f t="shared" ref="J174" si="38">H174</f>
        <v>0</v>
      </c>
      <c r="K174" s="58"/>
      <c r="L174" s="25"/>
    </row>
    <row r="175" spans="1:21" s="16" customFormat="1" ht="15.75" outlineLevel="1" thickBot="1">
      <c r="C175" s="28"/>
      <c r="D175" s="9" t="s">
        <v>1041</v>
      </c>
      <c r="E175" s="508">
        <v>2137576</v>
      </c>
      <c r="F175" s="353">
        <v>46056</v>
      </c>
      <c r="G175" s="16" t="s">
        <v>20</v>
      </c>
      <c r="H175" s="16">
        <f>IF(OR(G175="Sin pagar",G175="Pagar"),NETWORKDAYS($J$114,F175,'Festivos Colombia'!$A$3:$A$22),0)</f>
        <v>0</v>
      </c>
      <c r="I175" s="16">
        <f>NETWORKDAYS($J$114,F175,'Festivos Colombia'!$A$3:$A$22)</f>
        <v>22</v>
      </c>
      <c r="J175" s="46">
        <f t="shared" ref="J175" si="39">H175</f>
        <v>0</v>
      </c>
      <c r="K175" s="58"/>
      <c r="L175" s="25"/>
    </row>
    <row r="176" spans="1:21" s="16" customFormat="1" ht="16.5" thickBot="1">
      <c r="C176" s="24"/>
      <c r="D176" s="351" t="s">
        <v>1008</v>
      </c>
      <c r="E176" s="352">
        <f>SUBTOTAL(9,E177:E181)</f>
        <v>4915472</v>
      </c>
      <c r="J176" s="46"/>
    </row>
    <row r="177" spans="1:12" s="16" customFormat="1" outlineLevel="1">
      <c r="C177" s="28"/>
      <c r="D177" s="9" t="s">
        <v>759</v>
      </c>
      <c r="E177" s="508">
        <f>1339850*0</f>
        <v>0</v>
      </c>
      <c r="F177" s="353">
        <v>46027</v>
      </c>
      <c r="G177" s="16" t="s">
        <v>20</v>
      </c>
      <c r="H177" s="16">
        <f>IF(OR(G177="Sin pagar",G177="Pagar"),NETWORKDAYS($J$114,F177,'Festivos Colombia'!$A$3:$A$22),0)</f>
        <v>0</v>
      </c>
      <c r="I177" s="16">
        <f>NETWORKDAYS($J$114,F177,'Festivos Colombia'!$A$3:$A$22)</f>
        <v>2</v>
      </c>
      <c r="J177" s="46">
        <f>H177</f>
        <v>0</v>
      </c>
      <c r="K177" s="58"/>
      <c r="L177" s="25"/>
    </row>
    <row r="178" spans="1:12" s="16" customFormat="1" outlineLevel="1">
      <c r="C178" s="28"/>
      <c r="D178" s="9" t="s">
        <v>857</v>
      </c>
      <c r="E178" s="508">
        <v>586650</v>
      </c>
      <c r="F178" s="353">
        <v>46041</v>
      </c>
      <c r="G178" s="16" t="s">
        <v>20</v>
      </c>
      <c r="H178" s="16">
        <f>IF(OR(G178="Sin pagar",G178="Pagar"),NETWORKDAYS($J$114,F178,'Festivos Colombia'!$A$3:$A$22),0)</f>
        <v>0</v>
      </c>
      <c r="I178" s="16">
        <f>NETWORKDAYS($J$114,F178,'Festivos Colombia'!$A$3:$A$22)</f>
        <v>11</v>
      </c>
      <c r="J178" s="46">
        <f t="shared" ref="J178:J179" si="40">H178</f>
        <v>0</v>
      </c>
      <c r="K178" s="58"/>
      <c r="L178" s="25"/>
    </row>
    <row r="179" spans="1:12" s="16" customFormat="1" outlineLevel="1">
      <c r="C179" s="28"/>
      <c r="D179" s="9" t="s">
        <v>861</v>
      </c>
      <c r="E179" s="508">
        <v>1931252</v>
      </c>
      <c r="F179" s="7">
        <v>46042</v>
      </c>
      <c r="G179" s="16" t="s">
        <v>20</v>
      </c>
      <c r="H179" s="16">
        <f>IF(OR(G179="Sin pagar",G179="Pagar"),NETWORKDAYS($J$114,F179,'Festivos Colombia'!$A$3:$A$22),0)</f>
        <v>0</v>
      </c>
      <c r="I179" s="16">
        <f>NETWORKDAYS($J$114,F179,'Festivos Colombia'!$A$3:$A$22)</f>
        <v>12</v>
      </c>
      <c r="J179" s="46">
        <f t="shared" si="40"/>
        <v>0</v>
      </c>
      <c r="K179" s="58"/>
      <c r="L179" s="25"/>
    </row>
    <row r="180" spans="1:12" s="16" customFormat="1" outlineLevel="1">
      <c r="C180" s="28"/>
      <c r="D180" s="9" t="s">
        <v>1009</v>
      </c>
      <c r="E180" s="508">
        <v>912900</v>
      </c>
      <c r="F180" s="7">
        <v>46050</v>
      </c>
      <c r="G180" s="16" t="s">
        <v>20</v>
      </c>
      <c r="H180" s="16">
        <f>IF(OR(G180="Sin pagar",G180="Pagar"),NETWORKDAYS($J$114,F180,'Festivos Colombia'!$A$3:$A$22),0)</f>
        <v>0</v>
      </c>
      <c r="I180" s="16">
        <f>NETWORKDAYS($J$114,F180,'Festivos Colombia'!$A$3:$A$22)</f>
        <v>18</v>
      </c>
      <c r="J180" s="46">
        <f t="shared" ref="J180" si="41">H180</f>
        <v>0</v>
      </c>
      <c r="K180" s="58"/>
      <c r="L180" s="25"/>
    </row>
    <row r="181" spans="1:12" s="16" customFormat="1" ht="15.75" outlineLevel="1" thickBot="1">
      <c r="C181" s="28"/>
      <c r="D181" s="9" t="s">
        <v>1043</v>
      </c>
      <c r="E181" s="508">
        <v>1484670</v>
      </c>
      <c r="F181" s="7">
        <v>46056</v>
      </c>
      <c r="G181" s="16" t="s">
        <v>20</v>
      </c>
      <c r="H181" s="16">
        <f>IF(OR(G181="Sin pagar",G181="Pagar"),NETWORKDAYS($J$114,F181,'Festivos Colombia'!$A$3:$A$22),0)</f>
        <v>0</v>
      </c>
      <c r="I181" s="16">
        <f>NETWORKDAYS($J$114,F181,'Festivos Colombia'!$A$3:$A$22)</f>
        <v>22</v>
      </c>
      <c r="J181" s="46">
        <f t="shared" ref="J181" si="42">H181</f>
        <v>0</v>
      </c>
      <c r="K181" s="58"/>
      <c r="L181" s="25"/>
    </row>
    <row r="182" spans="1:12" s="16" customFormat="1" ht="16.5" thickBot="1">
      <c r="C182" s="24"/>
      <c r="D182" s="351" t="s">
        <v>105</v>
      </c>
      <c r="E182" s="352">
        <f>SUBTOTAL(9,E183:E193)</f>
        <v>13750636.35</v>
      </c>
      <c r="J182" s="46"/>
      <c r="K182" s="25"/>
    </row>
    <row r="183" spans="1:12" s="16" customFormat="1" outlineLevel="1">
      <c r="A183" s="16" t="str">
        <f t="shared" ref="A183" si="43">G183</f>
        <v>Cancelado</v>
      </c>
      <c r="B183" s="16">
        <f t="shared" ref="B183" si="44">IF(I183&lt;=-1,1,IF(I183&lt;=5,2,IF(I183&lt;=15,3,IF(H183&lt;=60,4))))</f>
        <v>4</v>
      </c>
      <c r="C183" s="24"/>
      <c r="D183" s="9" t="s">
        <v>995</v>
      </c>
      <c r="E183" s="350">
        <v>1830976</v>
      </c>
      <c r="F183" s="353">
        <v>46050</v>
      </c>
      <c r="G183" s="16" t="s">
        <v>20</v>
      </c>
      <c r="H183" s="16">
        <f>IF(OR(G183="Sin pagar",G183="Pagar"),NETWORKDAYS($J$114,F183,'Festivos Colombia'!$A$3:$A$22),0)</f>
        <v>0</v>
      </c>
      <c r="I183" s="16">
        <f>NETWORKDAYS($J$114,F183,'Festivos Colombia'!$A$3:$A$22)</f>
        <v>18</v>
      </c>
      <c r="J183" s="46">
        <f t="shared" ref="J183" si="45">H183</f>
        <v>0</v>
      </c>
      <c r="K183" s="58"/>
      <c r="L183" s="25"/>
    </row>
    <row r="184" spans="1:12" s="16" customFormat="1" outlineLevel="1">
      <c r="A184" s="16" t="str">
        <f t="shared" ref="A184:A193" si="46">G184</f>
        <v>Cancelado</v>
      </c>
      <c r="B184" s="16">
        <f t="shared" ref="B184:B193" si="47">IF(I184&lt;=-1,1,IF(I184&lt;=5,2,IF(I184&lt;=15,3,IF(H184&lt;=60,4))))</f>
        <v>4</v>
      </c>
      <c r="C184" s="24"/>
      <c r="D184" s="9" t="s">
        <v>996</v>
      </c>
      <c r="E184" s="350">
        <v>200000</v>
      </c>
      <c r="F184" s="353">
        <v>46050</v>
      </c>
      <c r="G184" s="16" t="s">
        <v>20</v>
      </c>
      <c r="H184" s="16">
        <f>IF(OR(G184="Sin pagar",G184="Pagar"),NETWORKDAYS($J$114,F184,'Festivos Colombia'!$A$3:$A$22),0)</f>
        <v>0</v>
      </c>
      <c r="I184" s="16">
        <f>NETWORKDAYS($J$114,F184,'Festivos Colombia'!$A$3:$A$22)</f>
        <v>18</v>
      </c>
      <c r="J184" s="46">
        <f t="shared" ref="J184:J193" si="48">H184</f>
        <v>0</v>
      </c>
      <c r="K184" s="58"/>
      <c r="L184" s="25"/>
    </row>
    <row r="185" spans="1:12" s="16" customFormat="1" outlineLevel="1">
      <c r="A185" s="16" t="str">
        <f t="shared" si="46"/>
        <v>Cancelado</v>
      </c>
      <c r="B185" s="16">
        <f t="shared" si="47"/>
        <v>4</v>
      </c>
      <c r="C185" s="24"/>
      <c r="D185" s="9" t="s">
        <v>997</v>
      </c>
      <c r="E185" s="350">
        <v>363500</v>
      </c>
      <c r="F185" s="353">
        <v>46050</v>
      </c>
      <c r="G185" s="16" t="s">
        <v>20</v>
      </c>
      <c r="H185" s="16">
        <f>IF(OR(G185="Sin pagar",G185="Pagar"),NETWORKDAYS($J$114,F185,'Festivos Colombia'!$A$3:$A$22),0)</f>
        <v>0</v>
      </c>
      <c r="I185" s="16">
        <f>NETWORKDAYS($J$114,F185,'Festivos Colombia'!$A$3:$A$22)</f>
        <v>18</v>
      </c>
      <c r="J185" s="46">
        <f t="shared" si="48"/>
        <v>0</v>
      </c>
      <c r="K185" s="58"/>
      <c r="L185" s="25"/>
    </row>
    <row r="186" spans="1:12" s="16" customFormat="1" outlineLevel="1">
      <c r="A186" s="16" t="str">
        <f t="shared" si="46"/>
        <v>Cancelado</v>
      </c>
      <c r="B186" s="16">
        <f t="shared" si="47"/>
        <v>4</v>
      </c>
      <c r="C186" s="24"/>
      <c r="D186" s="9" t="s">
        <v>998</v>
      </c>
      <c r="E186" s="350">
        <v>322868</v>
      </c>
      <c r="F186" s="353">
        <v>46050</v>
      </c>
      <c r="G186" s="16" t="s">
        <v>20</v>
      </c>
      <c r="H186" s="16">
        <f>IF(OR(G186="Sin pagar",G186="Pagar"),NETWORKDAYS($J$114,F186,'Festivos Colombia'!$A$3:$A$22),0)</f>
        <v>0</v>
      </c>
      <c r="I186" s="16">
        <f>NETWORKDAYS($J$114,F186,'Festivos Colombia'!$A$3:$A$22)</f>
        <v>18</v>
      </c>
      <c r="J186" s="46">
        <f t="shared" si="48"/>
        <v>0</v>
      </c>
      <c r="K186" s="58"/>
      <c r="L186" s="25"/>
    </row>
    <row r="187" spans="1:12" s="16" customFormat="1" outlineLevel="1">
      <c r="A187" s="16" t="str">
        <f t="shared" si="46"/>
        <v>Cancelado</v>
      </c>
      <c r="B187" s="16">
        <f t="shared" si="47"/>
        <v>4</v>
      </c>
      <c r="C187" s="24"/>
      <c r="D187" s="9" t="s">
        <v>999</v>
      </c>
      <c r="E187" s="350">
        <v>557742</v>
      </c>
      <c r="F187" s="353">
        <v>46050</v>
      </c>
      <c r="G187" s="16" t="s">
        <v>20</v>
      </c>
      <c r="H187" s="16">
        <f>IF(OR(G187="Sin pagar",G187="Pagar"),NETWORKDAYS($J$114,F187,'Festivos Colombia'!$A$3:$A$22),0)</f>
        <v>0</v>
      </c>
      <c r="I187" s="16">
        <f>NETWORKDAYS($J$114,F187,'Festivos Colombia'!$A$3:$A$22)</f>
        <v>18</v>
      </c>
      <c r="J187" s="46">
        <f t="shared" si="48"/>
        <v>0</v>
      </c>
      <c r="K187" s="58"/>
      <c r="L187" s="25"/>
    </row>
    <row r="188" spans="1:12" s="16" customFormat="1" outlineLevel="1">
      <c r="A188" s="16" t="str">
        <f t="shared" si="46"/>
        <v>Cancelado</v>
      </c>
      <c r="B188" s="16">
        <f t="shared" si="47"/>
        <v>4</v>
      </c>
      <c r="C188" s="24"/>
      <c r="D188" s="9" t="s">
        <v>1000</v>
      </c>
      <c r="E188" s="350">
        <v>133619</v>
      </c>
      <c r="F188" s="353">
        <v>46050</v>
      </c>
      <c r="G188" s="16" t="s">
        <v>20</v>
      </c>
      <c r="H188" s="16">
        <f>IF(OR(G188="Sin pagar",G188="Pagar"),NETWORKDAYS($J$114,F188,'Festivos Colombia'!$A$3:$A$22),0)</f>
        <v>0</v>
      </c>
      <c r="I188" s="16">
        <f>NETWORKDAYS($J$114,F188,'Festivos Colombia'!$A$3:$A$22)</f>
        <v>18</v>
      </c>
      <c r="J188" s="46">
        <f t="shared" si="48"/>
        <v>0</v>
      </c>
      <c r="K188" s="58"/>
      <c r="L188" s="25"/>
    </row>
    <row r="189" spans="1:12" s="16" customFormat="1" outlineLevel="1">
      <c r="A189" s="16" t="str">
        <f t="shared" si="46"/>
        <v>Cancelado</v>
      </c>
      <c r="B189" s="16">
        <f t="shared" si="47"/>
        <v>4</v>
      </c>
      <c r="C189" s="24"/>
      <c r="D189" s="9" t="s">
        <v>1001</v>
      </c>
      <c r="E189" s="350">
        <v>30000</v>
      </c>
      <c r="F189" s="353">
        <v>46050</v>
      </c>
      <c r="G189" s="16" t="s">
        <v>20</v>
      </c>
      <c r="H189" s="16">
        <f>IF(OR(G189="Sin pagar",G189="Pagar"),NETWORKDAYS($J$114,F189,'Festivos Colombia'!$A$3:$A$22),0)</f>
        <v>0</v>
      </c>
      <c r="I189" s="16">
        <f>NETWORKDAYS($J$114,F189,'Festivos Colombia'!$A$3:$A$22)</f>
        <v>18</v>
      </c>
      <c r="J189" s="46">
        <f t="shared" si="48"/>
        <v>0</v>
      </c>
      <c r="K189" s="58"/>
      <c r="L189" s="25"/>
    </row>
    <row r="190" spans="1:12" s="16" customFormat="1" outlineLevel="1">
      <c r="A190" s="16" t="str">
        <f t="shared" si="46"/>
        <v>Cancelado</v>
      </c>
      <c r="B190" s="16">
        <f t="shared" si="47"/>
        <v>4</v>
      </c>
      <c r="C190" s="24"/>
      <c r="D190" s="9" t="s">
        <v>1002</v>
      </c>
      <c r="E190" s="350">
        <v>1224000</v>
      </c>
      <c r="F190" s="353">
        <v>46050</v>
      </c>
      <c r="G190" s="16" t="s">
        <v>20</v>
      </c>
      <c r="H190" s="16">
        <f>IF(OR(G190="Sin pagar",G190="Pagar"),NETWORKDAYS($J$114,F190,'Festivos Colombia'!$A$3:$A$22),0)</f>
        <v>0</v>
      </c>
      <c r="I190" s="16">
        <f>NETWORKDAYS($J$114,F190,'Festivos Colombia'!$A$3:$A$22)</f>
        <v>18</v>
      </c>
      <c r="J190" s="46">
        <f t="shared" si="48"/>
        <v>0</v>
      </c>
      <c r="K190" s="58"/>
      <c r="L190" s="25"/>
    </row>
    <row r="191" spans="1:12" s="16" customFormat="1" outlineLevel="1">
      <c r="A191" s="16" t="str">
        <f t="shared" si="46"/>
        <v>Cancelado</v>
      </c>
      <c r="B191" s="16">
        <f t="shared" si="47"/>
        <v>4</v>
      </c>
      <c r="C191" s="24"/>
      <c r="D191" s="9" t="s">
        <v>1003</v>
      </c>
      <c r="E191" s="350">
        <v>1177291</v>
      </c>
      <c r="F191" s="353">
        <v>46050</v>
      </c>
      <c r="G191" s="16" t="s">
        <v>20</v>
      </c>
      <c r="H191" s="16">
        <f>IF(OR(G191="Sin pagar",G191="Pagar"),NETWORKDAYS($J$114,F191,'Festivos Colombia'!$A$3:$A$22),0)</f>
        <v>0</v>
      </c>
      <c r="I191" s="16">
        <f>NETWORKDAYS($J$114,F191,'Festivos Colombia'!$A$3:$A$22)</f>
        <v>18</v>
      </c>
      <c r="J191" s="46">
        <f t="shared" si="48"/>
        <v>0</v>
      </c>
      <c r="K191" s="58"/>
      <c r="L191" s="25"/>
    </row>
    <row r="192" spans="1:12" s="16" customFormat="1" outlineLevel="1">
      <c r="A192" s="16" t="str">
        <f t="shared" si="46"/>
        <v>Cancelado</v>
      </c>
      <c r="B192" s="16">
        <f t="shared" si="47"/>
        <v>4</v>
      </c>
      <c r="C192" s="24"/>
      <c r="D192" s="9" t="s">
        <v>1004</v>
      </c>
      <c r="E192" s="350">
        <v>5145613</v>
      </c>
      <c r="F192" s="353">
        <v>46050</v>
      </c>
      <c r="G192" s="16" t="s">
        <v>20</v>
      </c>
      <c r="H192" s="16">
        <f>IF(OR(G192="Sin pagar",G192="Pagar"),NETWORKDAYS($J$114,F192,'Festivos Colombia'!$A$3:$A$22),0)</f>
        <v>0</v>
      </c>
      <c r="I192" s="16">
        <f>NETWORKDAYS($J$114,F192,'Festivos Colombia'!$A$3:$A$22)</f>
        <v>18</v>
      </c>
      <c r="J192" s="46">
        <f t="shared" si="48"/>
        <v>0</v>
      </c>
      <c r="K192" s="58"/>
      <c r="L192" s="25"/>
    </row>
    <row r="193" spans="1:21" s="16" customFormat="1" ht="15.75" outlineLevel="1" thickBot="1">
      <c r="A193" s="16" t="str">
        <f t="shared" si="46"/>
        <v>Cancelado</v>
      </c>
      <c r="B193" s="16">
        <f t="shared" si="47"/>
        <v>4</v>
      </c>
      <c r="C193" s="24"/>
      <c r="D193" s="9" t="s">
        <v>1005</v>
      </c>
      <c r="E193" s="350">
        <v>2765027.35</v>
      </c>
      <c r="F193" s="353">
        <v>46050</v>
      </c>
      <c r="G193" s="16" t="s">
        <v>20</v>
      </c>
      <c r="H193" s="16">
        <f>IF(OR(G193="Sin pagar",G193="Pagar"),NETWORKDAYS($J$114,F193,'Festivos Colombia'!$A$3:$A$22),0)</f>
        <v>0</v>
      </c>
      <c r="I193" s="16">
        <f>NETWORKDAYS($J$114,F193,'Festivos Colombia'!$A$3:$A$22)</f>
        <v>18</v>
      </c>
      <c r="J193" s="46">
        <f t="shared" si="48"/>
        <v>0</v>
      </c>
      <c r="K193" s="58"/>
      <c r="L193" s="25"/>
    </row>
    <row r="194" spans="1:21" s="16" customFormat="1" ht="16.5" thickBot="1">
      <c r="C194" s="24"/>
      <c r="D194" s="351" t="s">
        <v>86</v>
      </c>
      <c r="E194" s="352">
        <f>SUBTOTAL(9,E195:E199)</f>
        <v>5680526</v>
      </c>
      <c r="J194" s="46"/>
      <c r="K194" s="25"/>
    </row>
    <row r="195" spans="1:21" s="16" customFormat="1" outlineLevel="1">
      <c r="A195" s="16" t="str">
        <f t="shared" ref="A195" si="49">G195</f>
        <v>Cancelado</v>
      </c>
      <c r="B195" s="16">
        <f t="shared" ref="B195" si="50">IF(I195&lt;=-1,1,IF(I195&lt;=5,2,IF(I195&lt;=15,3,IF(H195&lt;=60,4))))</f>
        <v>4</v>
      </c>
      <c r="C195" s="24"/>
      <c r="D195" s="9" t="s">
        <v>990</v>
      </c>
      <c r="E195" s="8">
        <v>729742</v>
      </c>
      <c r="F195" s="353">
        <v>46050</v>
      </c>
      <c r="G195" s="16" t="s">
        <v>20</v>
      </c>
      <c r="H195" s="16">
        <f>IF(OR(G195="Sin pagar",G195="Pagar"),NETWORKDAYS($J$114,F195,'Festivos Colombia'!$A$3:$A$22),0)</f>
        <v>0</v>
      </c>
      <c r="I195" s="16">
        <f>NETWORKDAYS($J$114,F195,'Festivos Colombia'!$A$3:$A$22)</f>
        <v>18</v>
      </c>
      <c r="J195" s="46">
        <f t="shared" ref="J195" si="51">H195</f>
        <v>0</v>
      </c>
      <c r="K195" s="58"/>
      <c r="L195" s="25"/>
    </row>
    <row r="196" spans="1:21" s="16" customFormat="1" outlineLevel="1">
      <c r="A196" s="16" t="str">
        <f t="shared" ref="A196:A199" si="52">G196</f>
        <v>Cancelado</v>
      </c>
      <c r="B196" s="16">
        <f t="shared" ref="B196:B199" si="53">IF(I196&lt;=-1,1,IF(I196&lt;=5,2,IF(I196&lt;=15,3,IF(H196&lt;=60,4))))</f>
        <v>4</v>
      </c>
      <c r="C196" s="24"/>
      <c r="D196" s="9" t="s">
        <v>991</v>
      </c>
      <c r="E196" s="8">
        <v>2487043</v>
      </c>
      <c r="F196" s="353">
        <v>46050</v>
      </c>
      <c r="G196" s="16" t="s">
        <v>20</v>
      </c>
      <c r="H196" s="16">
        <f>IF(OR(G196="Sin pagar",G196="Pagar"),NETWORKDAYS($J$114,F196,'Festivos Colombia'!$A$3:$A$22),0)</f>
        <v>0</v>
      </c>
      <c r="I196" s="16">
        <f>NETWORKDAYS($J$114,F196,'Festivos Colombia'!$A$3:$A$22)</f>
        <v>18</v>
      </c>
      <c r="J196" s="46">
        <f t="shared" ref="J196:J199" si="54">H196</f>
        <v>0</v>
      </c>
      <c r="K196" s="58"/>
      <c r="L196" s="25"/>
    </row>
    <row r="197" spans="1:21" s="16" customFormat="1" outlineLevel="1">
      <c r="A197" s="16" t="str">
        <f t="shared" si="52"/>
        <v>Cancelado</v>
      </c>
      <c r="B197" s="16">
        <f t="shared" si="53"/>
        <v>4</v>
      </c>
      <c r="C197" s="24"/>
      <c r="D197" s="9" t="s">
        <v>992</v>
      </c>
      <c r="E197" s="8">
        <v>724467</v>
      </c>
      <c r="F197" s="353">
        <v>46050</v>
      </c>
      <c r="G197" s="16" t="s">
        <v>20</v>
      </c>
      <c r="H197" s="16">
        <f>IF(OR(G197="Sin pagar",G197="Pagar"),NETWORKDAYS($J$114,F197,'Festivos Colombia'!$A$3:$A$22),0)</f>
        <v>0</v>
      </c>
      <c r="I197" s="16">
        <f>NETWORKDAYS($J$114,F197,'Festivos Colombia'!$A$3:$A$22)</f>
        <v>18</v>
      </c>
      <c r="J197" s="46">
        <f t="shared" si="54"/>
        <v>0</v>
      </c>
      <c r="K197" s="58"/>
      <c r="L197" s="25"/>
    </row>
    <row r="198" spans="1:21" s="16" customFormat="1" outlineLevel="1">
      <c r="A198" s="16" t="str">
        <f t="shared" si="52"/>
        <v>Cancelado</v>
      </c>
      <c r="B198" s="16">
        <f t="shared" si="53"/>
        <v>4</v>
      </c>
      <c r="C198" s="24"/>
      <c r="D198" s="9" t="s">
        <v>993</v>
      </c>
      <c r="E198" s="8">
        <v>657632</v>
      </c>
      <c r="F198" s="353">
        <v>46050</v>
      </c>
      <c r="G198" s="16" t="s">
        <v>20</v>
      </c>
      <c r="H198" s="16">
        <f>IF(OR(G198="Sin pagar",G198="Pagar"),NETWORKDAYS($J$114,F198,'Festivos Colombia'!$A$3:$A$22),0)</f>
        <v>0</v>
      </c>
      <c r="I198" s="16">
        <f>NETWORKDAYS($J$114,F198,'Festivos Colombia'!$A$3:$A$22)</f>
        <v>18</v>
      </c>
      <c r="J198" s="46">
        <f t="shared" si="54"/>
        <v>0</v>
      </c>
      <c r="K198" s="58"/>
      <c r="L198" s="25"/>
    </row>
    <row r="199" spans="1:21" s="16" customFormat="1" ht="15.75" outlineLevel="1" thickBot="1">
      <c r="A199" s="16" t="str">
        <f t="shared" si="52"/>
        <v>Cancelado</v>
      </c>
      <c r="B199" s="16">
        <f t="shared" si="53"/>
        <v>4</v>
      </c>
      <c r="C199" s="24"/>
      <c r="D199" s="9" t="s">
        <v>994</v>
      </c>
      <c r="E199" s="8">
        <v>1081642</v>
      </c>
      <c r="F199" s="353">
        <v>46050</v>
      </c>
      <c r="G199" s="16" t="s">
        <v>20</v>
      </c>
      <c r="H199" s="16">
        <f>IF(OR(G199="Sin pagar",G199="Pagar"),NETWORKDAYS($J$114,F199,'Festivos Colombia'!$A$3:$A$22),0)</f>
        <v>0</v>
      </c>
      <c r="I199" s="16">
        <f>NETWORKDAYS($J$114,F199,'Festivos Colombia'!$A$3:$A$22)</f>
        <v>18</v>
      </c>
      <c r="J199" s="46">
        <f t="shared" si="54"/>
        <v>0</v>
      </c>
      <c r="K199" s="58"/>
      <c r="L199" s="25"/>
    </row>
    <row r="200" spans="1:21" s="16" customFormat="1" ht="15.75" customHeight="1" thickBot="1">
      <c r="C200" s="24"/>
      <c r="D200" s="351" t="s">
        <v>48</v>
      </c>
      <c r="E200" s="352">
        <f>SUBTOTAL(9,E201:E223)</f>
        <v>18285290.609999999</v>
      </c>
      <c r="J200" s="46"/>
    </row>
    <row r="201" spans="1:21" s="16" customFormat="1" outlineLevel="1">
      <c r="A201" s="16" t="str">
        <f>G201</f>
        <v>Cancelado</v>
      </c>
      <c r="B201" s="16">
        <f>IF(I201&lt;=-1,1,IF(I201&lt;=5,2,IF(I201&lt;=15,3,IF(H201&lt;=60,4))))</f>
        <v>3</v>
      </c>
      <c r="C201" s="514" t="s">
        <v>514</v>
      </c>
      <c r="D201" s="9" t="s">
        <v>579</v>
      </c>
      <c r="E201" s="350">
        <f>5025723</f>
        <v>5025723</v>
      </c>
      <c r="F201" s="353">
        <v>46031</v>
      </c>
      <c r="G201" s="16" t="s">
        <v>20</v>
      </c>
      <c r="H201" s="16">
        <f>IF(OR(G201="Sin pagar",G201="Pagar"),NETWORKDAYS($J$114,F201,'Festivos Colombia'!$A$3:$A$22),0)</f>
        <v>0</v>
      </c>
      <c r="I201" s="16">
        <f>NETWORKDAYS($J$114,F201,'Festivos Colombia'!$A$3:$A$22)</f>
        <v>6</v>
      </c>
      <c r="J201" s="46">
        <f>H201</f>
        <v>0</v>
      </c>
      <c r="K201" s="58"/>
      <c r="S201" s="27"/>
    </row>
    <row r="202" spans="1:21" s="16" customFormat="1" ht="13.5" customHeight="1" outlineLevel="1">
      <c r="A202" s="16" t="str">
        <f>G202</f>
        <v>Cancelado</v>
      </c>
      <c r="B202" s="16">
        <f>IF(I202&lt;=-1,1,IF(I202&lt;=5,2,IF(I202&lt;=15,3,IF(H202&lt;=60,4))))</f>
        <v>3</v>
      </c>
      <c r="C202" s="56" t="s">
        <v>515</v>
      </c>
      <c r="D202" s="9" t="s">
        <v>50</v>
      </c>
      <c r="E202" s="350">
        <f>1525052.49</f>
        <v>1525052.49</v>
      </c>
      <c r="F202" s="353">
        <v>46031</v>
      </c>
      <c r="G202" s="16" t="s">
        <v>20</v>
      </c>
      <c r="H202" s="16">
        <f>IF(OR(G202="Sin pagar",G202="Pagar"),NETWORKDAYS($J$114,F202,'Festivos Colombia'!$A$3:$A$22),0)</f>
        <v>0</v>
      </c>
      <c r="I202" s="16">
        <f>NETWORKDAYS($J$114,F202,'Festivos Colombia'!$A$3:$A$22)</f>
        <v>6</v>
      </c>
      <c r="J202" s="46">
        <f>H202</f>
        <v>0</v>
      </c>
      <c r="K202" s="58"/>
      <c r="M202" s="25"/>
    </row>
    <row r="203" spans="1:21" s="16" customFormat="1" outlineLevel="1">
      <c r="A203" s="16" t="str">
        <f>G203</f>
        <v>Cancelado</v>
      </c>
      <c r="B203" s="16">
        <f>IF(I203&lt;=-1,1,IF(I203&lt;=5,2,IF(I203&lt;=15,3,IF(H203&lt;=60,4))))</f>
        <v>3</v>
      </c>
      <c r="C203" s="440" t="s">
        <v>570</v>
      </c>
      <c r="D203" s="9" t="s">
        <v>49</v>
      </c>
      <c r="E203" s="350">
        <f>833000</f>
        <v>833000</v>
      </c>
      <c r="F203" s="353">
        <v>46031</v>
      </c>
      <c r="G203" s="16" t="s">
        <v>20</v>
      </c>
      <c r="H203" s="16">
        <f>IF(OR(G203="Sin pagar",G203="Pagar"),NETWORKDAYS($J$114,F203,'Festivos Colombia'!$A$3:$A$22),0)</f>
        <v>0</v>
      </c>
      <c r="I203" s="16">
        <f>NETWORKDAYS($J$114,F203,'Festivos Colombia'!$A$3:$A$22)</f>
        <v>6</v>
      </c>
      <c r="J203" s="46">
        <f>H203</f>
        <v>0</v>
      </c>
      <c r="K203" s="58"/>
      <c r="S203" s="27"/>
    </row>
    <row r="204" spans="1:21" s="16" customFormat="1" outlineLevel="1">
      <c r="A204" s="16" t="str">
        <f t="shared" ref="A204" si="55">G204</f>
        <v>Cancelado</v>
      </c>
      <c r="B204" s="16">
        <f t="shared" ref="B204" si="56">IF(I204&lt;=-1,1,IF(I204&lt;=5,2,IF(I204&lt;=15,3,IF(H204&lt;=60,4))))</f>
        <v>3</v>
      </c>
      <c r="C204" s="56">
        <v>12</v>
      </c>
      <c r="D204" s="9" t="s">
        <v>818</v>
      </c>
      <c r="E204" s="8">
        <v>464486</v>
      </c>
      <c r="F204" s="7">
        <v>46036</v>
      </c>
      <c r="G204" s="16" t="s">
        <v>20</v>
      </c>
      <c r="H204" s="16">
        <f>IF(OR(G204="Sin pagar",G204="Pagar"),NETWORKDAYS($J$114,F204,'Festivos Colombia'!$A$3:$A$22),0)</f>
        <v>0</v>
      </c>
      <c r="I204" s="16">
        <f>NETWORKDAYS($J$114,F204,'Festivos Colombia'!$A$3:$A$22)</f>
        <v>8</v>
      </c>
      <c r="J204" s="46">
        <f t="shared" ref="J204" si="57">H204</f>
        <v>0</v>
      </c>
      <c r="K204" s="58"/>
    </row>
    <row r="205" spans="1:21" s="150" customFormat="1" ht="16.5" customHeight="1" outlineLevel="1">
      <c r="A205" s="355" t="str">
        <f t="shared" ref="A205:A207" si="58">G205</f>
        <v>Cancelado</v>
      </c>
      <c r="B205" s="355">
        <f t="shared" ref="B205:B207" si="59">IF(I205&lt;=-1,1,IF(I205&lt;=5,2,IF(I205&lt;=15,3,IF(H205&lt;=60,4))))</f>
        <v>3</v>
      </c>
      <c r="C205" s="234" t="s">
        <v>511</v>
      </c>
      <c r="D205" s="320" t="s">
        <v>822</v>
      </c>
      <c r="E205" s="350">
        <f>600*0</f>
        <v>0</v>
      </c>
      <c r="F205" s="522">
        <v>46038</v>
      </c>
      <c r="G205" s="16" t="s">
        <v>20</v>
      </c>
      <c r="H205" s="16">
        <f>IF(OR(G205="Sin pagar",G205="Pagar"),NETWORKDAYS($J$114,F205,'Festivos Colombia'!$A$3:$A$22),0)</f>
        <v>0</v>
      </c>
      <c r="I205" s="16">
        <f>NETWORKDAYS($J$114,F205,'Festivos Colombia'!$A$3:$A$22)</f>
        <v>10</v>
      </c>
      <c r="J205" s="46">
        <f t="shared" ref="J205:J210" si="60">H205</f>
        <v>0</v>
      </c>
      <c r="K205" s="58"/>
      <c r="L205" s="355"/>
      <c r="M205" s="355"/>
      <c r="N205" s="355"/>
      <c r="O205" s="355"/>
      <c r="P205" s="355"/>
      <c r="Q205" s="355"/>
      <c r="R205" s="355"/>
      <c r="S205" s="355"/>
      <c r="T205" s="355"/>
      <c r="U205" s="355"/>
    </row>
    <row r="206" spans="1:21" s="16" customFormat="1" ht="14.25" customHeight="1" outlineLevel="1">
      <c r="A206" s="16" t="str">
        <f>G206</f>
        <v>Cancelado</v>
      </c>
      <c r="B206" s="16">
        <f>IF(I206&lt;=-1,1,IF(I206&lt;=5,2,IF(I206&lt;=15,3,IF(H206&lt;=60,4))))</f>
        <v>3</v>
      </c>
      <c r="C206" s="24">
        <v>8</v>
      </c>
      <c r="D206" s="9" t="s">
        <v>106</v>
      </c>
      <c r="E206" s="8">
        <v>510000</v>
      </c>
      <c r="F206" s="522">
        <v>46038</v>
      </c>
      <c r="G206" s="16" t="s">
        <v>20</v>
      </c>
      <c r="H206" s="16">
        <f>IF(OR(G206="Sin pagar",G206="Pagar"),NETWORKDAYS($J$114,F206,'Festivos Colombia'!$A$3:$A$22),0)</f>
        <v>0</v>
      </c>
      <c r="I206" s="16">
        <f>NETWORKDAYS($J$114,F206,'Festivos Colombia'!$A$3:$A$22)</f>
        <v>10</v>
      </c>
      <c r="J206" s="46">
        <f>H206</f>
        <v>0</v>
      </c>
      <c r="K206" s="58"/>
    </row>
    <row r="207" spans="1:21" s="16" customFormat="1" outlineLevel="1">
      <c r="A207" s="16" t="str">
        <f t="shared" si="58"/>
        <v>Cancelado</v>
      </c>
      <c r="B207" s="16">
        <f t="shared" si="59"/>
        <v>3</v>
      </c>
      <c r="C207" s="56" t="s">
        <v>827</v>
      </c>
      <c r="D207" s="9" t="s">
        <v>55</v>
      </c>
      <c r="E207" s="8">
        <v>73640</v>
      </c>
      <c r="F207" s="522">
        <v>46038</v>
      </c>
      <c r="G207" s="16" t="s">
        <v>20</v>
      </c>
      <c r="H207" s="16">
        <f>IF(OR(G207="Sin pagar",G207="Pagar"),NETWORKDAYS($J$114,F207,'Festivos Colombia'!$A$3:$A$22),0)</f>
        <v>0</v>
      </c>
      <c r="I207" s="16">
        <f>NETWORKDAYS($J$114,F207,'Festivos Colombia'!$A$3:$A$22)</f>
        <v>10</v>
      </c>
      <c r="J207" s="46">
        <f t="shared" si="60"/>
        <v>0</v>
      </c>
      <c r="K207" s="58"/>
    </row>
    <row r="208" spans="1:21" s="16" customFormat="1" outlineLevel="1">
      <c r="A208" s="16" t="str">
        <f>G208</f>
        <v>Cancelado</v>
      </c>
      <c r="B208" s="16">
        <f>IF(I208&lt;=-1,1,IF(I208&lt;=5,2,IF(I208&lt;=15,3,IF(H208&lt;=60,4))))</f>
        <v>3</v>
      </c>
      <c r="C208" s="56">
        <v>260101</v>
      </c>
      <c r="D208" s="347" t="s">
        <v>53</v>
      </c>
      <c r="E208" s="8">
        <v>475363.2</v>
      </c>
      <c r="F208" s="353">
        <v>46045</v>
      </c>
      <c r="G208" s="16" t="s">
        <v>20</v>
      </c>
      <c r="H208" s="16">
        <f>IF(OR(G208="Sin pagar",G208="Pagar"),NETWORKDAYS($J$114,F208,'Festivos Colombia'!$A$3:$A$22),0)</f>
        <v>0</v>
      </c>
      <c r="I208" s="16">
        <f>NETWORKDAYS($J$114,F208,'Festivos Colombia'!$A$3:$A$22)</f>
        <v>15</v>
      </c>
      <c r="J208" s="46">
        <f t="shared" si="60"/>
        <v>0</v>
      </c>
      <c r="K208" s="58"/>
    </row>
    <row r="209" spans="1:19" s="16" customFormat="1" outlineLevel="1">
      <c r="A209" s="16" t="str">
        <f t="shared" ref="A209:A210" si="61">G209</f>
        <v>Cancelado</v>
      </c>
      <c r="B209" s="16">
        <f t="shared" ref="B209:B210" si="62">IF(I209&lt;=-1,1,IF(I209&lt;=5,2,IF(I209&lt;=15,3,IF(H209&lt;=60,4))))</f>
        <v>3</v>
      </c>
      <c r="C209" s="534">
        <v>24</v>
      </c>
      <c r="D209" s="347" t="s">
        <v>52</v>
      </c>
      <c r="E209" s="535">
        <v>1489471.36</v>
      </c>
      <c r="F209" s="353">
        <v>46045</v>
      </c>
      <c r="G209" s="16" t="s">
        <v>20</v>
      </c>
      <c r="H209" s="16">
        <f>IF(OR(G209="Sin pagar",G209="Pagar"),NETWORKDAYS($J$114,F209,'Festivos Colombia'!$A$3:$A$22),0)</f>
        <v>0</v>
      </c>
      <c r="I209" s="16">
        <f>NETWORKDAYS($J$114,F209,'Festivos Colombia'!$A$3:$A$22)</f>
        <v>15</v>
      </c>
      <c r="J209" s="46">
        <f t="shared" si="60"/>
        <v>0</v>
      </c>
      <c r="K209" s="58"/>
      <c r="M209" s="25"/>
    </row>
    <row r="210" spans="1:19" s="16" customFormat="1" outlineLevel="1">
      <c r="A210" s="16" t="str">
        <f t="shared" si="61"/>
        <v>Cancelado</v>
      </c>
      <c r="B210" s="16">
        <f t="shared" si="62"/>
        <v>3</v>
      </c>
      <c r="C210" s="534">
        <v>16</v>
      </c>
      <c r="D210" s="347" t="s">
        <v>113</v>
      </c>
      <c r="E210" s="535">
        <v>1489471.36</v>
      </c>
      <c r="F210" s="353">
        <v>46045</v>
      </c>
      <c r="G210" s="16" t="s">
        <v>20</v>
      </c>
      <c r="H210" s="16">
        <f>IF(OR(G210="Sin pagar",G210="Pagar"),NETWORKDAYS($J$114,F210,'Festivos Colombia'!$A$3:$A$22),0)</f>
        <v>0</v>
      </c>
      <c r="I210" s="16">
        <f>NETWORKDAYS($J$114,F210,'Festivos Colombia'!$A$3:$A$22)</f>
        <v>15</v>
      </c>
      <c r="J210" s="46">
        <f t="shared" si="60"/>
        <v>0</v>
      </c>
      <c r="K210" s="58"/>
      <c r="M210" s="25"/>
    </row>
    <row r="211" spans="1:19" s="16" customFormat="1" ht="14.25" customHeight="1" outlineLevel="1">
      <c r="A211" s="16" t="str">
        <f>G211</f>
        <v>Cancelado</v>
      </c>
      <c r="B211" s="16">
        <f>IF(I211&lt;=-1,1,IF(I211&lt;=5,2,IF(I211&lt;=15,3,IF(H211&lt;=60,4))))</f>
        <v>4</v>
      </c>
      <c r="C211" s="562" t="s">
        <v>1010</v>
      </c>
      <c r="D211" s="9" t="s">
        <v>54</v>
      </c>
      <c r="E211" s="8">
        <v>774025.2</v>
      </c>
      <c r="F211" s="465">
        <v>46052</v>
      </c>
      <c r="G211" s="16" t="s">
        <v>20</v>
      </c>
      <c r="H211" s="16">
        <f>IF(OR(G211="Sin pagar",G211="Pagar"),NETWORKDAYS($J$114,F211,'Festivos Colombia'!$A$3:$A$22),0)</f>
        <v>0</v>
      </c>
      <c r="I211" s="16">
        <f>NETWORKDAYS($J$114,F211,'Festivos Colombia'!$A$3:$A$22)</f>
        <v>20</v>
      </c>
      <c r="J211" s="46">
        <f>H211</f>
        <v>0</v>
      </c>
      <c r="K211" s="58"/>
    </row>
    <row r="212" spans="1:19" s="16" customFormat="1" outlineLevel="1">
      <c r="A212" s="16" t="str">
        <f>G212</f>
        <v>Cancelado</v>
      </c>
      <c r="B212" s="16">
        <f>IF(I212&lt;=-1,1,IF(I212&lt;=5,2,IF(I212&lt;=15,3,IF(H212&lt;=60,4))))</f>
        <v>4</v>
      </c>
      <c r="C212" s="56" t="s">
        <v>1011</v>
      </c>
      <c r="D212" s="9" t="s">
        <v>96</v>
      </c>
      <c r="E212" s="8">
        <v>1438893</v>
      </c>
      <c r="F212" s="353">
        <v>46052</v>
      </c>
      <c r="G212" s="16" t="s">
        <v>20</v>
      </c>
      <c r="H212" s="16">
        <f>IF(OR(G212="Sin pagar",G212="Pagar"),NETWORKDAYS($J$114,F212,'Festivos Colombia'!$A$3:$A$22),0)</f>
        <v>0</v>
      </c>
      <c r="I212" s="16">
        <f>NETWORKDAYS($J$114,F212,'Festivos Colombia'!$A$3:$A$22)</f>
        <v>20</v>
      </c>
      <c r="J212" s="46">
        <f>H212</f>
        <v>0</v>
      </c>
      <c r="K212" s="58"/>
      <c r="M212" s="25"/>
    </row>
    <row r="213" spans="1:19" s="16" customFormat="1" outlineLevel="1">
      <c r="A213" s="16" t="str">
        <f>G213</f>
        <v>Cancelado</v>
      </c>
      <c r="B213" s="16">
        <f>IF(I213&lt;=-1,1,IF(I213&lt;=5,2,IF(I213&lt;=15,3,IF(H213&lt;=60,4))))</f>
        <v>4</v>
      </c>
      <c r="C213" s="56" t="s">
        <v>848</v>
      </c>
      <c r="D213" s="526" t="s">
        <v>849</v>
      </c>
      <c r="E213" s="8">
        <v>1499400</v>
      </c>
      <c r="F213" s="7">
        <v>46052</v>
      </c>
      <c r="G213" s="16" t="s">
        <v>20</v>
      </c>
      <c r="H213" s="16">
        <f>IF(OR(G213="Sin pagar",G213="Pagar"),NETWORKDAYS($J$114,F213,'Festivos Colombia'!$A$3:$A$22),0)</f>
        <v>0</v>
      </c>
      <c r="I213" s="16">
        <f>NETWORKDAYS($J$114,F213,'Festivos Colombia'!$A$3:$A$22)</f>
        <v>20</v>
      </c>
      <c r="J213" s="46">
        <f t="shared" ref="J213:J214" si="63">H213</f>
        <v>0</v>
      </c>
      <c r="K213" s="50" t="s">
        <v>899</v>
      </c>
    </row>
    <row r="214" spans="1:19" s="16" customFormat="1" outlineLevel="1">
      <c r="A214" s="16" t="str">
        <f>G214</f>
        <v>Cancelado</v>
      </c>
      <c r="B214" s="16">
        <f>IF(I214&lt;=-1,1,IF(I214&lt;=5,2,IF(I214&lt;=15,3,IF(H214&lt;=60,4))))</f>
        <v>4</v>
      </c>
      <c r="C214" s="56" t="s">
        <v>1017</v>
      </c>
      <c r="D214" s="769" t="s">
        <v>1619</v>
      </c>
      <c r="E214" s="8">
        <v>1877565</v>
      </c>
      <c r="F214" s="7">
        <v>46052</v>
      </c>
      <c r="G214" s="16" t="s">
        <v>20</v>
      </c>
      <c r="H214" s="16">
        <f>IF(OR(G214="Sin pagar",G214="Pagar"),NETWORKDAYS($J$114,F214,'Festivos Colombia'!$A$3:$A$22),0)</f>
        <v>0</v>
      </c>
      <c r="I214" s="16">
        <f>NETWORKDAYS($J$114,F214,'Festivos Colombia'!$A$3:$A$22)</f>
        <v>20</v>
      </c>
      <c r="J214" s="46">
        <f t="shared" si="63"/>
        <v>0</v>
      </c>
      <c r="K214" s="50" t="s">
        <v>899</v>
      </c>
    </row>
    <row r="215" spans="1:19" s="16" customFormat="1" outlineLevel="1">
      <c r="A215" s="16" t="str">
        <f>G215</f>
        <v>Cancelado</v>
      </c>
      <c r="B215" s="16">
        <f>IF(I215&lt;=-1,1,IF(I215&lt;=5,2,IF(I215&lt;=15,3,IF(H215&lt;=60,4))))</f>
        <v>4</v>
      </c>
      <c r="C215" s="56" t="s">
        <v>1017</v>
      </c>
      <c r="D215" s="570" t="s">
        <v>1036</v>
      </c>
      <c r="E215" s="8">
        <v>809200</v>
      </c>
      <c r="F215" s="7">
        <v>46055</v>
      </c>
      <c r="G215" s="16" t="s">
        <v>20</v>
      </c>
      <c r="H215" s="16">
        <f>IF(OR(G215="Sin pagar",G215="Pagar"),NETWORKDAYS($J$114,F215,'Festivos Colombia'!$A$3:$A$22),0)</f>
        <v>0</v>
      </c>
      <c r="I215" s="16">
        <f>NETWORKDAYS($J$114,F215,'Festivos Colombia'!$A$3:$A$22)</f>
        <v>21</v>
      </c>
      <c r="J215" s="46">
        <f t="shared" ref="J215" si="64">H215</f>
        <v>0</v>
      </c>
      <c r="K215" s="50" t="s">
        <v>899</v>
      </c>
    </row>
    <row r="216" spans="1:19" s="16" customFormat="1" outlineLevel="1">
      <c r="A216" s="16" t="str">
        <f t="shared" ref="A216" si="65">G216</f>
        <v>Sin Pagar</v>
      </c>
      <c r="B216" s="16">
        <f t="shared" ref="B216" si="66">IF(I216&lt;=-1,1,IF(I216&lt;=5,2,IF(I216&lt;=15,3,IF(H216&lt;=60,4))))</f>
        <v>4</v>
      </c>
      <c r="C216" s="536" t="s">
        <v>889</v>
      </c>
      <c r="D216" s="9" t="s">
        <v>739</v>
      </c>
      <c r="E216" s="350">
        <f>41353724*0</f>
        <v>0</v>
      </c>
      <c r="F216" s="465">
        <v>46059</v>
      </c>
      <c r="G216" s="16" t="s">
        <v>5</v>
      </c>
      <c r="H216" s="16">
        <f>IF(OR(G216="Sin pagar",G216="Pagar"),NETWORKDAYS($J$114,F216,'Festivos Colombia'!$A$3:$A$22),0)</f>
        <v>25</v>
      </c>
      <c r="I216" s="16">
        <f>NETWORKDAYS($J$114,F216,'Festivos Colombia'!$A$3:$A$22)</f>
        <v>25</v>
      </c>
      <c r="J216" s="46">
        <f t="shared" ref="J216" si="67">H216</f>
        <v>25</v>
      </c>
      <c r="K216" s="58"/>
      <c r="S216" s="27"/>
    </row>
    <row r="217" spans="1:19" s="16" customFormat="1" outlineLevel="1">
      <c r="A217" s="16" t="str">
        <f t="shared" ref="A217" si="68">G217</f>
        <v>Sin Pagar</v>
      </c>
      <c r="B217" s="16">
        <f t="shared" ref="B217" si="69">IF(I217&lt;=-1,1,IF(I217&lt;=5,2,IF(I217&lt;=15,3,IF(H217&lt;=60,4))))</f>
        <v>4</v>
      </c>
      <c r="C217" s="24" t="s">
        <v>601</v>
      </c>
      <c r="D217" s="9" t="s">
        <v>793</v>
      </c>
      <c r="E217" s="8">
        <f>754578*0</f>
        <v>0</v>
      </c>
      <c r="F217" s="465">
        <v>46059</v>
      </c>
      <c r="G217" s="16" t="s">
        <v>5</v>
      </c>
      <c r="H217" s="16">
        <f>IF(OR(G217="Sin pagar",G217="Pagar"),NETWORKDAYS($J$114,F217,'Festivos Colombia'!$A$3:$A$22),0)</f>
        <v>25</v>
      </c>
      <c r="I217" s="16">
        <f>NETWORKDAYS($J$114,F217,'Festivos Colombia'!$A$3:$A$22)</f>
        <v>25</v>
      </c>
      <c r="J217" s="46">
        <f t="shared" ref="J217" si="70">H217</f>
        <v>25</v>
      </c>
      <c r="K217" s="58" t="s">
        <v>44</v>
      </c>
    </row>
    <row r="218" spans="1:19" s="16" customFormat="1" outlineLevel="1">
      <c r="A218" s="16" t="str">
        <f t="shared" ref="A218:A223" si="71">G218</f>
        <v>Sin Pagar</v>
      </c>
      <c r="B218" s="16">
        <f t="shared" ref="B218:B223" si="72">IF(I218&lt;=-1,1,IF(I218&lt;=5,2,IF(I218&lt;=15,3,IF(H218&lt;=60,4))))</f>
        <v>4</v>
      </c>
      <c r="C218" s="56">
        <v>8</v>
      </c>
      <c r="D218" s="9" t="s">
        <v>107</v>
      </c>
      <c r="E218" s="350">
        <f>3100000*0</f>
        <v>0</v>
      </c>
      <c r="F218" s="353">
        <v>46059</v>
      </c>
      <c r="G218" s="16" t="s">
        <v>5</v>
      </c>
      <c r="H218" s="16">
        <f>IF(OR(G218="Sin pagar",G218="Pagar"),NETWORKDAYS($J$114,F218,'Festivos Colombia'!$A$3:$A$22),0)</f>
        <v>25</v>
      </c>
      <c r="I218" s="16">
        <f>NETWORKDAYS($J$114,F218,'Festivos Colombia'!$A$3:$A$22)</f>
        <v>25</v>
      </c>
      <c r="J218" s="46">
        <f t="shared" ref="J218:J223" si="73">H218</f>
        <v>25</v>
      </c>
      <c r="K218" s="58"/>
      <c r="M218" s="25"/>
    </row>
    <row r="219" spans="1:19" s="16" customFormat="1" outlineLevel="1">
      <c r="A219" s="16" t="str">
        <f t="shared" si="71"/>
        <v>Sin Pagar</v>
      </c>
      <c r="B219" s="16">
        <f t="shared" si="72"/>
        <v>4</v>
      </c>
      <c r="C219" s="24" t="s">
        <v>847</v>
      </c>
      <c r="D219" s="9" t="s">
        <v>49</v>
      </c>
      <c r="E219" s="350">
        <f>833000*0</f>
        <v>0</v>
      </c>
      <c r="F219" s="353">
        <v>46054</v>
      </c>
      <c r="G219" s="16" t="s">
        <v>5</v>
      </c>
      <c r="H219" s="16">
        <f>IF(OR(G219="Sin pagar",G219="Pagar"),NETWORKDAYS($J$114,F219,'Festivos Colombia'!$A$3:$A$22),0)</f>
        <v>20</v>
      </c>
      <c r="I219" s="16">
        <f>NETWORKDAYS($J$114,F219,'Festivos Colombia'!$A$3:$A$22)</f>
        <v>20</v>
      </c>
      <c r="J219" s="46">
        <f t="shared" si="73"/>
        <v>20</v>
      </c>
      <c r="K219" s="58"/>
      <c r="S219" s="27"/>
    </row>
    <row r="220" spans="1:19" s="16" customFormat="1" outlineLevel="1">
      <c r="A220" s="16" t="str">
        <f t="shared" si="71"/>
        <v>Sin Pagar</v>
      </c>
      <c r="B220" s="16">
        <f t="shared" si="72"/>
        <v>4</v>
      </c>
      <c r="C220" s="24" t="s">
        <v>1042</v>
      </c>
      <c r="D220" s="9" t="s">
        <v>56</v>
      </c>
      <c r="E220" s="8">
        <f>4065250*0</f>
        <v>0</v>
      </c>
      <c r="F220" s="465">
        <v>46059</v>
      </c>
      <c r="G220" s="16" t="s">
        <v>5</v>
      </c>
      <c r="H220" s="16">
        <f>IF(OR(G220="Sin pagar",G220="Pagar"),NETWORKDAYS($J$114,F220,'Festivos Colombia'!$A$3:$A$22),0)</f>
        <v>25</v>
      </c>
      <c r="I220" s="16">
        <f>NETWORKDAYS($J$114,F220,'Festivos Colombia'!$A$3:$A$22)</f>
        <v>25</v>
      </c>
      <c r="J220" s="46">
        <f t="shared" si="73"/>
        <v>25</v>
      </c>
      <c r="K220" s="58"/>
    </row>
    <row r="221" spans="1:19" s="16" customFormat="1" outlineLevel="1">
      <c r="A221" s="16" t="str">
        <f t="shared" si="71"/>
        <v>Sin Pagar</v>
      </c>
      <c r="B221" s="16">
        <f t="shared" si="72"/>
        <v>4</v>
      </c>
      <c r="C221" s="24" t="s">
        <v>599</v>
      </c>
      <c r="D221" s="9" t="s">
        <v>97</v>
      </c>
      <c r="E221" s="8">
        <f>(3665694*1.052)*0</f>
        <v>0</v>
      </c>
      <c r="F221" s="465">
        <v>46059</v>
      </c>
      <c r="G221" s="16" t="s">
        <v>5</v>
      </c>
      <c r="H221" s="16">
        <f>IF(OR(G221="Sin pagar",G221="Pagar"),NETWORKDAYS($J$114,F221,'Festivos Colombia'!$A$3:$A$22),0)</f>
        <v>25</v>
      </c>
      <c r="I221" s="16">
        <f>NETWORKDAYS($J$114,F221,'Festivos Colombia'!$A$3:$A$22)</f>
        <v>25</v>
      </c>
      <c r="J221" s="46">
        <f t="shared" si="73"/>
        <v>25</v>
      </c>
      <c r="K221" s="58" t="s">
        <v>44</v>
      </c>
    </row>
    <row r="222" spans="1:19" s="16" customFormat="1" outlineLevel="1">
      <c r="A222" s="16" t="str">
        <f t="shared" si="71"/>
        <v>Sin Pagar</v>
      </c>
      <c r="B222" s="16">
        <f t="shared" si="72"/>
        <v>4</v>
      </c>
      <c r="C222" s="24" t="s">
        <v>850</v>
      </c>
      <c r="D222" s="9" t="s">
        <v>49</v>
      </c>
      <c r="E222" s="350">
        <f>1238034*0</f>
        <v>0</v>
      </c>
      <c r="F222" s="353">
        <v>46059</v>
      </c>
      <c r="G222" s="16" t="s">
        <v>5</v>
      </c>
      <c r="H222" s="16">
        <f>IF(OR(G222="Sin pagar",G222="Pagar"),NETWORKDAYS($J$114,F222,'Festivos Colombia'!$A$3:$A$22),0)</f>
        <v>25</v>
      </c>
      <c r="I222" s="16">
        <f>NETWORKDAYS($J$114,F222,'Festivos Colombia'!$A$3:$A$22)</f>
        <v>25</v>
      </c>
      <c r="J222" s="46">
        <f t="shared" si="73"/>
        <v>25</v>
      </c>
      <c r="K222" s="58"/>
      <c r="S222" s="27"/>
    </row>
    <row r="223" spans="1:19" s="16" customFormat="1" ht="13.5" customHeight="1" outlineLevel="1" thickBot="1">
      <c r="A223" s="16" t="str">
        <f t="shared" si="71"/>
        <v>Sin Pagar</v>
      </c>
      <c r="B223" s="16">
        <f t="shared" si="72"/>
        <v>4</v>
      </c>
      <c r="C223" s="56" t="s">
        <v>851</v>
      </c>
      <c r="D223" s="9" t="s">
        <v>50</v>
      </c>
      <c r="E223" s="350">
        <f>1723309.31*0</f>
        <v>0</v>
      </c>
      <c r="F223" s="353">
        <v>46071</v>
      </c>
      <c r="G223" s="16" t="s">
        <v>5</v>
      </c>
      <c r="H223" s="16">
        <f>IF(OR(G223="Sin pagar",G223="Pagar"),NETWORKDAYS($J$114,F223,'Festivos Colombia'!$A$3:$A$22),0)</f>
        <v>33</v>
      </c>
      <c r="I223" s="16">
        <f>NETWORKDAYS($J$114,F223,'Festivos Colombia'!$A$3:$A$22)</f>
        <v>33</v>
      </c>
      <c r="J223" s="46">
        <f t="shared" si="73"/>
        <v>33</v>
      </c>
      <c r="K223" s="58"/>
      <c r="M223" s="25"/>
    </row>
    <row r="224" spans="1:19" s="16" customFormat="1" ht="15.75" customHeight="1" thickBot="1">
      <c r="D224" s="351" t="s">
        <v>57</v>
      </c>
      <c r="E224" s="352">
        <f>SUBTOTAL(9,E225:E225)</f>
        <v>13274584.23</v>
      </c>
      <c r="J224" s="46"/>
    </row>
    <row r="225" spans="1:17" s="16" customFormat="1" ht="15.75" outlineLevel="1" thickBot="1">
      <c r="A225" s="16" t="str">
        <f>G225</f>
        <v>Cancelado</v>
      </c>
      <c r="B225" s="16">
        <f>IF(I225&lt;=-1,1,IF(I225&lt;=5,2,IF(I225&lt;=15,3,IF(H225&lt;=60,4))))</f>
        <v>4</v>
      </c>
      <c r="C225" s="24"/>
      <c r="D225" s="9" t="s">
        <v>58</v>
      </c>
      <c r="E225" s="578">
        <f>11536652.23+1737932</f>
        <v>13274584.23</v>
      </c>
      <c r="F225" s="7">
        <v>46053</v>
      </c>
      <c r="G225" s="16" t="s">
        <v>20</v>
      </c>
      <c r="H225" s="16">
        <f>IF(OR(G225="Sin pagar",G225="Pagar"),NETWORKDAYS($J$114,F225,'Festivos Colombia'!$A$3:$A$22),0)</f>
        <v>0</v>
      </c>
      <c r="I225" s="16">
        <f>NETWORKDAYS($J$114,F225,'Festivos Colombia'!$A$3:$A$22)</f>
        <v>20</v>
      </c>
      <c r="J225" s="46">
        <f>H225</f>
        <v>0</v>
      </c>
      <c r="K225" s="58"/>
    </row>
    <row r="226" spans="1:17" s="16" customFormat="1" ht="16.5" thickBot="1">
      <c r="C226" s="24"/>
      <c r="D226" s="351" t="s">
        <v>59</v>
      </c>
      <c r="E226" s="352">
        <f>SUBTOTAL(9,E227:E228)</f>
        <v>2696319</v>
      </c>
      <c r="J226" s="46"/>
    </row>
    <row r="227" spans="1:17" s="16" customFormat="1" outlineLevel="1">
      <c r="A227" s="16" t="str">
        <f>G227</f>
        <v>Cancelado</v>
      </c>
      <c r="B227" s="16">
        <f>IF(I227&lt;=-1,1,IF(I227&lt;=5,2,IF(I227&lt;=15,3,IF(H227&lt;=60,4))))</f>
        <v>4</v>
      </c>
      <c r="C227" s="24"/>
      <c r="D227" s="9" t="s">
        <v>87</v>
      </c>
      <c r="E227" s="350">
        <v>2157496</v>
      </c>
      <c r="F227" s="7">
        <v>46050</v>
      </c>
      <c r="G227" s="16" t="s">
        <v>20</v>
      </c>
      <c r="H227" s="16">
        <f>IF(OR(G227="Sin pagar",G227="Pagar"),NETWORKDAYS($J$114,F227,'Festivos Colombia'!$A$3:$A$22),0)</f>
        <v>0</v>
      </c>
      <c r="I227" s="16">
        <f>NETWORKDAYS($J$114,F227,'Festivos Colombia'!$A$3:$A$22)</f>
        <v>18</v>
      </c>
      <c r="J227" s="46">
        <f>H227</f>
        <v>0</v>
      </c>
      <c r="K227" s="58"/>
    </row>
    <row r="228" spans="1:17" s="16" customFormat="1" ht="15.75" outlineLevel="1" thickBot="1">
      <c r="A228" s="16" t="str">
        <f>G228</f>
        <v>Cancelado</v>
      </c>
      <c r="B228" s="16">
        <f>IF(I228&lt;=-1,1,IF(I228&lt;=5,2,IF(I228&lt;=15,3,IF(H228&lt;=60,4))))</f>
        <v>4</v>
      </c>
      <c r="C228" s="24"/>
      <c r="D228" s="9" t="s">
        <v>130</v>
      </c>
      <c r="E228" s="350">
        <v>538823</v>
      </c>
      <c r="F228" s="7">
        <v>46051</v>
      </c>
      <c r="G228" s="16" t="s">
        <v>20</v>
      </c>
      <c r="H228" s="16">
        <f>IF(OR(G228="Sin pagar",G228="Pagar"),NETWORKDAYS($J$114,F228,'Festivos Colombia'!$A$3:$A$22),0)</f>
        <v>0</v>
      </c>
      <c r="I228" s="16">
        <f>NETWORKDAYS($J$114,F228,'Festivos Colombia'!$A$3:$A$22)</f>
        <v>19</v>
      </c>
      <c r="J228" s="46">
        <f>H228</f>
        <v>0</v>
      </c>
      <c r="K228" s="58"/>
    </row>
    <row r="229" spans="1:17" s="16" customFormat="1" ht="16.5" thickBot="1">
      <c r="C229" s="24"/>
      <c r="D229" s="351" t="s">
        <v>61</v>
      </c>
      <c r="E229" s="352">
        <f>SUBTOTAL(9,E230:E232)</f>
        <v>15081893.75</v>
      </c>
      <c r="J229" s="46"/>
      <c r="M229" s="8"/>
    </row>
    <row r="230" spans="1:17" s="16" customFormat="1" outlineLevel="1">
      <c r="A230" s="16" t="str">
        <f>G230</f>
        <v>Cancelado</v>
      </c>
      <c r="B230" s="16">
        <f>IF(I230&lt;=-1,1,IF(I230&lt;=5,2,IF(I230&lt;=15,3,IF(H230&lt;=60,4))))</f>
        <v>2</v>
      </c>
      <c r="C230" s="97"/>
      <c r="D230" s="9" t="s">
        <v>98</v>
      </c>
      <c r="E230" s="419">
        <f>(2878369+(55*3790.77))*0</f>
        <v>0</v>
      </c>
      <c r="F230" s="7">
        <v>46027</v>
      </c>
      <c r="G230" s="16" t="s">
        <v>20</v>
      </c>
      <c r="H230" s="16">
        <f>IF(OR(G230="Sin pagar",G230="Pagar"),NETWORKDAYS($J$114,F230,'Festivos Colombia'!$A$3:$A$22),0)</f>
        <v>0</v>
      </c>
      <c r="I230" s="16">
        <f>NETWORKDAYS($J$114,F230,'Festivos Colombia'!$A$3:$A$22)</f>
        <v>2</v>
      </c>
      <c r="J230" s="46">
        <f t="shared" ref="J230:J231" si="74">H230</f>
        <v>0</v>
      </c>
      <c r="K230" s="8"/>
      <c r="L230" s="350"/>
      <c r="M230" s="8"/>
      <c r="O230" s="33"/>
      <c r="P230" s="25"/>
      <c r="Q230" s="33"/>
    </row>
    <row r="231" spans="1:17" s="16" customFormat="1" outlineLevel="1">
      <c r="A231" s="16" t="str">
        <f t="shared" ref="A231" si="75">G231</f>
        <v>Cancelado</v>
      </c>
      <c r="B231" s="16">
        <f t="shared" ref="B231" si="76">IF(I231&lt;=-1,1,IF(I231&lt;=5,2,IF(I231&lt;=15,3,IF(H231&lt;=60,4))))</f>
        <v>3</v>
      </c>
      <c r="C231" s="97"/>
      <c r="D231" s="9" t="s">
        <v>62</v>
      </c>
      <c r="E231" s="350">
        <f>12699797+1814686.59</f>
        <v>14514483.59</v>
      </c>
      <c r="F231" s="7">
        <v>46042</v>
      </c>
      <c r="G231" s="16" t="s">
        <v>20</v>
      </c>
      <c r="H231" s="16">
        <f>IF(OR(G231="Sin pagar",G231="Pagar"),NETWORKDAYS($J$114,F231,'Festivos Colombia'!$A$3:$A$22),0)</f>
        <v>0</v>
      </c>
      <c r="I231" s="16">
        <f>NETWORKDAYS($J$114,F231,'Festivos Colombia'!$A$3:$A$22)</f>
        <v>12</v>
      </c>
      <c r="J231" s="46">
        <f t="shared" si="74"/>
        <v>0</v>
      </c>
      <c r="K231" s="8"/>
      <c r="L231" s="8"/>
      <c r="M231" s="8"/>
      <c r="O231" s="33"/>
      <c r="P231" s="25"/>
      <c r="Q231" s="33"/>
    </row>
    <row r="232" spans="1:17" s="16" customFormat="1" ht="15.75" outlineLevel="1" thickBot="1">
      <c r="A232" s="16" t="str">
        <f>G232</f>
        <v>Cancelado</v>
      </c>
      <c r="B232" s="16">
        <f>IF(I232&lt;=-1,1,IF(I232&lt;=5,2,IF(I232&lt;=15,3,IF(H232&lt;=60,4))))</f>
        <v>4</v>
      </c>
      <c r="C232" s="97"/>
      <c r="D232" s="9" t="s">
        <v>98</v>
      </c>
      <c r="E232" s="419">
        <f>(152*3628.16)+15929.84</f>
        <v>567410.15999999992</v>
      </c>
      <c r="F232" s="7">
        <v>46058</v>
      </c>
      <c r="G232" s="16" t="s">
        <v>20</v>
      </c>
      <c r="H232" s="16">
        <f>IF(OR(G232="Sin pagar",G232="Pagar"),NETWORKDAYS($J$114,F232,'Festivos Colombia'!$A$3:$A$22),0)</f>
        <v>0</v>
      </c>
      <c r="I232" s="16">
        <f>NETWORKDAYS($J$114,F232,'Festivos Colombia'!$A$3:$A$22)</f>
        <v>24</v>
      </c>
      <c r="J232" s="46">
        <f t="shared" ref="J232" si="77">H232</f>
        <v>0</v>
      </c>
      <c r="K232" s="8"/>
      <c r="L232" s="350"/>
      <c r="M232" s="8"/>
      <c r="O232" s="33"/>
      <c r="P232" s="25"/>
      <c r="Q232" s="33"/>
    </row>
    <row r="233" spans="1:17" s="16" customFormat="1" ht="16.5" thickBot="1">
      <c r="D233" s="351" t="s">
        <v>63</v>
      </c>
      <c r="E233" s="352">
        <f>SUBTOTAL(9,E234:E244)</f>
        <v>2284006</v>
      </c>
      <c r="J233" s="46"/>
      <c r="K233" s="8"/>
    </row>
    <row r="234" spans="1:17" s="16" customFormat="1" ht="15.75" customHeight="1" outlineLevel="1">
      <c r="A234" s="16" t="str">
        <f t="shared" ref="A234:A244" si="78">G234</f>
        <v>Cancelado</v>
      </c>
      <c r="B234" s="16">
        <f t="shared" ref="B234:B244" si="79">IF(I234&lt;=-1,1,IF(I234&lt;=5,2,IF(I234&lt;=15,3,IF(H234&lt;=60,4))))</f>
        <v>3</v>
      </c>
      <c r="C234" s="24">
        <v>6837</v>
      </c>
      <c r="D234" s="9" t="s">
        <v>64</v>
      </c>
      <c r="E234" s="8">
        <f>359000</f>
        <v>359000</v>
      </c>
      <c r="F234" s="7">
        <v>46031</v>
      </c>
      <c r="G234" s="16" t="s">
        <v>20</v>
      </c>
      <c r="H234" s="16">
        <f>IF(OR(G234="Sin pagar",G234="Pagar"),NETWORKDAYS($J$114,F234,'Festivos Colombia'!$A$3:$A$22),0)</f>
        <v>0</v>
      </c>
      <c r="I234" s="16">
        <f>NETWORKDAYS($J$114,F234,'Festivos Colombia'!$A$3:$A$22)</f>
        <v>6</v>
      </c>
      <c r="J234" s="46">
        <f t="shared" ref="J234:J244" si="80">H234</f>
        <v>0</v>
      </c>
      <c r="K234" s="58"/>
    </row>
    <row r="235" spans="1:17" s="16" customFormat="1" ht="15.75" customHeight="1" outlineLevel="1">
      <c r="A235" s="16" t="str">
        <f t="shared" si="78"/>
        <v>Cancelado</v>
      </c>
      <c r="B235" s="16">
        <f t="shared" si="79"/>
        <v>3</v>
      </c>
      <c r="C235" s="24">
        <v>6846</v>
      </c>
      <c r="D235" s="9" t="s">
        <v>64</v>
      </c>
      <c r="E235" s="8">
        <f>517000</f>
        <v>517000</v>
      </c>
      <c r="F235" s="522">
        <v>46038</v>
      </c>
      <c r="G235" s="16" t="s">
        <v>20</v>
      </c>
      <c r="H235" s="16">
        <f>IF(OR(G235="Sin pagar",G235="Pagar"),NETWORKDAYS($J$114,F235,'Festivos Colombia'!$A$3:$A$22),0)</f>
        <v>0</v>
      </c>
      <c r="I235" s="16">
        <f>NETWORKDAYS($J$114,F235,'Festivos Colombia'!$A$3:$A$22)</f>
        <v>10</v>
      </c>
      <c r="J235" s="46">
        <f t="shared" si="80"/>
        <v>0</v>
      </c>
      <c r="K235" s="58"/>
    </row>
    <row r="236" spans="1:17" s="16" customFormat="1" ht="15.75" customHeight="1" outlineLevel="1">
      <c r="A236" s="16" t="str">
        <f t="shared" si="78"/>
        <v>Cancelado</v>
      </c>
      <c r="B236" s="16">
        <f t="shared" si="79"/>
        <v>3</v>
      </c>
      <c r="C236" s="24">
        <v>6855</v>
      </c>
      <c r="D236" s="9" t="s">
        <v>64</v>
      </c>
      <c r="E236" s="8">
        <f>499900</f>
        <v>499900</v>
      </c>
      <c r="F236" s="522">
        <v>46038</v>
      </c>
      <c r="G236" s="16" t="s">
        <v>20</v>
      </c>
      <c r="H236" s="16">
        <f>IF(OR(G236="Sin pagar",G236="Pagar"),NETWORKDAYS($J$114,F236,'Festivos Colombia'!$A$3:$A$22),0)</f>
        <v>0</v>
      </c>
      <c r="I236" s="16">
        <f>NETWORKDAYS($J$114,F236,'Festivos Colombia'!$A$3:$A$22)</f>
        <v>10</v>
      </c>
      <c r="J236" s="46">
        <f t="shared" si="80"/>
        <v>0</v>
      </c>
      <c r="K236" s="58"/>
    </row>
    <row r="237" spans="1:17" s="16" customFormat="1" ht="15.75" customHeight="1" outlineLevel="1">
      <c r="A237" s="16" t="str">
        <f t="shared" si="78"/>
        <v>Cancelado</v>
      </c>
      <c r="B237" s="16">
        <f t="shared" si="79"/>
        <v>3</v>
      </c>
      <c r="C237" s="24">
        <v>6861</v>
      </c>
      <c r="D237" s="9" t="s">
        <v>64</v>
      </c>
      <c r="E237" s="8">
        <v>334500</v>
      </c>
      <c r="F237" s="7">
        <v>46045</v>
      </c>
      <c r="G237" s="16" t="s">
        <v>20</v>
      </c>
      <c r="H237" s="16">
        <f>IF(OR(G237="Sin pagar",G237="Pagar"),NETWORKDAYS($J$114,F237,'Festivos Colombia'!$A$3:$A$22),0)</f>
        <v>0</v>
      </c>
      <c r="I237" s="16">
        <f>NETWORKDAYS($J$114,F237,'Festivos Colombia'!$A$3:$A$22)</f>
        <v>15</v>
      </c>
      <c r="J237" s="46">
        <f t="shared" si="80"/>
        <v>0</v>
      </c>
      <c r="K237" s="58"/>
    </row>
    <row r="238" spans="1:17" s="16" customFormat="1" ht="15.75" customHeight="1" outlineLevel="1">
      <c r="A238" s="16" t="str">
        <f t="shared" ref="A238" si="81">G238</f>
        <v>Sin Pagar</v>
      </c>
      <c r="B238" s="16">
        <f t="shared" ref="B238" si="82">IF(I238&lt;=-1,1,IF(I238&lt;=5,2,IF(I238&lt;=15,3,IF(H238&lt;=60,4))))</f>
        <v>4</v>
      </c>
      <c r="C238" s="24">
        <v>6871</v>
      </c>
      <c r="D238" s="9" t="s">
        <v>64</v>
      </c>
      <c r="E238" s="8">
        <f>1158000*0</f>
        <v>0</v>
      </c>
      <c r="F238" s="7">
        <v>46066</v>
      </c>
      <c r="G238" s="16" t="s">
        <v>5</v>
      </c>
      <c r="H238" s="16">
        <f>IF(OR(G238="Sin pagar",G238="Pagar"),NETWORKDAYS($J$114,F238,'Festivos Colombia'!$A$3:$A$22),0)</f>
        <v>30</v>
      </c>
      <c r="I238" s="16">
        <f>NETWORKDAYS($J$114,F238,'Festivos Colombia'!$A$3:$A$22)</f>
        <v>30</v>
      </c>
      <c r="J238" s="46">
        <f t="shared" ref="J238" si="83">H238</f>
        <v>30</v>
      </c>
      <c r="K238" s="58"/>
    </row>
    <row r="239" spans="1:17" s="16" customFormat="1" ht="15.75" customHeight="1" outlineLevel="1">
      <c r="A239" s="16" t="str">
        <f t="shared" ref="A239" si="84">G239</f>
        <v>Sin Pagar</v>
      </c>
      <c r="B239" s="16">
        <f t="shared" ref="B239" si="85">IF(I239&lt;=-1,1,IF(I239&lt;=5,2,IF(I239&lt;=15,3,IF(H239&lt;=60,4))))</f>
        <v>4</v>
      </c>
      <c r="C239" s="24">
        <v>6882</v>
      </c>
      <c r="D239" s="9" t="s">
        <v>64</v>
      </c>
      <c r="E239" s="8">
        <f>102500*0</f>
        <v>0</v>
      </c>
      <c r="F239" s="7">
        <v>46073</v>
      </c>
      <c r="G239" s="16" t="s">
        <v>5</v>
      </c>
      <c r="H239" s="16">
        <f>IF(OR(G239="Sin pagar",G239="Pagar"),NETWORKDAYS($J$114,F239,'Festivos Colombia'!$A$3:$A$22),0)</f>
        <v>35</v>
      </c>
      <c r="I239" s="16">
        <f>NETWORKDAYS($J$114,F239,'Festivos Colombia'!$A$3:$A$22)</f>
        <v>35</v>
      </c>
      <c r="J239" s="46">
        <f t="shared" ref="J239" si="86">H239</f>
        <v>35</v>
      </c>
      <c r="K239" s="58"/>
    </row>
    <row r="240" spans="1:17" s="16" customFormat="1" ht="15.75" customHeight="1" outlineLevel="1">
      <c r="A240" s="16" t="str">
        <f t="shared" ref="A240" si="87">G240</f>
        <v>Sin Pagar</v>
      </c>
      <c r="B240" s="16">
        <f t="shared" ref="B240" si="88">IF(I240&lt;=-1,1,IF(I240&lt;=5,2,IF(I240&lt;=15,3,IF(H240&lt;=60,4))))</f>
        <v>4</v>
      </c>
      <c r="C240" s="24">
        <v>6895</v>
      </c>
      <c r="D240" s="9" t="s">
        <v>64</v>
      </c>
      <c r="E240" s="8">
        <f>102500*0</f>
        <v>0</v>
      </c>
      <c r="F240" s="7">
        <v>46075</v>
      </c>
      <c r="G240" s="16" t="s">
        <v>5</v>
      </c>
      <c r="H240" s="16">
        <f>IF(OR(G240="Sin pagar",G240="Pagar"),NETWORKDAYS($J$114,F240,'Festivos Colombia'!$A$3:$A$22),0)</f>
        <v>35</v>
      </c>
      <c r="I240" s="16">
        <f>NETWORKDAYS($J$114,F240,'Festivos Colombia'!$A$3:$A$22)</f>
        <v>35</v>
      </c>
      <c r="J240" s="46">
        <f t="shared" ref="J240" si="89">H240</f>
        <v>35</v>
      </c>
      <c r="K240" s="58"/>
    </row>
    <row r="241" spans="1:24" s="16" customFormat="1" ht="15.75" customHeight="1" outlineLevel="1">
      <c r="A241" s="16" t="str">
        <f t="shared" ref="A241" si="90">G241</f>
        <v>Sin Pagar</v>
      </c>
      <c r="B241" s="16">
        <f t="shared" ref="B241" si="91">IF(I241&lt;=-1,1,IF(I241&lt;=5,2,IF(I241&lt;=15,3,IF(H241&lt;=60,4))))</f>
        <v>4</v>
      </c>
      <c r="C241" s="24">
        <v>6900</v>
      </c>
      <c r="D241" s="9" t="s">
        <v>64</v>
      </c>
      <c r="E241" s="8">
        <f>313500*0</f>
        <v>0</v>
      </c>
      <c r="F241" s="7">
        <v>46080</v>
      </c>
      <c r="G241" s="16" t="s">
        <v>5</v>
      </c>
      <c r="H241" s="16">
        <f>IF(OR(G241="Sin pagar",G241="Pagar"),NETWORKDAYS($J$114,F241,'Festivos Colombia'!$A$3:$A$22),0)</f>
        <v>40</v>
      </c>
      <c r="I241" s="16">
        <f>NETWORKDAYS($J$114,F241,'Festivos Colombia'!$A$3:$A$22)</f>
        <v>40</v>
      </c>
      <c r="J241" s="46">
        <f t="shared" ref="J241" si="92">H241</f>
        <v>40</v>
      </c>
      <c r="K241" s="58"/>
    </row>
    <row r="242" spans="1:24" s="16" customFormat="1" ht="15.75" customHeight="1" outlineLevel="1">
      <c r="A242" s="16" t="str">
        <f t="shared" ref="A242" si="93">G242</f>
        <v>Sin Pagar</v>
      </c>
      <c r="B242" s="16">
        <f t="shared" ref="B242" si="94">IF(I242&lt;=-1,1,IF(I242&lt;=5,2,IF(I242&lt;=15,3,IF(H242&lt;=60,4))))</f>
        <v>4</v>
      </c>
      <c r="C242" s="24">
        <v>6903</v>
      </c>
      <c r="D242" s="9" t="s">
        <v>64</v>
      </c>
      <c r="E242" s="8">
        <f>592500*0</f>
        <v>0</v>
      </c>
      <c r="F242" s="7">
        <v>46081</v>
      </c>
      <c r="G242" s="16" t="s">
        <v>5</v>
      </c>
      <c r="H242" s="16">
        <f>IF(OR(G242="Sin pagar",G242="Pagar"),NETWORKDAYS($J$114,F242,'Festivos Colombia'!$A$3:$A$22),0)</f>
        <v>40</v>
      </c>
      <c r="I242" s="16">
        <f>NETWORKDAYS($J$114,F242,'Festivos Colombia'!$A$3:$A$22)</f>
        <v>40</v>
      </c>
      <c r="J242" s="46">
        <f t="shared" ref="J242" si="95">H242</f>
        <v>40</v>
      </c>
      <c r="K242" s="58"/>
    </row>
    <row r="243" spans="1:24" s="16" customFormat="1" ht="15.75" customHeight="1" outlineLevel="1">
      <c r="A243" s="16" t="str">
        <f t="shared" ref="A243" si="96">G243</f>
        <v>Sin Pagar</v>
      </c>
      <c r="B243" s="16">
        <f t="shared" ref="B243" si="97">IF(I243&lt;=-1,1,IF(I243&lt;=5,2,IF(I243&lt;=15,3,IF(H243&lt;=60,4))))</f>
        <v>4</v>
      </c>
      <c r="C243" s="24">
        <v>6910</v>
      </c>
      <c r="D243" s="9" t="s">
        <v>64</v>
      </c>
      <c r="E243" s="8">
        <f>3410000*0</f>
        <v>0</v>
      </c>
      <c r="F243" s="7">
        <v>46084</v>
      </c>
      <c r="G243" s="16" t="s">
        <v>5</v>
      </c>
      <c r="H243" s="16">
        <f>IF(OR(G243="Sin pagar",G243="Pagar"),NETWORKDAYS($J$114,F243,'Festivos Colombia'!$A$3:$A$22),0)</f>
        <v>42</v>
      </c>
      <c r="I243" s="16">
        <f>NETWORKDAYS($J$114,F243,'Festivos Colombia'!$A$3:$A$22)</f>
        <v>42</v>
      </c>
      <c r="J243" s="46">
        <f t="shared" ref="J243" si="98">H243</f>
        <v>42</v>
      </c>
      <c r="K243" s="58"/>
    </row>
    <row r="244" spans="1:24" s="16" customFormat="1" ht="15.75" outlineLevel="1" thickBot="1">
      <c r="A244" s="16" t="str">
        <f t="shared" si="78"/>
        <v>Cancelado</v>
      </c>
      <c r="B244" s="16">
        <f t="shared" si="79"/>
        <v>3</v>
      </c>
      <c r="C244" s="24" t="s">
        <v>649</v>
      </c>
      <c r="D244" s="9" t="s">
        <v>99</v>
      </c>
      <c r="E244" s="8">
        <v>573606</v>
      </c>
      <c r="F244" s="522">
        <v>46038</v>
      </c>
      <c r="G244" s="16" t="s">
        <v>20</v>
      </c>
      <c r="H244" s="16">
        <f>IF(OR(G244="Sin pagar",G244="Pagar"),NETWORKDAYS($J$114,F244,'Festivos Colombia'!$A$3:$A$22),0)</f>
        <v>0</v>
      </c>
      <c r="I244" s="16">
        <f>NETWORKDAYS($J$114,F244,'Festivos Colombia'!$A$3:$A$22)</f>
        <v>10</v>
      </c>
      <c r="J244" s="46">
        <f t="shared" si="80"/>
        <v>0</v>
      </c>
      <c r="K244" s="58"/>
    </row>
    <row r="245" spans="1:24" s="16" customFormat="1" ht="16.5" thickBot="1">
      <c r="D245" s="351" t="s">
        <v>65</v>
      </c>
      <c r="E245" s="352">
        <f>SUBTOTAL(9,E246:E252)</f>
        <v>16845908.088399999</v>
      </c>
      <c r="J245" s="46"/>
    </row>
    <row r="246" spans="1:24" s="16" customFormat="1" ht="30" outlineLevel="1">
      <c r="A246" s="16" t="str">
        <f t="shared" ref="A246:A250" si="99">G246</f>
        <v>Cancelado</v>
      </c>
      <c r="B246" s="16">
        <f t="shared" ref="B246:B250" si="100">IF(I246&lt;=-1,1,IF(I246&lt;=5,2,IF(I246&lt;=15,3,IF(H246&lt;=60,4))))</f>
        <v>3</v>
      </c>
      <c r="C246" s="24">
        <v>43845</v>
      </c>
      <c r="D246" s="475" t="s">
        <v>673</v>
      </c>
      <c r="E246" s="350">
        <f>1567608</f>
        <v>1567608</v>
      </c>
      <c r="F246" s="7">
        <v>46031</v>
      </c>
      <c r="G246" s="16" t="s">
        <v>20</v>
      </c>
      <c r="H246" s="16">
        <f>IF(OR(G246="Sin pagar",G246="Pagar"),NETWORKDAYS($J$114,F246,'Festivos Colombia'!$A$3:$A$22),0)</f>
        <v>0</v>
      </c>
      <c r="I246" s="16">
        <f>NETWORKDAYS($J$114,F246,'Festivos Colombia'!$A$3:$A$22)</f>
        <v>6</v>
      </c>
      <c r="J246" s="46">
        <f t="shared" ref="J246:J250" si="101">H246</f>
        <v>0</v>
      </c>
      <c r="K246" s="58"/>
      <c r="L246" s="7"/>
    </row>
    <row r="247" spans="1:24" s="16" customFormat="1" outlineLevel="1">
      <c r="A247" s="16" t="str">
        <f t="shared" si="99"/>
        <v>Cancelado</v>
      </c>
      <c r="B247" s="16">
        <f t="shared" si="100"/>
        <v>3</v>
      </c>
      <c r="C247" s="24">
        <v>43984</v>
      </c>
      <c r="D247" s="467" t="s">
        <v>66</v>
      </c>
      <c r="E247" s="350">
        <v>121007.46167999999</v>
      </c>
      <c r="F247" s="522">
        <v>46038</v>
      </c>
      <c r="G247" s="16" t="s">
        <v>20</v>
      </c>
      <c r="H247" s="16">
        <f>IF(OR(G247="Sin pagar",G247="Pagar"),NETWORKDAYS($J$114,F247,'Festivos Colombia'!$A$3:$A$22),0)</f>
        <v>0</v>
      </c>
      <c r="I247" s="16">
        <f>NETWORKDAYS($J$114,F247,'Festivos Colombia'!$A$3:$A$22)</f>
        <v>10</v>
      </c>
      <c r="J247" s="46">
        <f t="shared" si="101"/>
        <v>0</v>
      </c>
      <c r="K247" s="58"/>
      <c r="L247" s="7"/>
    </row>
    <row r="248" spans="1:24" s="16" customFormat="1" ht="30" outlineLevel="1">
      <c r="A248" s="16" t="str">
        <f t="shared" si="99"/>
        <v>Cancelado</v>
      </c>
      <c r="B248" s="16">
        <f t="shared" si="100"/>
        <v>3</v>
      </c>
      <c r="C248" s="24">
        <v>43846</v>
      </c>
      <c r="D248" s="475" t="s">
        <v>673</v>
      </c>
      <c r="E248" s="350">
        <v>1497598.6267200001</v>
      </c>
      <c r="F248" s="353">
        <v>46045</v>
      </c>
      <c r="G248" s="16" t="s">
        <v>20</v>
      </c>
      <c r="H248" s="16">
        <f>IF(OR(G248="Sin pagar",G248="Pagar"),NETWORKDAYS($J$114,F248,'Festivos Colombia'!$A$3:$A$22),0)</f>
        <v>0</v>
      </c>
      <c r="I248" s="16">
        <f>NETWORKDAYS($J$114,F248,'Festivos Colombia'!$A$3:$A$22)</f>
        <v>15</v>
      </c>
      <c r="J248" s="46">
        <f t="shared" si="101"/>
        <v>0</v>
      </c>
      <c r="K248" s="58"/>
      <c r="L248" s="7"/>
    </row>
    <row r="249" spans="1:24" s="16" customFormat="1" outlineLevel="1">
      <c r="A249" s="310" t="str">
        <f t="shared" si="99"/>
        <v>Cancelado</v>
      </c>
      <c r="B249" s="310">
        <f t="shared" si="100"/>
        <v>3</v>
      </c>
      <c r="C249" s="356" t="s">
        <v>565</v>
      </c>
      <c r="D249" s="357" t="s">
        <v>566</v>
      </c>
      <c r="E249" s="358">
        <f>5188351</f>
        <v>5188351</v>
      </c>
      <c r="F249" s="7">
        <v>46031</v>
      </c>
      <c r="G249" s="16" t="s">
        <v>20</v>
      </c>
      <c r="H249" s="16">
        <f>IF(OR(G249="Sin pagar",G249="Pagar"),NETWORKDAYS($J$114,F249,'Festivos Colombia'!$A$3:$A$22),0)</f>
        <v>0</v>
      </c>
      <c r="I249" s="16">
        <f>NETWORKDAYS($J$114,F249,'Festivos Colombia'!$A$3:$A$22)</f>
        <v>6</v>
      </c>
      <c r="J249" s="46">
        <f t="shared" si="101"/>
        <v>0</v>
      </c>
      <c r="K249" s="359"/>
      <c r="L249" s="96"/>
      <c r="M249" s="310"/>
      <c r="N249" s="310"/>
      <c r="O249" s="310"/>
      <c r="P249" s="310"/>
      <c r="Q249" s="310"/>
      <c r="R249" s="310"/>
      <c r="S249" s="310"/>
      <c r="T249" s="310"/>
      <c r="U249" s="310"/>
      <c r="V249" s="310"/>
      <c r="W249" s="310"/>
      <c r="X249" s="310"/>
    </row>
    <row r="250" spans="1:24" s="16" customFormat="1" ht="30" outlineLevel="1">
      <c r="A250" s="420" t="str">
        <f t="shared" si="99"/>
        <v>Cancelado</v>
      </c>
      <c r="B250" s="420">
        <f t="shared" si="100"/>
        <v>3</v>
      </c>
      <c r="C250" s="356" t="s">
        <v>650</v>
      </c>
      <c r="D250" s="357" t="s">
        <v>651</v>
      </c>
      <c r="E250" s="375">
        <f>8471343</f>
        <v>8471343</v>
      </c>
      <c r="F250" s="522">
        <v>46038</v>
      </c>
      <c r="G250" s="16" t="s">
        <v>20</v>
      </c>
      <c r="H250" s="16">
        <f>IF(OR(G250="Sin pagar",G250="Pagar"),NETWORKDAYS($J$114,F250,'Festivos Colombia'!$A$3:$A$22),0)</f>
        <v>0</v>
      </c>
      <c r="I250" s="16">
        <f>NETWORKDAYS($J$114,F250,'Festivos Colombia'!$A$3:$A$22)</f>
        <v>10</v>
      </c>
      <c r="J250" s="46">
        <f t="shared" si="101"/>
        <v>0</v>
      </c>
      <c r="K250" s="359"/>
      <c r="L250" s="96"/>
      <c r="M250" s="310"/>
      <c r="N250" s="310"/>
      <c r="O250" s="310"/>
      <c r="P250" s="310"/>
      <c r="Q250" s="310"/>
      <c r="R250" s="310"/>
      <c r="S250" s="310"/>
      <c r="T250" s="310"/>
      <c r="U250" s="310"/>
      <c r="V250" s="310"/>
      <c r="W250" s="310"/>
      <c r="X250" s="310"/>
    </row>
    <row r="251" spans="1:24" s="16" customFormat="1" ht="30" outlineLevel="1">
      <c r="A251" s="420" t="str">
        <f t="shared" ref="A251:A252" si="102">G251</f>
        <v>Sin Pagar</v>
      </c>
      <c r="B251" s="420">
        <f t="shared" ref="B251:B252" si="103">IF(I251&lt;=-1,1,IF(I251&lt;=5,2,IF(I251&lt;=15,3,IF(H251&lt;=60,4))))</f>
        <v>4</v>
      </c>
      <c r="C251" s="356" t="s">
        <v>973</v>
      </c>
      <c r="D251" s="357" t="s">
        <v>974</v>
      </c>
      <c r="E251" s="375">
        <f>8312384.54*0</f>
        <v>0</v>
      </c>
      <c r="F251" s="522">
        <v>46078</v>
      </c>
      <c r="G251" s="16" t="s">
        <v>5</v>
      </c>
      <c r="H251" s="16">
        <f>IF(OR(G251="Sin pagar",G251="Pagar"),NETWORKDAYS($J$114,F251,'Festivos Colombia'!$A$3:$A$22),0)</f>
        <v>38</v>
      </c>
      <c r="I251" s="16">
        <f>NETWORKDAYS($J$114,F251,'Festivos Colombia'!$A$3:$A$22)</f>
        <v>38</v>
      </c>
      <c r="J251" s="46">
        <f t="shared" ref="J251:J252" si="104">H251</f>
        <v>38</v>
      </c>
      <c r="K251" s="359"/>
      <c r="L251" s="96"/>
      <c r="M251" s="310"/>
      <c r="N251" s="310"/>
      <c r="O251" s="310"/>
      <c r="P251" s="310"/>
      <c r="Q251" s="310"/>
      <c r="R251" s="310"/>
      <c r="S251" s="310"/>
      <c r="T251" s="310"/>
      <c r="U251" s="310"/>
      <c r="V251" s="310"/>
      <c r="W251" s="310"/>
      <c r="X251" s="310"/>
    </row>
    <row r="252" spans="1:24" s="16" customFormat="1" ht="15.75" outlineLevel="1" thickBot="1">
      <c r="A252" s="310" t="str">
        <f t="shared" si="102"/>
        <v>Sin Pagar</v>
      </c>
      <c r="B252" s="310">
        <f t="shared" si="103"/>
        <v>4</v>
      </c>
      <c r="C252" s="356" t="s">
        <v>1012</v>
      </c>
      <c r="D252" s="357" t="s">
        <v>1013</v>
      </c>
      <c r="E252" s="358">
        <f>5506137*0</f>
        <v>0</v>
      </c>
      <c r="F252" s="7">
        <v>46080</v>
      </c>
      <c r="G252" s="16" t="s">
        <v>5</v>
      </c>
      <c r="H252" s="16">
        <f>IF(OR(G252="Sin pagar",G252="Pagar"),NETWORKDAYS($J$114,F252,'Festivos Colombia'!$A$3:$A$22),0)</f>
        <v>40</v>
      </c>
      <c r="I252" s="16">
        <f>NETWORKDAYS($J$114,F252,'Festivos Colombia'!$A$3:$A$22)</f>
        <v>40</v>
      </c>
      <c r="J252" s="46">
        <f t="shared" si="104"/>
        <v>40</v>
      </c>
      <c r="K252" s="359"/>
      <c r="L252" s="96"/>
      <c r="M252" s="310"/>
      <c r="N252" s="310"/>
      <c r="O252" s="310"/>
      <c r="P252" s="310"/>
      <c r="Q252" s="310"/>
      <c r="R252" s="310"/>
      <c r="S252" s="310"/>
      <c r="T252" s="310"/>
      <c r="U252" s="310"/>
      <c r="V252" s="310"/>
      <c r="W252" s="310"/>
      <c r="X252" s="310"/>
    </row>
    <row r="253" spans="1:24" s="16" customFormat="1" ht="16.5" thickBot="1">
      <c r="D253" s="351" t="s">
        <v>67</v>
      </c>
      <c r="E253" s="352">
        <f>SUBTOTAL(9,E254:E280)</f>
        <v>1677006642.8900001</v>
      </c>
      <c r="J253" s="46"/>
      <c r="L253" s="25"/>
      <c r="M253" s="84"/>
      <c r="O253" s="25"/>
    </row>
    <row r="254" spans="1:24" s="16" customFormat="1" outlineLevel="1">
      <c r="C254" s="60"/>
      <c r="D254" s="9" t="s">
        <v>749</v>
      </c>
      <c r="E254" s="8">
        <f>35912233*0</f>
        <v>0</v>
      </c>
      <c r="F254" s="7">
        <v>46024</v>
      </c>
      <c r="G254" s="16" t="s">
        <v>20</v>
      </c>
      <c r="H254" s="16">
        <f>IF(OR(G254="Sin pagar",G254="Pagar"),NETWORKDAYS($J$114,F254,'Festivos Colombia'!$A$3:$A$22),0)</f>
        <v>0</v>
      </c>
      <c r="I254" s="16">
        <f>NETWORKDAYS($J$114,F254,'Festivos Colombia'!$A$3:$A$22)</f>
        <v>1</v>
      </c>
      <c r="J254" s="46">
        <f>H254</f>
        <v>0</v>
      </c>
      <c r="K254" s="58"/>
      <c r="L254" s="8"/>
      <c r="M254" s="8"/>
      <c r="N254" s="53"/>
    </row>
    <row r="255" spans="1:24" s="16" customFormat="1" outlineLevel="1">
      <c r="C255" s="60"/>
      <c r="D255" s="9" t="s">
        <v>862</v>
      </c>
      <c r="E255" s="8">
        <v>200000</v>
      </c>
      <c r="F255" s="7">
        <v>46042</v>
      </c>
      <c r="G255" s="16" t="s">
        <v>20</v>
      </c>
      <c r="H255" s="16">
        <f>IF(OR(G255="Sin pagar",G255="Pagar"),NETWORKDAYS($J$114,F255,'Festivos Colombia'!$A$3:$A$22),0)</f>
        <v>0</v>
      </c>
      <c r="I255" s="16">
        <f>NETWORKDAYS($J$114,F255,'Festivos Colombia'!$A$3:$A$22)</f>
        <v>12</v>
      </c>
      <c r="J255" s="46">
        <f>H255</f>
        <v>0</v>
      </c>
      <c r="K255" s="58"/>
      <c r="L255" s="8"/>
      <c r="M255" s="8"/>
      <c r="N255" s="53"/>
    </row>
    <row r="256" spans="1:24" s="16" customFormat="1" outlineLevel="1">
      <c r="C256" s="60"/>
      <c r="D256" s="9" t="s">
        <v>941</v>
      </c>
      <c r="E256" s="8">
        <v>3493275</v>
      </c>
      <c r="F256" s="7">
        <v>46048</v>
      </c>
      <c r="G256" s="16" t="s">
        <v>20</v>
      </c>
      <c r="H256" s="16">
        <f>IF(OR(G256="Sin pagar",G256="Pagar"),NETWORKDAYS($J$114,F256,'Festivos Colombia'!$A$3:$A$22),0)</f>
        <v>0</v>
      </c>
      <c r="I256" s="16">
        <f>NETWORKDAYS($J$114,F256,'Festivos Colombia'!$A$3:$A$22)</f>
        <v>16</v>
      </c>
      <c r="J256" s="46">
        <f>H256</f>
        <v>0</v>
      </c>
      <c r="K256" s="58"/>
      <c r="L256" s="8"/>
      <c r="M256" s="8"/>
      <c r="N256" s="53"/>
    </row>
    <row r="257" spans="1:14" s="16" customFormat="1" outlineLevel="1">
      <c r="A257" s="16" t="str">
        <f t="shared" ref="A257" si="105">G257</f>
        <v>Cancelado</v>
      </c>
      <c r="B257" s="16">
        <f t="shared" ref="B257" si="106">IF(I257&lt;=-1,1,IF(I257&lt;=5,2,IF(I257&lt;=15,3,IF(H257&lt;=60,4))))</f>
        <v>4</v>
      </c>
      <c r="C257" s="60" t="s">
        <v>975</v>
      </c>
      <c r="D257" s="507" t="s">
        <v>68</v>
      </c>
      <c r="E257" s="508">
        <v>176851072</v>
      </c>
      <c r="F257" s="7">
        <v>46050</v>
      </c>
      <c r="G257" s="16" t="s">
        <v>20</v>
      </c>
      <c r="H257" s="16">
        <f>IF(OR(G257="Sin pagar",G257="Pagar"),NETWORKDAYS($J$114,F257,'Festivos Colombia'!$A$3:$A$22),0)</f>
        <v>0</v>
      </c>
      <c r="I257" s="16">
        <f>NETWORKDAYS($J$114,F257,'Festivos Colombia'!$A$3:$A$22)</f>
        <v>18</v>
      </c>
      <c r="J257" s="46">
        <f t="shared" ref="J257" si="107">H257</f>
        <v>0</v>
      </c>
      <c r="K257" s="58"/>
      <c r="L257" s="8"/>
      <c r="M257" s="8"/>
      <c r="N257" s="53"/>
    </row>
    <row r="258" spans="1:14" s="16" customFormat="1" outlineLevel="1">
      <c r="C258" s="60"/>
      <c r="D258" s="507" t="s">
        <v>956</v>
      </c>
      <c r="E258" s="508">
        <v>26755504</v>
      </c>
      <c r="F258" s="7">
        <v>46050</v>
      </c>
      <c r="G258" s="16" t="s">
        <v>20</v>
      </c>
      <c r="H258" s="16">
        <f>IF(OR(G258="Sin pagar",G258="Pagar"),NETWORKDAYS($J$114,F258,'Festivos Colombia'!$A$3:$A$22),0)</f>
        <v>0</v>
      </c>
      <c r="I258" s="16">
        <f>NETWORKDAYS($J$114,F258,'Festivos Colombia'!$A$3:$A$22)</f>
        <v>18</v>
      </c>
      <c r="J258" s="46">
        <f t="shared" ref="J258:J272" si="108">H258</f>
        <v>0</v>
      </c>
      <c r="K258" s="58"/>
      <c r="L258" s="8"/>
      <c r="M258" s="8"/>
      <c r="N258" s="53"/>
    </row>
    <row r="259" spans="1:14" s="16" customFormat="1" outlineLevel="1">
      <c r="C259" s="60"/>
      <c r="D259" s="507" t="s">
        <v>957</v>
      </c>
      <c r="E259" s="838">
        <v>15263805</v>
      </c>
      <c r="F259" s="7">
        <v>46050</v>
      </c>
      <c r="G259" s="16" t="s">
        <v>20</v>
      </c>
      <c r="H259" s="16">
        <f>IF(OR(G259="Sin pagar",G259="Pagar"),NETWORKDAYS($J$114,F259,'Festivos Colombia'!$A$3:$A$22),0)</f>
        <v>0</v>
      </c>
      <c r="I259" s="16">
        <f>NETWORKDAYS($J$114,F259,'Festivos Colombia'!$A$3:$A$22)</f>
        <v>18</v>
      </c>
      <c r="J259" s="46">
        <f t="shared" si="108"/>
        <v>0</v>
      </c>
      <c r="K259" s="58"/>
      <c r="L259" s="8"/>
      <c r="M259" s="8"/>
      <c r="N259" s="53"/>
    </row>
    <row r="260" spans="1:14" s="16" customFormat="1" outlineLevel="1">
      <c r="C260" s="60"/>
      <c r="D260" s="507" t="s">
        <v>958</v>
      </c>
      <c r="E260" s="508">
        <v>3479204</v>
      </c>
      <c r="F260" s="7">
        <v>46050</v>
      </c>
      <c r="G260" s="16" t="s">
        <v>20</v>
      </c>
      <c r="H260" s="16">
        <f>IF(OR(G260="Sin pagar",G260="Pagar"),NETWORKDAYS($J$114,F260,'Festivos Colombia'!$A$3:$A$22),0)</f>
        <v>0</v>
      </c>
      <c r="I260" s="16">
        <f>NETWORKDAYS($J$114,F260,'Festivos Colombia'!$A$3:$A$22)</f>
        <v>18</v>
      </c>
      <c r="J260" s="46">
        <f t="shared" si="108"/>
        <v>0</v>
      </c>
      <c r="K260" s="58"/>
      <c r="L260" s="8"/>
      <c r="M260" s="8"/>
      <c r="N260" s="53"/>
    </row>
    <row r="261" spans="1:14" s="16" customFormat="1" outlineLevel="1">
      <c r="C261" s="60"/>
      <c r="D261" s="507" t="s">
        <v>960</v>
      </c>
      <c r="E261" s="508">
        <v>22533050</v>
      </c>
      <c r="F261" s="7">
        <v>46050</v>
      </c>
      <c r="G261" s="16" t="s">
        <v>20</v>
      </c>
      <c r="H261" s="16">
        <f>IF(OR(G261="Sin pagar",G261="Pagar"),NETWORKDAYS($J$114,F261,'Festivos Colombia'!$A$3:$A$22),0)</f>
        <v>0</v>
      </c>
      <c r="I261" s="16">
        <f>NETWORKDAYS($J$114,F261,'Festivos Colombia'!$A$3:$A$22)</f>
        <v>18</v>
      </c>
      <c r="J261" s="46">
        <f t="shared" si="108"/>
        <v>0</v>
      </c>
      <c r="K261" s="58"/>
      <c r="L261" s="8"/>
      <c r="M261" s="8"/>
      <c r="N261" s="53"/>
    </row>
    <row r="262" spans="1:14" s="16" customFormat="1" outlineLevel="1">
      <c r="C262" s="60"/>
      <c r="D262" s="507" t="s">
        <v>961</v>
      </c>
      <c r="E262" s="508">
        <v>719228423</v>
      </c>
      <c r="F262" s="7">
        <v>46050</v>
      </c>
      <c r="G262" s="16" t="s">
        <v>20</v>
      </c>
      <c r="H262" s="16">
        <f>IF(OR(G262="Sin pagar",G262="Pagar"),NETWORKDAYS($J$114,F262,'Festivos Colombia'!$A$3:$A$22),0)</f>
        <v>0</v>
      </c>
      <c r="I262" s="16">
        <f>NETWORKDAYS($J$114,F262,'Festivos Colombia'!$A$3:$A$22)</f>
        <v>18</v>
      </c>
      <c r="J262" s="46">
        <f t="shared" si="108"/>
        <v>0</v>
      </c>
      <c r="K262" s="58"/>
      <c r="L262" s="8"/>
      <c r="M262" s="8"/>
      <c r="N262" s="53"/>
    </row>
    <row r="263" spans="1:14" s="16" customFormat="1" outlineLevel="1">
      <c r="C263" s="60"/>
      <c r="D263" s="507" t="s">
        <v>962</v>
      </c>
      <c r="E263" s="508">
        <v>10463079</v>
      </c>
      <c r="F263" s="7">
        <v>46050</v>
      </c>
      <c r="G263" s="16" t="s">
        <v>20</v>
      </c>
      <c r="H263" s="16">
        <f>IF(OR(G263="Sin pagar",G263="Pagar"),NETWORKDAYS($J$114,F263,'Festivos Colombia'!$A$3:$A$22),0)</f>
        <v>0</v>
      </c>
      <c r="I263" s="16">
        <f>NETWORKDAYS($J$114,F263,'Festivos Colombia'!$A$3:$A$22)</f>
        <v>18</v>
      </c>
      <c r="J263" s="46">
        <f t="shared" si="108"/>
        <v>0</v>
      </c>
      <c r="K263" s="58"/>
      <c r="L263" s="8"/>
      <c r="M263" s="8"/>
      <c r="N263" s="53"/>
    </row>
    <row r="264" spans="1:14" s="16" customFormat="1" outlineLevel="1">
      <c r="C264" s="60"/>
      <c r="D264" s="507" t="s">
        <v>963</v>
      </c>
      <c r="E264" s="508">
        <v>19151707</v>
      </c>
      <c r="F264" s="7">
        <v>46050</v>
      </c>
      <c r="G264" s="16" t="s">
        <v>20</v>
      </c>
      <c r="H264" s="16">
        <f>IF(OR(G264="Sin pagar",G264="Pagar"),NETWORKDAYS($J$114,F264,'Festivos Colombia'!$A$3:$A$22),0)</f>
        <v>0</v>
      </c>
      <c r="I264" s="16">
        <f>NETWORKDAYS($J$114,F264,'Festivos Colombia'!$A$3:$A$22)</f>
        <v>18</v>
      </c>
      <c r="J264" s="46">
        <f t="shared" si="108"/>
        <v>0</v>
      </c>
      <c r="K264" s="58"/>
      <c r="L264" s="8"/>
      <c r="M264" s="8"/>
      <c r="N264" s="53"/>
    </row>
    <row r="265" spans="1:14" s="16" customFormat="1" outlineLevel="1">
      <c r="C265" s="60"/>
      <c r="D265" s="507" t="s">
        <v>964</v>
      </c>
      <c r="E265" s="508">
        <v>7501878</v>
      </c>
      <c r="F265" s="7">
        <v>46050</v>
      </c>
      <c r="G265" s="16" t="s">
        <v>20</v>
      </c>
      <c r="H265" s="16">
        <f>IF(OR(G265="Sin pagar",G265="Pagar"),NETWORKDAYS($J$114,F265,'Festivos Colombia'!$A$3:$A$22),0)</f>
        <v>0</v>
      </c>
      <c r="I265" s="16">
        <f>NETWORKDAYS($J$114,F265,'Festivos Colombia'!$A$3:$A$22)</f>
        <v>18</v>
      </c>
      <c r="J265" s="46">
        <f t="shared" si="108"/>
        <v>0</v>
      </c>
      <c r="K265" s="58"/>
      <c r="L265" s="8"/>
      <c r="M265" s="8"/>
      <c r="N265" s="53"/>
    </row>
    <row r="266" spans="1:14" s="16" customFormat="1" outlineLevel="1">
      <c r="C266" s="60"/>
      <c r="D266" s="507" t="s">
        <v>965</v>
      </c>
      <c r="E266" s="8">
        <v>52738421</v>
      </c>
      <c r="F266" s="7">
        <v>46050</v>
      </c>
      <c r="G266" s="16" t="s">
        <v>20</v>
      </c>
      <c r="H266" s="16">
        <f>IF(OR(G266="Sin pagar",G266="Pagar"),NETWORKDAYS($J$114,F266,'Festivos Colombia'!$A$3:$A$22),0)</f>
        <v>0</v>
      </c>
      <c r="I266" s="16">
        <f>NETWORKDAYS($J$114,F266,'Festivos Colombia'!$A$3:$A$22)</f>
        <v>18</v>
      </c>
      <c r="J266" s="46">
        <f t="shared" si="108"/>
        <v>0</v>
      </c>
      <c r="K266" s="58"/>
      <c r="L266" s="8"/>
      <c r="M266" s="8"/>
      <c r="N266" s="53"/>
    </row>
    <row r="267" spans="1:14" s="16" customFormat="1" outlineLevel="1">
      <c r="C267" s="60"/>
      <c r="D267" s="507" t="s">
        <v>966</v>
      </c>
      <c r="E267" s="508">
        <v>8685745</v>
      </c>
      <c r="F267" s="7">
        <v>46050</v>
      </c>
      <c r="G267" s="16" t="s">
        <v>20</v>
      </c>
      <c r="H267" s="16">
        <f>IF(OR(G267="Sin pagar",G267="Pagar"),NETWORKDAYS($J$114,F267,'Festivos Colombia'!$A$3:$A$22),0)</f>
        <v>0</v>
      </c>
      <c r="I267" s="16">
        <f>NETWORKDAYS($J$114,F267,'Festivos Colombia'!$A$3:$A$22)</f>
        <v>18</v>
      </c>
      <c r="J267" s="46">
        <f t="shared" si="108"/>
        <v>0</v>
      </c>
      <c r="K267" s="58"/>
      <c r="L267" s="8"/>
      <c r="M267" s="8"/>
      <c r="N267" s="53"/>
    </row>
    <row r="268" spans="1:14" s="16" customFormat="1" outlineLevel="1">
      <c r="C268" s="60"/>
      <c r="D268" s="507" t="s">
        <v>967</v>
      </c>
      <c r="E268" s="8">
        <v>30910845</v>
      </c>
      <c r="F268" s="7">
        <v>46050</v>
      </c>
      <c r="G268" s="16" t="s">
        <v>20</v>
      </c>
      <c r="H268" s="16">
        <f>IF(OR(G268="Sin pagar",G268="Pagar"),NETWORKDAYS($J$114,F268,'Festivos Colombia'!$A$3:$A$22),0)</f>
        <v>0</v>
      </c>
      <c r="I268" s="16">
        <f>NETWORKDAYS($J$114,F268,'Festivos Colombia'!$A$3:$A$22)</f>
        <v>18</v>
      </c>
      <c r="J268" s="46">
        <f t="shared" si="108"/>
        <v>0</v>
      </c>
      <c r="K268" s="58"/>
      <c r="L268" s="8"/>
      <c r="M268" s="8"/>
      <c r="N268" s="53"/>
    </row>
    <row r="269" spans="1:14" s="16" customFormat="1" outlineLevel="1">
      <c r="C269" s="60"/>
      <c r="D269" s="507" t="s">
        <v>968</v>
      </c>
      <c r="E269" s="8">
        <v>23575996</v>
      </c>
      <c r="F269" s="7">
        <v>46050</v>
      </c>
      <c r="G269" s="16" t="s">
        <v>20</v>
      </c>
      <c r="H269" s="16">
        <f>IF(OR(G269="Sin pagar",G269="Pagar"),NETWORKDAYS($J$114,F269,'Festivos Colombia'!$A$3:$A$22),0)</f>
        <v>0</v>
      </c>
      <c r="I269" s="16">
        <f>NETWORKDAYS($J$114,F269,'Festivos Colombia'!$A$3:$A$22)</f>
        <v>18</v>
      </c>
      <c r="J269" s="46">
        <f t="shared" si="108"/>
        <v>0</v>
      </c>
      <c r="K269" s="58"/>
      <c r="L269" s="8"/>
      <c r="M269" s="8"/>
      <c r="N269" s="53"/>
    </row>
    <row r="270" spans="1:14" s="16" customFormat="1" outlineLevel="1">
      <c r="C270" s="60"/>
      <c r="D270" s="507" t="s">
        <v>969</v>
      </c>
      <c r="E270" s="508">
        <v>3998700</v>
      </c>
      <c r="F270" s="7">
        <v>46050</v>
      </c>
      <c r="G270" s="16" t="s">
        <v>20</v>
      </c>
      <c r="H270" s="16">
        <f>IF(OR(G270="Sin pagar",G270="Pagar"),NETWORKDAYS($J$114,F270,'Festivos Colombia'!$A$3:$A$22),0)</f>
        <v>0</v>
      </c>
      <c r="I270" s="16">
        <f>NETWORKDAYS($J$114,F270,'Festivos Colombia'!$A$3:$A$22)</f>
        <v>18</v>
      </c>
      <c r="J270" s="46">
        <f t="shared" si="108"/>
        <v>0</v>
      </c>
      <c r="K270" s="58"/>
      <c r="L270" s="8"/>
      <c r="M270" s="8"/>
      <c r="N270" s="53"/>
    </row>
    <row r="271" spans="1:14" s="16" customFormat="1" outlineLevel="1">
      <c r="C271" s="60"/>
      <c r="D271" s="507" t="s">
        <v>970</v>
      </c>
      <c r="E271" s="508">
        <v>52759167</v>
      </c>
      <c r="F271" s="7">
        <v>46050</v>
      </c>
      <c r="G271" s="16" t="s">
        <v>20</v>
      </c>
      <c r="H271" s="16">
        <f>IF(OR(G271="Sin pagar",G271="Pagar"),NETWORKDAYS($J$114,F271,'Festivos Colombia'!$A$3:$A$22),0)</f>
        <v>0</v>
      </c>
      <c r="I271" s="16">
        <f>NETWORKDAYS($J$114,F271,'Festivos Colombia'!$A$3:$A$22)</f>
        <v>18</v>
      </c>
      <c r="J271" s="46">
        <f t="shared" si="108"/>
        <v>0</v>
      </c>
      <c r="K271" s="58"/>
      <c r="L271" s="8"/>
      <c r="M271" s="8"/>
      <c r="N271" s="53"/>
    </row>
    <row r="272" spans="1:14" s="16" customFormat="1" outlineLevel="1">
      <c r="C272" s="60"/>
      <c r="D272" s="507" t="s">
        <v>971</v>
      </c>
      <c r="E272" s="508">
        <v>31840815</v>
      </c>
      <c r="F272" s="7">
        <v>46050</v>
      </c>
      <c r="G272" s="16" t="s">
        <v>20</v>
      </c>
      <c r="H272" s="16">
        <f>IF(OR(G272="Sin pagar",G272="Pagar"),NETWORKDAYS($J$114,F272,'Festivos Colombia'!$A$3:$A$22),0)</f>
        <v>0</v>
      </c>
      <c r="I272" s="16">
        <f>NETWORKDAYS($J$114,F272,'Festivos Colombia'!$A$3:$A$22)</f>
        <v>18</v>
      </c>
      <c r="J272" s="46">
        <f t="shared" si="108"/>
        <v>0</v>
      </c>
      <c r="K272" s="58"/>
      <c r="L272" s="8"/>
      <c r="M272" s="8"/>
      <c r="N272" s="53"/>
    </row>
    <row r="273" spans="1:14" s="16" customFormat="1" outlineLevel="1">
      <c r="C273" s="60"/>
      <c r="D273" s="507" t="s">
        <v>972</v>
      </c>
      <c r="E273" s="508">
        <v>3382000</v>
      </c>
      <c r="F273" s="7">
        <v>46050</v>
      </c>
      <c r="G273" s="16" t="s">
        <v>20</v>
      </c>
      <c r="H273" s="16">
        <f>IF(OR(G273="Sin pagar",G273="Pagar"),NETWORKDAYS($J$114,F273,'Festivos Colombia'!$A$3:$A$22),0)</f>
        <v>0</v>
      </c>
      <c r="I273" s="16">
        <f>NETWORKDAYS($J$114,F273,'Festivos Colombia'!$A$3:$A$22)</f>
        <v>18</v>
      </c>
      <c r="J273" s="46">
        <f>H273</f>
        <v>0</v>
      </c>
      <c r="K273" s="58"/>
      <c r="L273" s="8"/>
      <c r="M273" s="8"/>
      <c r="N273" s="53"/>
    </row>
    <row r="274" spans="1:14" s="16" customFormat="1" ht="14.25" customHeight="1" outlineLevel="1">
      <c r="A274" s="16" t="str">
        <f>G274</f>
        <v>Cancelado</v>
      </c>
      <c r="B274" s="16">
        <f>IF(I274&lt;=-1,1,IF(I274&lt;=5,2,IF(I274&lt;=15,3,IF(H274&lt;=60,4))))</f>
        <v>4</v>
      </c>
      <c r="C274" s="60" t="s">
        <v>114</v>
      </c>
      <c r="D274" s="9" t="s">
        <v>123</v>
      </c>
      <c r="E274" s="8">
        <v>1027020</v>
      </c>
      <c r="F274" s="7">
        <v>46050</v>
      </c>
      <c r="G274" s="16" t="s">
        <v>20</v>
      </c>
      <c r="H274" s="16">
        <f>IF(OR(G274="Sin pagar",G274="Pagar"),NETWORKDAYS($J$114,F274,'Festivos Colombia'!$A$3:$A$22),0)</f>
        <v>0</v>
      </c>
      <c r="I274" s="16">
        <f>NETWORKDAYS($J$114,F274,'Festivos Colombia'!$A$3:$A$22)</f>
        <v>18</v>
      </c>
      <c r="J274" s="46">
        <f t="shared" ref="J274:J275" si="109">H274</f>
        <v>0</v>
      </c>
      <c r="K274" s="58"/>
      <c r="M274" s="25"/>
    </row>
    <row r="275" spans="1:14" s="16" customFormat="1" outlineLevel="1">
      <c r="A275" s="16" t="str">
        <f>G275</f>
        <v>Cancelado</v>
      </c>
      <c r="B275" s="16">
        <f>IF(I275&lt;=-1,1,IF(I275&lt;=5,2,IF(I275&lt;=15,3,IF(H275&lt;=60,4))))</f>
        <v>4</v>
      </c>
      <c r="C275" s="56" t="s">
        <v>982</v>
      </c>
      <c r="D275" s="9" t="s">
        <v>70</v>
      </c>
      <c r="E275" s="8">
        <v>13660409.890000001</v>
      </c>
      <c r="F275" s="7">
        <v>46050</v>
      </c>
      <c r="G275" s="16" t="s">
        <v>20</v>
      </c>
      <c r="H275" s="16">
        <f>IF(OR(G275="Sin pagar",G275="Pagar"),NETWORKDAYS($J$114,F275,'Festivos Colombia'!$A$3:$A$22),0)</f>
        <v>0</v>
      </c>
      <c r="I275" s="16">
        <f>NETWORKDAYS($J$114,F275,'Festivos Colombia'!$A$3:$A$22)</f>
        <v>18</v>
      </c>
      <c r="J275" s="46">
        <f t="shared" si="109"/>
        <v>0</v>
      </c>
      <c r="K275" s="58"/>
      <c r="M275" s="25"/>
    </row>
    <row r="276" spans="1:14" s="16" customFormat="1" outlineLevel="1">
      <c r="A276" s="16" t="str">
        <f>G276</f>
        <v>Cancelado</v>
      </c>
      <c r="B276" s="16">
        <f>IF(I276&lt;=-1,1,IF(I276&lt;=5,2,IF(I276&lt;=15,3,IF(H276&lt;=60,4))))</f>
        <v>4</v>
      </c>
      <c r="C276" s="56" t="s">
        <v>1015</v>
      </c>
      <c r="D276" s="9" t="s">
        <v>1014</v>
      </c>
      <c r="E276" s="8">
        <v>4652414</v>
      </c>
      <c r="F276" s="7">
        <v>46051</v>
      </c>
      <c r="G276" s="16" t="s">
        <v>20</v>
      </c>
      <c r="H276" s="16">
        <f>IF(OR(G276="Sin pagar",G276="Pagar"),NETWORKDAYS($J$114,F276,'Festivos Colombia'!$A$3:$A$22),0)</f>
        <v>0</v>
      </c>
      <c r="I276" s="16">
        <f>NETWORKDAYS($J$114,F276,'Festivos Colombia'!$A$3:$A$22)</f>
        <v>19</v>
      </c>
      <c r="J276" s="46">
        <f t="shared" ref="J276:J277" si="110">H276</f>
        <v>0</v>
      </c>
      <c r="K276" s="58"/>
      <c r="M276" s="25"/>
    </row>
    <row r="277" spans="1:14" s="16" customFormat="1" ht="14.25" customHeight="1" outlineLevel="1">
      <c r="A277" s="16" t="str">
        <f>G277</f>
        <v>Cancelado</v>
      </c>
      <c r="B277" s="16">
        <f>IF(I277&lt;=-1,1,IF(I277&lt;=5,2,IF(I277&lt;=15,3,IF(H277&lt;=60,4))))</f>
        <v>4</v>
      </c>
      <c r="C277" s="60" t="s">
        <v>1027</v>
      </c>
      <c r="D277" s="9" t="s">
        <v>1026</v>
      </c>
      <c r="E277" s="8">
        <v>25243289</v>
      </c>
      <c r="F277" s="7">
        <v>46052</v>
      </c>
      <c r="G277" s="16" t="s">
        <v>20</v>
      </c>
      <c r="H277" s="16">
        <f>IF(OR(G277="Sin pagar",G277="Pagar"),NETWORKDAYS($J$114,F277,'Festivos Colombia'!$A$3:$A$22),0)</f>
        <v>0</v>
      </c>
      <c r="I277" s="16">
        <f>NETWORKDAYS($J$114,F277,'Festivos Colombia'!$A$3:$A$22)</f>
        <v>20</v>
      </c>
      <c r="J277" s="46">
        <f t="shared" si="110"/>
        <v>0</v>
      </c>
      <c r="K277" s="58"/>
      <c r="M277" s="25"/>
    </row>
    <row r="278" spans="1:14" s="16" customFormat="1" outlineLevel="1">
      <c r="C278" s="60"/>
      <c r="D278" s="566" t="s">
        <v>1028</v>
      </c>
      <c r="E278" s="508">
        <v>14779560</v>
      </c>
      <c r="F278" s="7">
        <v>46052</v>
      </c>
      <c r="G278" s="16" t="s">
        <v>20</v>
      </c>
      <c r="H278" s="16">
        <f>IF(OR(G278="Sin pagar",G278="Pagar"),NETWORKDAYS($J$114,F278,'Festivos Colombia'!$A$3:$A$22),0)</f>
        <v>0</v>
      </c>
      <c r="I278" s="16">
        <f>NETWORKDAYS($J$114,F278,'Festivos Colombia'!$A$3:$A$22)</f>
        <v>20</v>
      </c>
      <c r="J278" s="46">
        <f>H278</f>
        <v>0</v>
      </c>
      <c r="K278" s="58"/>
      <c r="L278" s="8"/>
      <c r="M278" s="8"/>
      <c r="N278" s="53"/>
    </row>
    <row r="279" spans="1:14" s="16" customFormat="1" outlineLevel="1">
      <c r="C279" s="60"/>
      <c r="D279" s="569" t="s">
        <v>1035</v>
      </c>
      <c r="E279" s="508">
        <v>200000</v>
      </c>
      <c r="F279" s="7">
        <v>46055</v>
      </c>
      <c r="G279" s="16" t="s">
        <v>20</v>
      </c>
      <c r="H279" s="16">
        <f>IF(OR(G279="Sin pagar",G279="Pagar"),NETWORKDAYS($J$114,F279,'Festivos Colombia'!$A$3:$A$22),0)</f>
        <v>0</v>
      </c>
      <c r="I279" s="16">
        <f>NETWORKDAYS($J$114,F279,'Festivos Colombia'!$A$3:$A$22)</f>
        <v>21</v>
      </c>
      <c r="J279" s="46">
        <f>H279</f>
        <v>0</v>
      </c>
      <c r="K279" s="58"/>
      <c r="L279" s="8"/>
      <c r="M279" s="8"/>
      <c r="N279" s="53"/>
    </row>
    <row r="280" spans="1:14" s="16" customFormat="1" ht="15.75" outlineLevel="1" thickBot="1">
      <c r="C280" s="60" t="s">
        <v>1037</v>
      </c>
      <c r="D280" s="507" t="s">
        <v>959</v>
      </c>
      <c r="E280" s="508">
        <v>404631264</v>
      </c>
      <c r="F280" s="7">
        <v>46056</v>
      </c>
      <c r="G280" s="16" t="s">
        <v>20</v>
      </c>
      <c r="H280" s="16">
        <f>IF(OR(G280="Sin pagar",G280="Pagar"),NETWORKDAYS($J$114,F280,'Festivos Colombia'!$A$3:$A$22),0)</f>
        <v>0</v>
      </c>
      <c r="I280" s="16">
        <f>NETWORKDAYS($J$114,F280,'Festivos Colombia'!$A$3:$A$22)</f>
        <v>22</v>
      </c>
      <c r="J280" s="46">
        <f>H280</f>
        <v>0</v>
      </c>
      <c r="K280" s="58"/>
      <c r="L280" s="8"/>
      <c r="M280" s="8"/>
      <c r="N280" s="53"/>
    </row>
    <row r="281" spans="1:14" s="16" customFormat="1" ht="16.5" thickBot="1">
      <c r="C281" s="24"/>
      <c r="D281" s="351" t="s">
        <v>71</v>
      </c>
      <c r="E281" s="352">
        <f>SUBTOTAL(9,E282:E294)</f>
        <v>109074796</v>
      </c>
      <c r="J281" s="46"/>
      <c r="K281" s="25"/>
    </row>
    <row r="282" spans="1:14" s="16" customFormat="1" outlineLevel="1">
      <c r="A282" s="16" t="e">
        <f>#REF!</f>
        <v>#REF!</v>
      </c>
      <c r="B282" s="16">
        <f t="shared" ref="B282:B286" si="111">IF(I282&lt;=-1,1,IF(I282&lt;=5,2,IF(I282&lt;=15,3,IF(H282&lt;=60,4))))</f>
        <v>2</v>
      </c>
      <c r="C282" s="24"/>
      <c r="D282" s="9" t="s">
        <v>757</v>
      </c>
      <c r="E282" s="8">
        <f>11757931*0</f>
        <v>0</v>
      </c>
      <c r="F282" s="7">
        <v>46027</v>
      </c>
      <c r="G282" s="16" t="s">
        <v>20</v>
      </c>
      <c r="H282" s="16">
        <f>IF(OR(G282="Sin pagar",G282="Pagar"),NETWORKDAYS($J$114,F282,'Festivos Colombia'!$A$3:$A$22),0)</f>
        <v>0</v>
      </c>
      <c r="I282" s="16">
        <f>NETWORKDAYS($J$114,F282,'Festivos Colombia'!$A$3:$A$22)</f>
        <v>2</v>
      </c>
      <c r="J282" s="46">
        <f t="shared" ref="J282:J286" si="112">H282</f>
        <v>0</v>
      </c>
      <c r="K282" s="58"/>
      <c r="L282" s="25"/>
      <c r="M282" s="41"/>
    </row>
    <row r="283" spans="1:14" s="16" customFormat="1" outlineLevel="1">
      <c r="A283" s="16" t="e">
        <f>#REF!</f>
        <v>#REF!</v>
      </c>
      <c r="B283" s="16">
        <f t="shared" si="111"/>
        <v>2</v>
      </c>
      <c r="C283" s="24"/>
      <c r="D283" s="9" t="s">
        <v>758</v>
      </c>
      <c r="E283" s="8">
        <f>7988061*0</f>
        <v>0</v>
      </c>
      <c r="F283" s="7">
        <v>46027</v>
      </c>
      <c r="G283" s="16" t="s">
        <v>20</v>
      </c>
      <c r="H283" s="16">
        <f>IF(OR(G283="Sin pagar",G283="Pagar"),NETWORKDAYS($J$114,F283,'Festivos Colombia'!$A$3:$A$22),0)</f>
        <v>0</v>
      </c>
      <c r="I283" s="16">
        <f>NETWORKDAYS($J$114,F283,'Festivos Colombia'!$A$3:$A$22)</f>
        <v>2</v>
      </c>
      <c r="J283" s="46">
        <f t="shared" si="112"/>
        <v>0</v>
      </c>
      <c r="K283" s="58"/>
      <c r="L283" s="25"/>
      <c r="M283" s="41"/>
    </row>
    <row r="284" spans="1:14" s="16" customFormat="1" outlineLevel="1">
      <c r="A284" s="16" t="e">
        <f>#REF!</f>
        <v>#REF!</v>
      </c>
      <c r="B284" s="16">
        <f t="shared" si="111"/>
        <v>3</v>
      </c>
      <c r="C284" s="24"/>
      <c r="D284" s="9" t="s">
        <v>817</v>
      </c>
      <c r="E284" s="8">
        <v>7714654</v>
      </c>
      <c r="F284" s="7">
        <v>46035</v>
      </c>
      <c r="G284" s="16" t="s">
        <v>20</v>
      </c>
      <c r="H284" s="16">
        <f>IF(OR(G284="Sin pagar",G284="Pagar"),NETWORKDAYS($J$114,F284,'Festivos Colombia'!$A$3:$A$22),0)</f>
        <v>0</v>
      </c>
      <c r="I284" s="16">
        <f>NETWORKDAYS($J$114,F284,'Festivos Colombia'!$A$3:$A$22)</f>
        <v>7</v>
      </c>
      <c r="J284" s="46">
        <f t="shared" si="112"/>
        <v>0</v>
      </c>
      <c r="K284" s="58"/>
      <c r="L284" s="25"/>
      <c r="M284" s="41"/>
    </row>
    <row r="285" spans="1:14" s="16" customFormat="1" outlineLevel="1">
      <c r="A285" s="16" t="e">
        <f>#REF!</f>
        <v>#REF!</v>
      </c>
      <c r="B285" s="16">
        <f t="shared" si="111"/>
        <v>3</v>
      </c>
      <c r="C285" s="24"/>
      <c r="D285" s="9" t="s">
        <v>859</v>
      </c>
      <c r="E285" s="8">
        <v>5791128</v>
      </c>
      <c r="F285" s="7">
        <v>46042</v>
      </c>
      <c r="G285" s="16" t="s">
        <v>20</v>
      </c>
      <c r="H285" s="16">
        <f>IF(OR(G285="Sin pagar",G285="Pagar"),NETWORKDAYS($J$114,F285,'Festivos Colombia'!$A$3:$A$22),0)</f>
        <v>0</v>
      </c>
      <c r="I285" s="16">
        <f>NETWORKDAYS($J$114,F285,'Festivos Colombia'!$A$3:$A$22)</f>
        <v>12</v>
      </c>
      <c r="J285" s="46">
        <f t="shared" si="112"/>
        <v>0</v>
      </c>
      <c r="K285" s="58"/>
      <c r="L285" s="25"/>
      <c r="M285" s="41"/>
    </row>
    <row r="286" spans="1:14" s="16" customFormat="1" outlineLevel="1">
      <c r="A286" s="16" t="e">
        <f>#REF!</f>
        <v>#REF!</v>
      </c>
      <c r="B286" s="16">
        <f t="shared" si="111"/>
        <v>3</v>
      </c>
      <c r="C286" s="24"/>
      <c r="D286" s="9" t="s">
        <v>860</v>
      </c>
      <c r="E286" s="8">
        <v>1952947</v>
      </c>
      <c r="F286" s="7">
        <v>46042</v>
      </c>
      <c r="G286" s="16" t="s">
        <v>20</v>
      </c>
      <c r="H286" s="16">
        <f>IF(OR(G286="Sin pagar",G286="Pagar"),NETWORKDAYS($J$114,F286,'Festivos Colombia'!$A$3:$A$22),0)</f>
        <v>0</v>
      </c>
      <c r="I286" s="16">
        <f>NETWORKDAYS($J$114,F286,'Festivos Colombia'!$A$3:$A$22)</f>
        <v>12</v>
      </c>
      <c r="J286" s="46">
        <f t="shared" si="112"/>
        <v>0</v>
      </c>
      <c r="K286" s="58"/>
      <c r="L286" s="25"/>
      <c r="M286" s="41"/>
    </row>
    <row r="287" spans="1:14" s="16" customFormat="1" outlineLevel="1">
      <c r="A287" s="16" t="e">
        <f>#REF!</f>
        <v>#REF!</v>
      </c>
      <c r="B287" s="16">
        <f t="shared" ref="B287" si="113">IF(I287&lt;=-1,1,IF(I287&lt;=5,2,IF(I287&lt;=15,3,IF(H287&lt;=60,4))))</f>
        <v>4</v>
      </c>
      <c r="C287" s="24"/>
      <c r="D287" s="9" t="s">
        <v>976</v>
      </c>
      <c r="E287" s="8">
        <v>25811773</v>
      </c>
      <c r="F287" s="7">
        <v>46050</v>
      </c>
      <c r="G287" s="16" t="s">
        <v>20</v>
      </c>
      <c r="H287" s="16">
        <f>IF(OR(G287="Sin pagar",G287="Pagar"),NETWORKDAYS($J$114,F287,'Festivos Colombia'!$A$3:$A$22),0)</f>
        <v>0</v>
      </c>
      <c r="I287" s="16">
        <f>NETWORKDAYS($J$114,F287,'Festivos Colombia'!$A$3:$A$22)</f>
        <v>18</v>
      </c>
      <c r="J287" s="46">
        <f t="shared" ref="J287" si="114">H287</f>
        <v>0</v>
      </c>
      <c r="K287" s="58"/>
      <c r="L287" s="25"/>
      <c r="M287" s="41"/>
    </row>
    <row r="288" spans="1:14" s="16" customFormat="1" outlineLevel="1">
      <c r="A288" s="16" t="e">
        <f>#REF!</f>
        <v>#REF!</v>
      </c>
      <c r="B288" s="16">
        <f t="shared" ref="B288" si="115">IF(I288&lt;=-1,1,IF(I288&lt;=5,2,IF(I288&lt;=15,3,IF(H288&lt;=60,4))))</f>
        <v>4</v>
      </c>
      <c r="C288" s="24"/>
      <c r="D288" s="9" t="s">
        <v>989</v>
      </c>
      <c r="E288" s="8">
        <v>122093</v>
      </c>
      <c r="F288" s="7">
        <v>46050</v>
      </c>
      <c r="G288" s="16" t="s">
        <v>20</v>
      </c>
      <c r="H288" s="16">
        <f>IF(OR(G288="Sin pagar",G288="Pagar"),NETWORKDAYS($J$114,F288,'Festivos Colombia'!$A$3:$A$22),0)</f>
        <v>0</v>
      </c>
      <c r="I288" s="16">
        <f>NETWORKDAYS($J$114,F288,'Festivos Colombia'!$A$3:$A$22)</f>
        <v>18</v>
      </c>
      <c r="J288" s="46">
        <f t="shared" ref="J288" si="116">H288</f>
        <v>0</v>
      </c>
      <c r="K288" s="58"/>
      <c r="L288" s="25"/>
      <c r="M288" s="41"/>
    </row>
    <row r="289" spans="1:24" s="16" customFormat="1" outlineLevel="1">
      <c r="A289" s="16" t="e">
        <f>#REF!</f>
        <v>#REF!</v>
      </c>
      <c r="B289" s="16">
        <f t="shared" ref="B289" si="117">IF(I289&lt;=-1,1,IF(I289&lt;=5,2,IF(I289&lt;=15,3,IF(H289&lt;=60,4))))</f>
        <v>4</v>
      </c>
      <c r="C289" s="24"/>
      <c r="D289" s="9" t="s">
        <v>1020</v>
      </c>
      <c r="E289" s="8">
        <v>661046</v>
      </c>
      <c r="F289" s="7">
        <v>46052</v>
      </c>
      <c r="G289" s="16" t="s">
        <v>20</v>
      </c>
      <c r="H289" s="16">
        <f>IF(OR(G289="Sin pagar",G289="Pagar"),NETWORKDAYS($J$114,F289,'Festivos Colombia'!$A$3:$A$22),0)</f>
        <v>0</v>
      </c>
      <c r="I289" s="16">
        <f>NETWORKDAYS($J$114,F289,'Festivos Colombia'!$A$3:$A$22)</f>
        <v>20</v>
      </c>
      <c r="J289" s="46">
        <f t="shared" ref="J289" si="118">H289</f>
        <v>0</v>
      </c>
      <c r="K289" s="58"/>
      <c r="L289" s="25"/>
      <c r="M289" s="41"/>
    </row>
    <row r="290" spans="1:24" s="16" customFormat="1" outlineLevel="1">
      <c r="A290" s="16" t="e">
        <f>#REF!</f>
        <v>#REF!</v>
      </c>
      <c r="B290" s="16">
        <f t="shared" ref="B290" si="119">IF(I290&lt;=-1,1,IF(I290&lt;=5,2,IF(I290&lt;=15,3,IF(H290&lt;=60,4))))</f>
        <v>4</v>
      </c>
      <c r="C290" s="24"/>
      <c r="D290" s="9" t="s">
        <v>1021</v>
      </c>
      <c r="E290" s="8">
        <v>5999131</v>
      </c>
      <c r="F290" s="7">
        <v>46052</v>
      </c>
      <c r="G290" s="16" t="s">
        <v>20</v>
      </c>
      <c r="H290" s="16">
        <f>IF(OR(G290="Sin pagar",G290="Pagar"),NETWORKDAYS($J$114,F290,'Festivos Colombia'!$A$3:$A$22),0)</f>
        <v>0</v>
      </c>
      <c r="I290" s="16">
        <f>NETWORKDAYS($J$114,F290,'Festivos Colombia'!$A$3:$A$22)</f>
        <v>20</v>
      </c>
      <c r="J290" s="46">
        <f t="shared" ref="J290" si="120">H290</f>
        <v>0</v>
      </c>
      <c r="K290" s="58"/>
      <c r="L290" s="25"/>
      <c r="M290" s="41"/>
    </row>
    <row r="291" spans="1:24" s="16" customFormat="1" outlineLevel="1">
      <c r="A291" s="16" t="e">
        <f>#REF!</f>
        <v>#REF!</v>
      </c>
      <c r="B291" s="16">
        <f t="shared" ref="B291:B294" si="121">IF(I291&lt;=-1,1,IF(I291&lt;=5,2,IF(I291&lt;=15,3,IF(H291&lt;=60,4))))</f>
        <v>4</v>
      </c>
      <c r="C291" s="24"/>
      <c r="D291" s="9" t="s">
        <v>1022</v>
      </c>
      <c r="E291" s="8">
        <v>9285137</v>
      </c>
      <c r="F291" s="7">
        <v>46052</v>
      </c>
      <c r="G291" s="16" t="s">
        <v>20</v>
      </c>
      <c r="H291" s="16">
        <f>IF(OR(G291="Sin pagar",G291="Pagar"),NETWORKDAYS($J$114,F291,'Festivos Colombia'!$A$3:$A$22),0)</f>
        <v>0</v>
      </c>
      <c r="I291" s="16">
        <f>NETWORKDAYS($J$114,F291,'Festivos Colombia'!$A$3:$A$22)</f>
        <v>20</v>
      </c>
      <c r="J291" s="46">
        <f t="shared" ref="J291:J294" si="122">H291</f>
        <v>0</v>
      </c>
      <c r="K291" s="58"/>
      <c r="L291" s="25"/>
      <c r="M291" s="41"/>
    </row>
    <row r="292" spans="1:24" s="16" customFormat="1" outlineLevel="1">
      <c r="A292" s="16" t="e">
        <f>#REF!</f>
        <v>#REF!</v>
      </c>
      <c r="B292" s="16">
        <f t="shared" si="121"/>
        <v>4</v>
      </c>
      <c r="C292" s="24"/>
      <c r="D292" s="9" t="s">
        <v>1023</v>
      </c>
      <c r="E292" s="8">
        <v>13535015</v>
      </c>
      <c r="F292" s="7">
        <v>46052</v>
      </c>
      <c r="G292" s="16" t="s">
        <v>20</v>
      </c>
      <c r="H292" s="16">
        <f>IF(OR(G292="Sin pagar",G292="Pagar"),NETWORKDAYS($J$114,F292,'Festivos Colombia'!$A$3:$A$22),0)</f>
        <v>0</v>
      </c>
      <c r="I292" s="16">
        <f>NETWORKDAYS($J$114,F292,'Festivos Colombia'!$A$3:$A$22)</f>
        <v>20</v>
      </c>
      <c r="J292" s="46">
        <f t="shared" si="122"/>
        <v>0</v>
      </c>
      <c r="K292" s="58"/>
      <c r="L292" s="25"/>
      <c r="M292" s="41"/>
    </row>
    <row r="293" spans="1:24" s="16" customFormat="1" outlineLevel="1">
      <c r="A293" s="16" t="e">
        <f>#REF!</f>
        <v>#REF!</v>
      </c>
      <c r="B293" s="16">
        <f t="shared" si="121"/>
        <v>4</v>
      </c>
      <c r="C293" s="24"/>
      <c r="D293" s="9" t="s">
        <v>1024</v>
      </c>
      <c r="E293" s="8">
        <v>19626721</v>
      </c>
      <c r="F293" s="7">
        <v>46052</v>
      </c>
      <c r="G293" s="16" t="s">
        <v>20</v>
      </c>
      <c r="H293" s="16">
        <f>IF(OR(G293="Sin pagar",G293="Pagar"),NETWORKDAYS($J$114,F293,'Festivos Colombia'!$A$3:$A$22),0)</f>
        <v>0</v>
      </c>
      <c r="I293" s="16">
        <f>NETWORKDAYS($J$114,F293,'Festivos Colombia'!$A$3:$A$22)</f>
        <v>20</v>
      </c>
      <c r="J293" s="46">
        <f t="shared" si="122"/>
        <v>0</v>
      </c>
      <c r="K293" s="58"/>
      <c r="L293" s="25"/>
      <c r="M293" s="41"/>
    </row>
    <row r="294" spans="1:24" s="16" customFormat="1" ht="15.75" outlineLevel="1" thickBot="1">
      <c r="A294" s="16" t="e">
        <f>#REF!</f>
        <v>#REF!</v>
      </c>
      <c r="B294" s="16">
        <f t="shared" si="121"/>
        <v>4</v>
      </c>
      <c r="C294" s="24"/>
      <c r="D294" s="9" t="s">
        <v>1025</v>
      </c>
      <c r="E294" s="8">
        <v>18575151</v>
      </c>
      <c r="F294" s="7">
        <v>46052</v>
      </c>
      <c r="G294" s="16" t="s">
        <v>20</v>
      </c>
      <c r="H294" s="16">
        <f>IF(OR(G294="Sin pagar",G294="Pagar"),NETWORKDAYS($J$114,F294,'Festivos Colombia'!$A$3:$A$22),0)</f>
        <v>0</v>
      </c>
      <c r="I294" s="16">
        <f>NETWORKDAYS($J$114,F294,'Festivos Colombia'!$A$3:$A$22)</f>
        <v>20</v>
      </c>
      <c r="J294" s="46">
        <f t="shared" si="122"/>
        <v>0</v>
      </c>
      <c r="K294" s="58"/>
      <c r="L294" s="25"/>
      <c r="M294" s="41"/>
    </row>
    <row r="295" spans="1:24" s="16" customFormat="1" ht="16.5" thickBot="1">
      <c r="C295" s="36"/>
      <c r="D295" s="351" t="s">
        <v>72</v>
      </c>
      <c r="E295" s="352">
        <f>SUBTOTAL(9,E296:E312)</f>
        <v>18377275.699999999</v>
      </c>
      <c r="J295" s="46"/>
      <c r="K295" s="25"/>
      <c r="M295" s="25"/>
    </row>
    <row r="296" spans="1:24" s="16" customFormat="1" ht="15" customHeight="1" outlineLevel="1">
      <c r="A296" s="310" t="str">
        <f t="shared" ref="A296:A303" si="123">G296</f>
        <v>Cancelado</v>
      </c>
      <c r="B296" s="310">
        <f t="shared" ref="B296:B303" si="124">IF(I296&lt;=-1,1,IF(I296&lt;=5,2,IF(I296&lt;=15,3,IF(H296&lt;=60,4))))</f>
        <v>2</v>
      </c>
      <c r="C296" s="325"/>
      <c r="D296" s="511" t="s">
        <v>801</v>
      </c>
      <c r="E296" s="350">
        <v>197300</v>
      </c>
      <c r="F296" s="7">
        <v>46029</v>
      </c>
      <c r="G296" s="16" t="s">
        <v>20</v>
      </c>
      <c r="H296" s="16">
        <f>IF(OR(G296="Sin pagar",G296="Pagar"),NETWORKDAYS($J$114,F296,'Festivos Colombia'!$A$3:$A$22),0)</f>
        <v>0</v>
      </c>
      <c r="I296" s="16">
        <f>NETWORKDAYS($J$114,F296,'Festivos Colombia'!$A$3:$A$22)</f>
        <v>4</v>
      </c>
      <c r="J296" s="46">
        <f t="shared" ref="J296:J303" si="125">H296</f>
        <v>0</v>
      </c>
      <c r="K296" s="312"/>
      <c r="L296" s="310"/>
      <c r="M296" s="313"/>
      <c r="N296" s="310"/>
      <c r="O296" s="310"/>
      <c r="P296" s="310"/>
      <c r="Q296" s="310"/>
      <c r="R296" s="310"/>
      <c r="S296" s="310"/>
      <c r="T296" s="310"/>
      <c r="U296" s="310"/>
      <c r="V296" s="310"/>
      <c r="W296" s="310"/>
      <c r="X296" s="310"/>
    </row>
    <row r="297" spans="1:24" s="16" customFormat="1" ht="15" customHeight="1" outlineLevel="1">
      <c r="A297" s="310" t="str">
        <f t="shared" si="123"/>
        <v>Cancelado</v>
      </c>
      <c r="B297" s="310">
        <f t="shared" si="124"/>
        <v>2</v>
      </c>
      <c r="C297" s="325"/>
      <c r="D297" s="512" t="s">
        <v>804</v>
      </c>
      <c r="E297" s="350">
        <v>30934.05</v>
      </c>
      <c r="F297" s="7">
        <v>46030</v>
      </c>
      <c r="G297" s="16" t="s">
        <v>20</v>
      </c>
      <c r="H297" s="16">
        <f>IF(OR(G297="Sin pagar",G297="Pagar"),NETWORKDAYS($J$114,F297,'Festivos Colombia'!$A$3:$A$22),0)</f>
        <v>0</v>
      </c>
      <c r="I297" s="16">
        <f>NETWORKDAYS($J$114,F297,'Festivos Colombia'!$A$3:$A$22)</f>
        <v>5</v>
      </c>
      <c r="J297" s="46">
        <f t="shared" si="125"/>
        <v>0</v>
      </c>
      <c r="K297" s="312"/>
      <c r="L297" s="310"/>
      <c r="M297" s="313"/>
      <c r="N297" s="310"/>
      <c r="O297" s="310"/>
      <c r="P297" s="310"/>
      <c r="Q297" s="310"/>
      <c r="R297" s="310"/>
      <c r="S297" s="310"/>
      <c r="T297" s="310"/>
      <c r="U297" s="310"/>
      <c r="V297" s="310"/>
      <c r="W297" s="310"/>
      <c r="X297" s="310"/>
    </row>
    <row r="298" spans="1:24" s="16" customFormat="1" ht="15" customHeight="1" outlineLevel="1">
      <c r="A298" s="310" t="str">
        <f t="shared" si="123"/>
        <v>Cancelado</v>
      </c>
      <c r="B298" s="310">
        <f t="shared" si="124"/>
        <v>3</v>
      </c>
      <c r="C298" s="325"/>
      <c r="D298" s="515" t="s">
        <v>803</v>
      </c>
      <c r="E298" s="350">
        <v>417960.65</v>
      </c>
      <c r="F298" s="7">
        <v>46031</v>
      </c>
      <c r="G298" s="16" t="s">
        <v>20</v>
      </c>
      <c r="H298" s="16">
        <f>IF(OR(G298="Sin pagar",G298="Pagar"),NETWORKDAYS($J$114,F298,'Festivos Colombia'!$A$3:$A$22),0)</f>
        <v>0</v>
      </c>
      <c r="I298" s="16">
        <f>NETWORKDAYS($J$114,F298,'Festivos Colombia'!$A$3:$A$22)</f>
        <v>6</v>
      </c>
      <c r="J298" s="46">
        <f t="shared" si="125"/>
        <v>0</v>
      </c>
      <c r="K298" s="312"/>
      <c r="L298" s="310"/>
      <c r="M298" s="313"/>
      <c r="N298" s="310"/>
      <c r="O298" s="310"/>
      <c r="P298" s="310"/>
      <c r="Q298" s="310"/>
      <c r="R298" s="310"/>
      <c r="S298" s="310"/>
      <c r="T298" s="310"/>
      <c r="U298" s="310"/>
      <c r="V298" s="310"/>
      <c r="W298" s="310"/>
      <c r="X298" s="310"/>
    </row>
    <row r="299" spans="1:24" s="16" customFormat="1" ht="15" customHeight="1" outlineLevel="1">
      <c r="A299" s="310" t="str">
        <f t="shared" ref="A299:A301" si="126">G299</f>
        <v>Cancelado</v>
      </c>
      <c r="B299" s="310">
        <f t="shared" ref="B299:B301" si="127">IF(I299&lt;=-1,1,IF(I299&lt;=5,2,IF(I299&lt;=15,3,IF(H299&lt;=60,4))))</f>
        <v>3</v>
      </c>
      <c r="C299" s="325"/>
      <c r="D299" s="527" t="s">
        <v>852</v>
      </c>
      <c r="E299" s="350">
        <v>2000000</v>
      </c>
      <c r="F299" s="7">
        <v>46031</v>
      </c>
      <c r="G299" s="16" t="s">
        <v>20</v>
      </c>
      <c r="H299" s="16">
        <f>IF(OR(G299="Sin pagar",G299="Pagar"),NETWORKDAYS($J$114,F299,'Festivos Colombia'!$A$3:$A$22),0)</f>
        <v>0</v>
      </c>
      <c r="I299" s="16">
        <f>NETWORKDAYS($J$114,F299,'Festivos Colombia'!$A$3:$A$22)</f>
        <v>6</v>
      </c>
      <c r="J299" s="46">
        <f t="shared" ref="J299:J301" si="128">H299</f>
        <v>0</v>
      </c>
      <c r="K299" s="312"/>
      <c r="L299" s="310"/>
      <c r="M299" s="313"/>
      <c r="N299" s="310"/>
      <c r="O299" s="310"/>
      <c r="P299" s="310"/>
      <c r="Q299" s="310"/>
      <c r="R299" s="310"/>
      <c r="S299" s="310"/>
      <c r="T299" s="310"/>
      <c r="U299" s="310"/>
      <c r="V299" s="310"/>
      <c r="W299" s="310"/>
      <c r="X299" s="310"/>
    </row>
    <row r="300" spans="1:24" s="16" customFormat="1" ht="15" customHeight="1" outlineLevel="1">
      <c r="A300" s="310" t="str">
        <f t="shared" si="126"/>
        <v>Cancelado</v>
      </c>
      <c r="B300" s="310">
        <f t="shared" si="127"/>
        <v>3</v>
      </c>
      <c r="C300" s="325"/>
      <c r="D300" s="518" t="s">
        <v>809</v>
      </c>
      <c r="E300" s="350">
        <v>8000</v>
      </c>
      <c r="F300" s="7">
        <v>46031</v>
      </c>
      <c r="G300" s="16" t="s">
        <v>20</v>
      </c>
      <c r="H300" s="16">
        <f>IF(OR(G300="Sin pagar",G300="Pagar"),NETWORKDAYS($J$114,F300,'Festivos Colombia'!$A$3:$A$22),0)</f>
        <v>0</v>
      </c>
      <c r="I300" s="16">
        <f>NETWORKDAYS($J$114,F300,'Festivos Colombia'!$A$3:$A$22)</f>
        <v>6</v>
      </c>
      <c r="J300" s="46">
        <f t="shared" si="128"/>
        <v>0</v>
      </c>
      <c r="K300" s="312"/>
      <c r="L300" s="310"/>
      <c r="M300" s="313"/>
      <c r="N300" s="310"/>
      <c r="O300" s="310"/>
      <c r="P300" s="310"/>
      <c r="Q300" s="310"/>
      <c r="R300" s="310"/>
      <c r="S300" s="310"/>
      <c r="T300" s="310"/>
      <c r="U300" s="310"/>
      <c r="V300" s="310"/>
      <c r="W300" s="310"/>
      <c r="X300" s="310"/>
    </row>
    <row r="301" spans="1:24" s="16" customFormat="1" ht="15" customHeight="1" outlineLevel="1">
      <c r="A301" s="310" t="str">
        <f t="shared" si="126"/>
        <v>Cancelado</v>
      </c>
      <c r="B301" s="310">
        <f t="shared" si="127"/>
        <v>3</v>
      </c>
      <c r="C301" s="325" t="s">
        <v>820</v>
      </c>
      <c r="D301" s="520" t="s">
        <v>819</v>
      </c>
      <c r="E301" s="350">
        <v>12100</v>
      </c>
      <c r="F301" s="7">
        <v>46036</v>
      </c>
      <c r="G301" s="16" t="s">
        <v>20</v>
      </c>
      <c r="H301" s="16">
        <f>IF(OR(G301="Sin pagar",G301="Pagar"),NETWORKDAYS($J$114,F301,'Festivos Colombia'!$A$3:$A$22),0)</f>
        <v>0</v>
      </c>
      <c r="I301" s="16">
        <f>NETWORKDAYS($J$114,F301,'Festivos Colombia'!$A$3:$A$22)</f>
        <v>8</v>
      </c>
      <c r="J301" s="46">
        <f t="shared" si="128"/>
        <v>0</v>
      </c>
      <c r="K301" s="312"/>
      <c r="L301" s="310"/>
      <c r="M301" s="313"/>
      <c r="N301" s="310"/>
      <c r="O301" s="310"/>
      <c r="P301" s="310"/>
      <c r="Q301" s="310"/>
      <c r="R301" s="310"/>
      <c r="S301" s="310"/>
      <c r="T301" s="310"/>
      <c r="U301" s="310"/>
      <c r="V301" s="310"/>
      <c r="W301" s="310"/>
      <c r="X301" s="310"/>
    </row>
    <row r="302" spans="1:24" s="16" customFormat="1" ht="15" customHeight="1" outlineLevel="1">
      <c r="A302" s="310" t="str">
        <f t="shared" ref="A302" si="129">G302</f>
        <v>Cancelado</v>
      </c>
      <c r="B302" s="310">
        <f t="shared" ref="B302" si="130">IF(I302&lt;=-1,1,IF(I302&lt;=5,2,IF(I302&lt;=15,3,IF(H302&lt;=60,4))))</f>
        <v>3</v>
      </c>
      <c r="C302" s="325" t="s">
        <v>947</v>
      </c>
      <c r="D302" s="520" t="s">
        <v>819</v>
      </c>
      <c r="E302" s="350">
        <v>12100</v>
      </c>
      <c r="F302" s="7">
        <v>46041</v>
      </c>
      <c r="G302" s="16" t="s">
        <v>20</v>
      </c>
      <c r="H302" s="16">
        <f>IF(OR(G302="Sin pagar",G302="Pagar"),NETWORKDAYS($J$114,F302,'Festivos Colombia'!$A$3:$A$22),0)</f>
        <v>0</v>
      </c>
      <c r="I302" s="16">
        <f>NETWORKDAYS($J$114,F302,'Festivos Colombia'!$A$3:$A$22)</f>
        <v>11</v>
      </c>
      <c r="J302" s="46">
        <f t="shared" ref="J302" si="131">H302</f>
        <v>0</v>
      </c>
      <c r="K302" s="312"/>
      <c r="L302" s="310"/>
      <c r="M302" s="313"/>
      <c r="N302" s="310"/>
      <c r="O302" s="310"/>
      <c r="P302" s="310"/>
      <c r="Q302" s="310"/>
      <c r="R302" s="310"/>
      <c r="S302" s="310"/>
      <c r="T302" s="310"/>
      <c r="U302" s="310"/>
      <c r="V302" s="310"/>
      <c r="W302" s="310"/>
      <c r="X302" s="310"/>
    </row>
    <row r="303" spans="1:24" s="16" customFormat="1" ht="15.75" customHeight="1" outlineLevel="1">
      <c r="A303" s="310" t="str">
        <f t="shared" si="123"/>
        <v>Cancelado</v>
      </c>
      <c r="B303" s="310">
        <f t="shared" si="124"/>
        <v>3</v>
      </c>
      <c r="C303" s="325"/>
      <c r="D303" s="521" t="s">
        <v>821</v>
      </c>
      <c r="E303" s="350">
        <v>300000</v>
      </c>
      <c r="F303" s="7">
        <v>46036</v>
      </c>
      <c r="G303" s="16" t="s">
        <v>20</v>
      </c>
      <c r="H303" s="16">
        <f>IF(OR(G303="Sin pagar",G303="Pagar"),NETWORKDAYS($J$114,F303,'Festivos Colombia'!$A$3:$A$22),0)</f>
        <v>0</v>
      </c>
      <c r="I303" s="16">
        <f>NETWORKDAYS($J$114,F303,'Festivos Colombia'!$A$3:$A$22)</f>
        <v>8</v>
      </c>
      <c r="J303" s="46">
        <f t="shared" si="125"/>
        <v>0</v>
      </c>
      <c r="K303" s="312"/>
      <c r="L303" s="310"/>
      <c r="M303" s="313"/>
      <c r="N303" s="310"/>
      <c r="O303" s="310"/>
      <c r="P303" s="310"/>
      <c r="Q303" s="310"/>
      <c r="R303" s="310"/>
      <c r="S303" s="310"/>
      <c r="T303" s="310"/>
      <c r="U303" s="310"/>
      <c r="V303" s="310"/>
      <c r="W303" s="310"/>
      <c r="X303" s="310"/>
    </row>
    <row r="304" spans="1:24" s="16" customFormat="1" ht="15.75" customHeight="1" outlineLevel="1">
      <c r="A304" s="310" t="str">
        <f t="shared" ref="A304:A307" si="132">G304</f>
        <v>Cancelado</v>
      </c>
      <c r="B304" s="310">
        <f t="shared" ref="B304:B307" si="133">IF(I304&lt;=-1,1,IF(I304&lt;=5,2,IF(I304&lt;=15,3,IF(H304&lt;=60,4))))</f>
        <v>3</v>
      </c>
      <c r="C304" s="325" t="s">
        <v>856</v>
      </c>
      <c r="D304" s="527" t="s">
        <v>853</v>
      </c>
      <c r="E304" s="350">
        <v>195543</v>
      </c>
      <c r="F304" s="7">
        <v>46041</v>
      </c>
      <c r="G304" s="16" t="s">
        <v>20</v>
      </c>
      <c r="H304" s="16">
        <f>IF(OR(G304="Sin pagar",G304="Pagar"),NETWORKDAYS($J$114,F304,'Festivos Colombia'!$A$3:$A$22),0)</f>
        <v>0</v>
      </c>
      <c r="I304" s="16">
        <f>NETWORKDAYS($J$114,F304,'Festivos Colombia'!$A$3:$A$22)</f>
        <v>11</v>
      </c>
      <c r="J304" s="46">
        <f t="shared" ref="J304:J307" si="134">H304</f>
        <v>0</v>
      </c>
      <c r="K304" s="312"/>
      <c r="L304" s="310"/>
      <c r="M304" s="313"/>
      <c r="N304" s="310"/>
      <c r="O304" s="310"/>
      <c r="P304" s="310"/>
      <c r="Q304" s="310"/>
      <c r="R304" s="310"/>
      <c r="S304" s="310"/>
      <c r="T304" s="310"/>
      <c r="U304" s="310"/>
      <c r="V304" s="310"/>
      <c r="W304" s="310"/>
      <c r="X304" s="310"/>
    </row>
    <row r="305" spans="1:24" s="16" customFormat="1" ht="15.75" customHeight="1" outlineLevel="1">
      <c r="A305" s="310" t="str">
        <f t="shared" si="132"/>
        <v>Cancelado</v>
      </c>
      <c r="B305" s="310">
        <f t="shared" si="133"/>
        <v>3</v>
      </c>
      <c r="C305" s="325"/>
      <c r="D305" s="528" t="s">
        <v>858</v>
      </c>
      <c r="E305" s="350">
        <v>586432</v>
      </c>
      <c r="F305" s="7">
        <v>46042</v>
      </c>
      <c r="G305" s="16" t="s">
        <v>20</v>
      </c>
      <c r="H305" s="16">
        <f>IF(OR(G305="Sin pagar",G305="Pagar"),NETWORKDAYS($J$114,F305,'Festivos Colombia'!$A$3:$A$22),0)</f>
        <v>0</v>
      </c>
      <c r="I305" s="16">
        <f>NETWORKDAYS($J$114,F305,'Festivos Colombia'!$A$3:$A$22)</f>
        <v>12</v>
      </c>
      <c r="J305" s="46">
        <f t="shared" si="134"/>
        <v>0</v>
      </c>
      <c r="K305" s="312"/>
      <c r="L305" s="310"/>
      <c r="M305" s="313"/>
      <c r="N305" s="310"/>
      <c r="O305" s="310"/>
      <c r="P305" s="310"/>
      <c r="Q305" s="310"/>
      <c r="R305" s="310"/>
      <c r="S305" s="310"/>
      <c r="T305" s="310"/>
      <c r="U305" s="310"/>
      <c r="V305" s="310"/>
      <c r="W305" s="310"/>
      <c r="X305" s="310"/>
    </row>
    <row r="306" spans="1:24" s="16" customFormat="1" ht="15.75" customHeight="1" outlineLevel="1">
      <c r="A306" s="310" t="str">
        <f t="shared" si="132"/>
        <v>Cancelado</v>
      </c>
      <c r="B306" s="310">
        <f t="shared" si="133"/>
        <v>3</v>
      </c>
      <c r="C306" s="549" t="s">
        <v>948</v>
      </c>
      <c r="D306" s="533" t="s">
        <v>885</v>
      </c>
      <c r="E306" s="350">
        <v>415000</v>
      </c>
      <c r="F306" s="7">
        <v>46042</v>
      </c>
      <c r="G306" s="16" t="s">
        <v>20</v>
      </c>
      <c r="H306" s="16">
        <f>IF(OR(G306="Sin pagar",G306="Pagar"),NETWORKDAYS($J$114,F306,'Festivos Colombia'!$A$3:$A$22),0)</f>
        <v>0</v>
      </c>
      <c r="I306" s="16">
        <f>NETWORKDAYS($J$114,F306,'Festivos Colombia'!$A$3:$A$22)</f>
        <v>12</v>
      </c>
      <c r="J306" s="46">
        <f t="shared" si="134"/>
        <v>0</v>
      </c>
      <c r="K306" s="312"/>
      <c r="L306" s="310"/>
      <c r="M306" s="313"/>
      <c r="N306" s="310"/>
      <c r="O306" s="310"/>
      <c r="P306" s="310"/>
      <c r="Q306" s="310"/>
      <c r="R306" s="310"/>
      <c r="S306" s="310"/>
      <c r="T306" s="310"/>
      <c r="U306" s="310"/>
      <c r="V306" s="310"/>
      <c r="W306" s="310"/>
      <c r="X306" s="310"/>
    </row>
    <row r="307" spans="1:24" s="16" customFormat="1" ht="15.75" customHeight="1" outlineLevel="1">
      <c r="A307" s="310" t="str">
        <f t="shared" si="132"/>
        <v>Cancelado</v>
      </c>
      <c r="B307" s="310">
        <f t="shared" si="133"/>
        <v>3</v>
      </c>
      <c r="C307" s="325"/>
      <c r="D307" s="533" t="s">
        <v>886</v>
      </c>
      <c r="E307" s="350">
        <v>141491</v>
      </c>
      <c r="F307" s="7">
        <v>46042</v>
      </c>
      <c r="G307" s="16" t="s">
        <v>20</v>
      </c>
      <c r="H307" s="16">
        <f>IF(OR(G307="Sin pagar",G307="Pagar"),NETWORKDAYS($J$114,F307,'Festivos Colombia'!$A$3:$A$22),0)</f>
        <v>0</v>
      </c>
      <c r="I307" s="16">
        <f>NETWORKDAYS($J$114,F307,'Festivos Colombia'!$A$3:$A$22)</f>
        <v>12</v>
      </c>
      <c r="J307" s="46">
        <f t="shared" si="134"/>
        <v>0</v>
      </c>
      <c r="K307" s="312"/>
      <c r="L307" s="310"/>
      <c r="M307" s="313"/>
      <c r="N307" s="310"/>
      <c r="O307" s="310"/>
      <c r="P307" s="310"/>
      <c r="Q307" s="310"/>
      <c r="R307" s="310"/>
      <c r="S307" s="310"/>
      <c r="T307" s="310"/>
      <c r="U307" s="310"/>
      <c r="V307" s="310"/>
      <c r="W307" s="310"/>
      <c r="X307" s="310"/>
    </row>
    <row r="308" spans="1:24" s="16" customFormat="1" ht="15.75" customHeight="1" outlineLevel="1">
      <c r="A308" s="310" t="str">
        <f t="shared" ref="A308" si="135">G308</f>
        <v>Cancelado</v>
      </c>
      <c r="B308" s="310">
        <f t="shared" ref="B308" si="136">IF(I308&lt;=-1,1,IF(I308&lt;=5,2,IF(I308&lt;=15,3,IF(H308&lt;=60,4))))</f>
        <v>3</v>
      </c>
      <c r="C308" s="325"/>
      <c r="D308" s="540" t="s">
        <v>895</v>
      </c>
      <c r="E308" s="350">
        <v>1039500</v>
      </c>
      <c r="F308" s="7">
        <v>46044</v>
      </c>
      <c r="G308" s="16" t="s">
        <v>20</v>
      </c>
      <c r="H308" s="16">
        <f>IF(OR(G308="Sin pagar",G308="Pagar"),NETWORKDAYS($J$114,F308,'Festivos Colombia'!$A$3:$A$22),0)</f>
        <v>0</v>
      </c>
      <c r="I308" s="16">
        <f>NETWORKDAYS($J$114,F308,'Festivos Colombia'!$A$3:$A$22)</f>
        <v>14</v>
      </c>
      <c r="J308" s="46">
        <f t="shared" ref="J308" si="137">H308</f>
        <v>0</v>
      </c>
      <c r="K308" s="312"/>
      <c r="L308" s="310"/>
      <c r="M308" s="313"/>
      <c r="N308" s="310"/>
      <c r="O308" s="310"/>
      <c r="P308" s="310"/>
      <c r="Q308" s="310"/>
      <c r="R308" s="310"/>
      <c r="S308" s="310"/>
      <c r="T308" s="310"/>
      <c r="U308" s="310"/>
      <c r="V308" s="310"/>
      <c r="W308" s="310"/>
      <c r="X308" s="310"/>
    </row>
    <row r="309" spans="1:24" s="16" customFormat="1" ht="15" customHeight="1" outlineLevel="1">
      <c r="A309" s="310" t="str">
        <f t="shared" ref="A309" si="138">G309</f>
        <v>Cancelado</v>
      </c>
      <c r="B309" s="310">
        <f t="shared" ref="B309" si="139">IF(I309&lt;=-1,1,IF(I309&lt;=5,2,IF(I309&lt;=15,3,IF(H309&lt;=60,4))))</f>
        <v>4</v>
      </c>
      <c r="C309" s="325"/>
      <c r="D309" s="543" t="s">
        <v>940</v>
      </c>
      <c r="E309" s="350">
        <v>10760100</v>
      </c>
      <c r="F309" s="353">
        <v>46048</v>
      </c>
      <c r="G309" s="16" t="s">
        <v>20</v>
      </c>
      <c r="H309" s="16">
        <f>IF(OR(G309="Sin pagar",G309="Pagar"),NETWORKDAYS($J$114,F309,'Festivos Colombia'!$A$3:$A$22),0)</f>
        <v>0</v>
      </c>
      <c r="I309" s="16">
        <f>NETWORKDAYS($J$114,F309,'Festivos Colombia'!$A$3:$A$22)</f>
        <v>16</v>
      </c>
      <c r="J309" s="46">
        <f t="shared" ref="J309" si="140">H309</f>
        <v>0</v>
      </c>
      <c r="K309" s="312"/>
      <c r="L309" s="310"/>
      <c r="M309" s="313"/>
      <c r="N309" s="310"/>
      <c r="O309" s="310"/>
      <c r="P309" s="310"/>
      <c r="Q309" s="310"/>
      <c r="R309" s="310"/>
      <c r="S309" s="310"/>
      <c r="T309" s="310"/>
      <c r="U309" s="310"/>
      <c r="V309" s="310"/>
      <c r="W309" s="310"/>
      <c r="X309" s="310"/>
    </row>
    <row r="310" spans="1:24" s="16" customFormat="1" ht="15" customHeight="1" outlineLevel="1">
      <c r="A310" s="310"/>
      <c r="B310" s="310"/>
      <c r="C310" s="325"/>
      <c r="D310" s="550" t="s">
        <v>949</v>
      </c>
      <c r="E310" s="350">
        <v>207900</v>
      </c>
      <c r="F310" s="353">
        <v>46049</v>
      </c>
      <c r="G310" s="16" t="s">
        <v>20</v>
      </c>
      <c r="J310" s="46"/>
      <c r="K310" s="312"/>
      <c r="L310" s="310"/>
      <c r="M310" s="313"/>
      <c r="N310" s="310"/>
      <c r="O310" s="310"/>
      <c r="P310" s="310"/>
      <c r="Q310" s="310"/>
      <c r="R310" s="310"/>
      <c r="S310" s="310"/>
      <c r="T310" s="310"/>
      <c r="U310" s="310"/>
      <c r="V310" s="310"/>
      <c r="W310" s="310"/>
      <c r="X310" s="310"/>
    </row>
    <row r="311" spans="1:24" s="16" customFormat="1" ht="15" customHeight="1" outlineLevel="1">
      <c r="A311" s="310" t="str">
        <f t="shared" ref="A311" si="141">G311</f>
        <v>Cancelado</v>
      </c>
      <c r="B311" s="310">
        <f t="shared" ref="B311" si="142">IF(I311&lt;=-1,1,IF(I311&lt;=5,2,IF(I311&lt;=15,3,IF(H311&lt;=60,4))))</f>
        <v>4</v>
      </c>
      <c r="C311" s="325" t="s">
        <v>1007</v>
      </c>
      <c r="D311" s="520" t="s">
        <v>819</v>
      </c>
      <c r="E311" s="350">
        <v>12100</v>
      </c>
      <c r="F311" s="7">
        <v>46050</v>
      </c>
      <c r="G311" s="16" t="s">
        <v>20</v>
      </c>
      <c r="H311" s="16">
        <f>IF(OR(G311="Sin pagar",G311="Pagar"),NETWORKDAYS($J$114,F311,'Festivos Colombia'!$A$3:$A$22),0)</f>
        <v>0</v>
      </c>
      <c r="I311" s="16">
        <f>NETWORKDAYS($J$114,F311,'Festivos Colombia'!$A$3:$A$22)</f>
        <v>18</v>
      </c>
      <c r="J311" s="46">
        <f t="shared" ref="J311" si="143">H311</f>
        <v>0</v>
      </c>
      <c r="K311" s="312"/>
      <c r="L311" s="310"/>
      <c r="M311" s="313"/>
      <c r="N311" s="310"/>
      <c r="O311" s="310"/>
      <c r="P311" s="310"/>
      <c r="Q311" s="310"/>
      <c r="R311" s="310"/>
      <c r="S311" s="310"/>
      <c r="T311" s="310"/>
      <c r="U311" s="310"/>
      <c r="V311" s="310"/>
      <c r="W311" s="310"/>
      <c r="X311" s="310"/>
    </row>
    <row r="312" spans="1:24" s="16" customFormat="1" ht="15.75" customHeight="1" outlineLevel="1" thickBot="1">
      <c r="A312" s="310" t="str">
        <f t="shared" ref="A312" si="144">G312</f>
        <v>Cancelado</v>
      </c>
      <c r="B312" s="310">
        <f t="shared" ref="B312" si="145">IF(I312&lt;=-1,1,IF(I312&lt;=5,2,IF(I312&lt;=15,3,IF(H312&lt;=60,4))))</f>
        <v>4</v>
      </c>
      <c r="C312" s="325" t="s">
        <v>1006</v>
      </c>
      <c r="D312" s="538" t="s">
        <v>894</v>
      </c>
      <c r="E312" s="350">
        <v>2040815</v>
      </c>
      <c r="F312" s="7">
        <v>46050</v>
      </c>
      <c r="G312" s="16" t="s">
        <v>20</v>
      </c>
      <c r="H312" s="16">
        <f>IF(OR(G312="Sin pagar",G312="Pagar"),NETWORKDAYS($J$114,F312,'Festivos Colombia'!$A$3:$A$22),0)</f>
        <v>0</v>
      </c>
      <c r="I312" s="16">
        <f>NETWORKDAYS($J$114,F312,'Festivos Colombia'!$A$3:$A$22)</f>
        <v>18</v>
      </c>
      <c r="J312" s="46">
        <f t="shared" ref="J312" si="146">H312</f>
        <v>0</v>
      </c>
      <c r="K312" s="312"/>
      <c r="L312" s="310"/>
      <c r="M312" s="313"/>
      <c r="N312" s="310"/>
      <c r="O312" s="310"/>
      <c r="P312" s="310"/>
      <c r="Q312" s="310"/>
      <c r="R312" s="310"/>
      <c r="S312" s="310"/>
      <c r="T312" s="310"/>
      <c r="U312" s="310"/>
      <c r="V312" s="310"/>
      <c r="W312" s="310"/>
      <c r="X312" s="310"/>
    </row>
    <row r="313" spans="1:24" s="16" customFormat="1" ht="14.25" customHeight="1">
      <c r="C313" s="24"/>
      <c r="D313" s="85" t="s">
        <v>73</v>
      </c>
      <c r="E313" s="360">
        <f>SUBTOTAL(9,E116:E312)</f>
        <v>2644604723.7284007</v>
      </c>
      <c r="L313" s="69"/>
      <c r="M313" s="69"/>
      <c r="N313" s="69"/>
      <c r="O313" s="69"/>
      <c r="S313" s="69"/>
      <c r="T313" s="69"/>
      <c r="U313" s="69"/>
    </row>
    <row r="314" spans="1:24" ht="15.75">
      <c r="B314" s="16"/>
      <c r="E314" s="346"/>
      <c r="F314" s="5"/>
      <c r="G314" s="5"/>
      <c r="H314" s="5"/>
      <c r="I314" s="5"/>
      <c r="J314" s="5"/>
      <c r="K314" s="5"/>
    </row>
    <row r="315" spans="1:24" ht="15.75">
      <c r="B315" s="16"/>
      <c r="D315" s="86" t="s">
        <v>74</v>
      </c>
      <c r="E315" s="4">
        <f>E111-E313</f>
        <v>62149996.556069851</v>
      </c>
      <c r="F315" s="87"/>
      <c r="G315" s="88"/>
      <c r="J315" s="88"/>
      <c r="K315" s="88"/>
    </row>
    <row r="316" spans="1:24" s="89" customFormat="1" ht="15.75">
      <c r="B316" s="16"/>
      <c r="C316" s="90"/>
      <c r="D316" s="86" t="s">
        <v>75</v>
      </c>
      <c r="E316" s="91">
        <f>IF($E$111=0,0,E315/$E$111)</f>
        <v>2.296107441517202E-2</v>
      </c>
      <c r="F316" s="92"/>
      <c r="G316" s="361"/>
      <c r="J316" s="93"/>
      <c r="K316" s="88"/>
      <c r="L316" s="69"/>
      <c r="M316" s="69"/>
      <c r="N316" s="69"/>
      <c r="O316" s="69"/>
      <c r="S316" s="69"/>
      <c r="T316" s="69"/>
      <c r="U316" s="69"/>
    </row>
    <row r="317" spans="1:24" ht="15.75" thickBot="1">
      <c r="B317" s="16"/>
      <c r="E317" s="346"/>
      <c r="F317" s="92"/>
      <c r="G317" s="361"/>
      <c r="K317" s="88"/>
    </row>
    <row r="318" spans="1:24" s="16" customFormat="1" ht="15.75" thickBot="1">
      <c r="A318" s="69"/>
      <c r="C318" s="70"/>
      <c r="D318" s="173" t="s">
        <v>76</v>
      </c>
      <c r="E318" s="174"/>
      <c r="F318" s="362"/>
      <c r="G318" s="69"/>
      <c r="H318" s="69"/>
      <c r="I318" s="69"/>
      <c r="J318" s="69"/>
      <c r="K318" s="69"/>
      <c r="L318" s="69"/>
      <c r="M318" s="69"/>
      <c r="N318" s="69"/>
      <c r="O318" s="69"/>
      <c r="P318" s="69"/>
      <c r="Q318" s="69"/>
      <c r="R318" s="69"/>
      <c r="S318" s="69"/>
      <c r="T318" s="69"/>
      <c r="U318" s="69"/>
      <c r="V318" s="69"/>
      <c r="W318" s="69"/>
      <c r="X318" s="69"/>
    </row>
    <row r="319" spans="1:24">
      <c r="B319" s="16"/>
      <c r="D319" s="143" t="s">
        <v>77</v>
      </c>
      <c r="E319" s="363" t="s">
        <v>78</v>
      </c>
      <c r="F319" s="88"/>
    </row>
    <row r="320" spans="1:24">
      <c r="B320" s="16"/>
      <c r="D320" s="364" t="s">
        <v>79</v>
      </c>
      <c r="E320" s="365" t="s">
        <v>80</v>
      </c>
      <c r="F320" s="88"/>
    </row>
    <row r="322" spans="4:14">
      <c r="D322" s="811"/>
      <c r="E322" s="812"/>
    </row>
    <row r="323" spans="4:14" ht="5.25" customHeight="1">
      <c r="D323" s="366"/>
      <c r="E323" s="346"/>
      <c r="K323" s="101"/>
    </row>
    <row r="324" spans="4:14">
      <c r="D324" s="547" t="s">
        <v>943</v>
      </c>
      <c r="E324" s="346">
        <v>0</v>
      </c>
      <c r="G324" s="88"/>
      <c r="K324" s="101"/>
    </row>
    <row r="325" spans="4:14" ht="15.75" thickBot="1">
      <c r="D325" s="366" t="s">
        <v>89</v>
      </c>
      <c r="E325" s="376">
        <f>(E324*4)/1000</f>
        <v>0</v>
      </c>
      <c r="G325" s="88"/>
      <c r="J325" s="340"/>
      <c r="K325" s="101"/>
    </row>
    <row r="326" spans="4:14" ht="15.75" thickTop="1">
      <c r="D326" s="94" t="s">
        <v>90</v>
      </c>
      <c r="E326" s="61">
        <f>E324+E325</f>
        <v>0</v>
      </c>
      <c r="G326" s="93"/>
      <c r="J326" s="61"/>
      <c r="K326" s="101"/>
    </row>
    <row r="327" spans="4:14">
      <c r="D327" s="94"/>
      <c r="E327" s="61"/>
      <c r="G327" s="88"/>
      <c r="J327" s="270"/>
      <c r="K327" s="101"/>
    </row>
    <row r="328" spans="4:14">
      <c r="D328" s="366"/>
      <c r="E328" s="346"/>
      <c r="F328" s="240"/>
      <c r="G328" s="88"/>
      <c r="K328" s="101"/>
    </row>
    <row r="329" spans="4:14">
      <c r="D329" s="571" t="s">
        <v>1044</v>
      </c>
      <c r="E329" s="346">
        <v>234217.08</v>
      </c>
      <c r="F329" s="346"/>
      <c r="G329" s="88"/>
      <c r="H329" s="240"/>
      <c r="I329" s="88"/>
      <c r="J329" s="240"/>
      <c r="K329" s="284"/>
      <c r="N329" s="362"/>
    </row>
    <row r="330" spans="4:14" ht="15.75" thickBot="1">
      <c r="D330" s="572" t="s">
        <v>1045</v>
      </c>
      <c r="E330" s="376">
        <f>63792408-1876629</f>
        <v>61915779</v>
      </c>
      <c r="F330" s="346"/>
      <c r="G330" s="88"/>
      <c r="H330" s="346"/>
      <c r="I330" s="346"/>
      <c r="J330" s="346"/>
      <c r="K330" s="376">
        <f>63792408+768453995+68008797</f>
        <v>900255200</v>
      </c>
      <c r="L330" s="346"/>
      <c r="M330" s="88"/>
      <c r="N330" s="362"/>
    </row>
    <row r="331" spans="4:14" ht="15.75" thickTop="1">
      <c r="D331" s="103" t="s">
        <v>81</v>
      </c>
      <c r="E331" s="93">
        <f>SUM(E329:E330)</f>
        <v>62149996.079999998</v>
      </c>
      <c r="F331" s="346"/>
      <c r="G331" s="88"/>
      <c r="H331" s="240"/>
      <c r="I331" s="88"/>
      <c r="J331" s="240"/>
      <c r="K331" s="101"/>
      <c r="N331" s="362"/>
    </row>
    <row r="332" spans="4:14" ht="9" customHeight="1">
      <c r="D332" s="367"/>
      <c r="E332" s="361"/>
      <c r="F332" s="346"/>
      <c r="K332" s="101"/>
      <c r="N332" s="362"/>
    </row>
    <row r="333" spans="4:14">
      <c r="D333" s="269" t="s">
        <v>91</v>
      </c>
      <c r="E333" s="270">
        <f>E331-E326</f>
        <v>62149996.079999998</v>
      </c>
      <c r="F333" s="346"/>
      <c r="G333" s="88"/>
      <c r="H333" s="277"/>
      <c r="I333" s="277"/>
      <c r="J333" s="277"/>
      <c r="K333" s="278"/>
    </row>
    <row r="334" spans="4:14">
      <c r="D334" s="269"/>
      <c r="E334" s="270"/>
      <c r="F334" s="346"/>
      <c r="G334" s="88"/>
      <c r="J334" s="276"/>
      <c r="K334" s="101"/>
    </row>
    <row r="335" spans="4:14">
      <c r="D335" s="811"/>
      <c r="E335" s="812"/>
    </row>
    <row r="336" spans="4:14">
      <c r="D336" s="573" t="s">
        <v>1046</v>
      </c>
      <c r="E336" s="314">
        <v>2616.5500000000002</v>
      </c>
    </row>
    <row r="337" spans="3:13">
      <c r="D337" s="573" t="s">
        <v>1047</v>
      </c>
      <c r="E337" s="315">
        <v>30835916.760000002</v>
      </c>
      <c r="F337" s="369">
        <f>E337/505</f>
        <v>61061.221306930696</v>
      </c>
      <c r="G337" s="175">
        <f>F337+E338</f>
        <v>88518.158348051191</v>
      </c>
    </row>
    <row r="338" spans="3:13">
      <c r="C338" s="69"/>
      <c r="D338" s="573" t="s">
        <v>1048</v>
      </c>
      <c r="E338" s="314">
        <v>27456.937041120487</v>
      </c>
    </row>
    <row r="339" spans="3:13">
      <c r="C339" s="69"/>
      <c r="D339" s="574" t="s">
        <v>1049</v>
      </c>
      <c r="E339" s="315">
        <v>648684.92000000004</v>
      </c>
      <c r="F339" s="370">
        <f>E339/7.46</f>
        <v>86955.083109919578</v>
      </c>
      <c r="G339" s="175">
        <f>F339+E340</f>
        <v>88421.43310991957</v>
      </c>
      <c r="L339" s="372"/>
      <c r="M339" s="372"/>
    </row>
    <row r="340" spans="3:13">
      <c r="C340" s="69"/>
      <c r="D340" s="574" t="s">
        <v>1050</v>
      </c>
      <c r="E340" s="314">
        <v>1466.3499999999985</v>
      </c>
    </row>
    <row r="341" spans="3:13">
      <c r="C341" s="69"/>
      <c r="D341" s="574" t="s">
        <v>1051</v>
      </c>
      <c r="E341" s="316">
        <v>189294.65537186328</v>
      </c>
      <c r="F341" s="377">
        <f>E341/3.31</f>
        <v>57188.71763500401</v>
      </c>
      <c r="G341" s="175">
        <f>F341+E342+F343+E344</f>
        <v>57804.238148599179</v>
      </c>
      <c r="K341" s="329">
        <f>+J341-E341</f>
        <v>-189294.65537186328</v>
      </c>
      <c r="L341" s="329"/>
    </row>
    <row r="342" spans="3:13">
      <c r="C342" s="69"/>
      <c r="D342" s="574" t="s">
        <v>1052</v>
      </c>
      <c r="E342" s="314">
        <v>131.65</v>
      </c>
      <c r="F342" s="368"/>
      <c r="G342" s="341"/>
      <c r="J342" s="328"/>
    </row>
    <row r="343" spans="3:13">
      <c r="C343" s="69"/>
      <c r="D343" s="574" t="s">
        <v>1053</v>
      </c>
      <c r="E343" s="316">
        <v>1532.2999999999929</v>
      </c>
      <c r="F343" s="377">
        <f>E343/3.31</f>
        <v>462.93051359516403</v>
      </c>
      <c r="G343" s="341"/>
      <c r="J343" s="328"/>
    </row>
    <row r="344" spans="3:13">
      <c r="C344" s="69"/>
      <c r="D344" s="574" t="s">
        <v>1054</v>
      </c>
      <c r="E344" s="314">
        <v>20.940000000000062</v>
      </c>
      <c r="J344" s="328"/>
    </row>
    <row r="345" spans="3:13">
      <c r="C345" s="69"/>
      <c r="D345" s="574" t="s">
        <v>1055</v>
      </c>
      <c r="E345" s="331">
        <v>1986751.54</v>
      </c>
      <c r="F345" s="297"/>
      <c r="G345" s="171"/>
    </row>
    <row r="346" spans="3:13">
      <c r="C346" s="69"/>
      <c r="D346" s="499"/>
      <c r="E346" s="371"/>
      <c r="F346" s="371"/>
      <c r="G346" s="171"/>
    </row>
    <row r="347" spans="3:13" ht="16.5" customHeight="1">
      <c r="C347" s="69"/>
      <c r="D347" s="575" t="s">
        <v>1056</v>
      </c>
      <c r="E347" s="315">
        <v>51472.959999999999</v>
      </c>
      <c r="F347" s="119" t="s">
        <v>82</v>
      </c>
      <c r="J347" s="368"/>
      <c r="K347" s="170"/>
    </row>
    <row r="348" spans="3:13">
      <c r="C348" s="69"/>
      <c r="D348" s="243"/>
      <c r="E348" s="371"/>
      <c r="F348" s="371"/>
      <c r="G348" s="171"/>
    </row>
    <row r="350" spans="3:13">
      <c r="D350" s="366" t="s">
        <v>2</v>
      </c>
      <c r="E350" s="346">
        <v>13</v>
      </c>
    </row>
    <row r="351" spans="3:13">
      <c r="D351" s="366" t="s">
        <v>158</v>
      </c>
      <c r="E351" s="346">
        <v>17</v>
      </c>
    </row>
    <row r="352" spans="3:13">
      <c r="D352" s="366"/>
      <c r="E352" s="378"/>
    </row>
  </sheetData>
  <protectedRanges>
    <protectedRange sqref="E317 F111:G111 J57 E36:F36 E27:F27 E44:E49 F35 J72:J77 E53:E55 L230 E32:E35 J92:J93 E5:F14 E30 L232 E230:E232 E20:E26 E37:E41 E42:F43" name="Presupuestos"/>
    <protectedRange sqref="E115" name="Presupuestos_1"/>
    <protectedRange sqref="E28:E29 E31:F31" name="Presupuestos_4"/>
    <protectedRange sqref="K133" name="Presupuestos_1_1_1_1"/>
    <protectedRange sqref="K274:K277" name="Presupuestos_2_1"/>
    <protectedRange sqref="K225" name="Presupuestos_7"/>
    <protectedRange sqref="E125:E127" name="Presupuestos_10"/>
    <protectedRange sqref="E142 E134:E135 E201 E203 E216 E218:E219 E222 E144:E152" name="Presupuestos_13_1"/>
    <protectedRange sqref="E154:E155" name="Presupuestos_14"/>
    <protectedRange sqref="E157:E161" name="Presupuestos_2_3"/>
    <protectedRange sqref="E220:E221 E207 E204:E205 E137:E141 E217 E211" name="Presupuestos_16_1"/>
    <protectedRange sqref="E208 E213:E215" name="Presupuestos_5_1_2"/>
    <protectedRange sqref="E234:E243" name="Presupuestos_18"/>
    <protectedRange sqref="E246:E252" name="Presupuestos_20"/>
    <protectedRange sqref="E274:E277" name="Presupuestos_5_2_1"/>
    <protectedRange sqref="E119" name="Presupuestos_6_2"/>
    <protectedRange sqref="E212" name="Presupuestos_5_3_1"/>
    <protectedRange sqref="E225" name="Presupuestos_7_1_1"/>
    <protectedRange sqref="J35" name="Presupuestos_2"/>
    <protectedRange sqref="E172:E175 E177:E181" name="Presupuestos_15_1"/>
    <protectedRange sqref="E183:E193" name="Presupuestos_15_3"/>
    <protectedRange sqref="E202 E223" name="Presupuestos_5_3_1_1"/>
    <protectedRange sqref="E244" name="Presupuestos_18_1"/>
    <protectedRange sqref="E206" name="Presupuestos_16_1_2"/>
    <protectedRange sqref="E209:E210" name="Presupuestos_16_1_3"/>
    <protectedRange sqref="E143" name="Presupuestos_13_1_1"/>
    <protectedRange sqref="E136" name="Presupuestos_13_1_2"/>
  </protectedRanges>
  <autoFilter ref="C115:K312" xr:uid="{00000000-0009-0000-0000-000002000000}"/>
  <mergeCells count="2">
    <mergeCell ref="D322:E322"/>
    <mergeCell ref="D335:E335"/>
  </mergeCells>
  <conditionalFormatting sqref="J1:J15 J20:J135 J325:J1048576 J137:J321">
    <cfRule type="cellIs" dxfId="114" priority="32" operator="between">
      <formula>1</formula>
      <formula>5</formula>
    </cfRule>
    <cfRule type="cellIs" dxfId="113" priority="33" operator="between">
      <formula>16</formula>
      <formula>60</formula>
    </cfRule>
  </conditionalFormatting>
  <conditionalFormatting sqref="J1:J15 J325:J1048576 J20:J321">
    <cfRule type="cellIs" dxfId="112" priority="21" operator="lessThan">
      <formula>0</formula>
    </cfRule>
  </conditionalFormatting>
  <conditionalFormatting sqref="J20:J135 J1:J15 J325:J1048576 J137:J321">
    <cfRule type="cellIs" dxfId="111" priority="31" operator="between">
      <formula>6</formula>
      <formula>15</formula>
    </cfRule>
  </conditionalFormatting>
  <conditionalFormatting sqref="J117:J121 J123 J134:J152 J154:J155 J163:J167 J169:J170 J172:J175 J177:J181 J195:J199 J230:J232 J246:J252 J282:J294">
    <cfRule type="cellIs" dxfId="110" priority="29" operator="between">
      <formula>1</formula>
      <formula>5</formula>
    </cfRule>
    <cfRule type="cellIs" dxfId="109" priority="30" operator="between">
      <formula>16</formula>
      <formula>60</formula>
    </cfRule>
  </conditionalFormatting>
  <conditionalFormatting sqref="J125:J127">
    <cfRule type="cellIs" dxfId="108" priority="8" operator="between">
      <formula>6</formula>
      <formula>15</formula>
    </cfRule>
    <cfRule type="cellIs" dxfId="107" priority="9" operator="between">
      <formula>1</formula>
      <formula>5</formula>
    </cfRule>
    <cfRule type="cellIs" dxfId="106" priority="10" operator="between">
      <formula>16</formula>
      <formula>60</formula>
    </cfRule>
  </conditionalFormatting>
  <conditionalFormatting sqref="J134:J152 J117:J121 J123 J154:J155 J163:J167 J169:J170 J172:J175 J177:J181 J195:J199 J230:J232 J246:J252 J282:J294">
    <cfRule type="cellIs" dxfId="105" priority="28" operator="between">
      <formula>6</formula>
      <formula>15</formula>
    </cfRule>
  </conditionalFormatting>
  <conditionalFormatting sqref="J136">
    <cfRule type="cellIs" dxfId="104" priority="2" operator="between">
      <formula>6</formula>
      <formula>15</formula>
    </cfRule>
    <cfRule type="cellIs" dxfId="103" priority="3" operator="between">
      <formula>1</formula>
      <formula>5</formula>
    </cfRule>
    <cfRule type="cellIs" dxfId="102" priority="4" operator="between">
      <formula>16</formula>
      <formula>60</formula>
    </cfRule>
  </conditionalFormatting>
  <conditionalFormatting sqref="J225">
    <cfRule type="cellIs" dxfId="101" priority="25" operator="between">
      <formula>6</formula>
      <formula>15</formula>
    </cfRule>
    <cfRule type="cellIs" dxfId="100" priority="26" operator="between">
      <formula>1</formula>
      <formula>5</formula>
    </cfRule>
    <cfRule type="cellIs" dxfId="99" priority="27" operator="between">
      <formula>16</formula>
      <formula>60</formula>
    </cfRule>
  </conditionalFormatting>
  <conditionalFormatting sqref="J227:J228">
    <cfRule type="cellIs" dxfId="98" priority="22" operator="between">
      <formula>6</formula>
      <formula>15</formula>
    </cfRule>
    <cfRule type="cellIs" dxfId="97" priority="23" operator="between">
      <formula>1</formula>
      <formula>5</formula>
    </cfRule>
    <cfRule type="cellIs" dxfId="96" priority="24" operator="between">
      <formula>16</formula>
      <formula>60</formula>
    </cfRule>
  </conditionalFormatting>
  <dataValidations count="5">
    <dataValidation type="list" allowBlank="1" showInputMessage="1" showErrorMessage="1" sqref="F53 F55" xr:uid="{3D7938A0-7359-41D6-9582-851CEDC7D2D3}">
      <formula1>"10%,15%,20%,21%,22%,23%,24%,25%,26%,27%,28%,29%,30%,35%,40%,50%,100%"</formula1>
    </dataValidation>
    <dataValidation type="list" allowBlank="1" showInputMessage="1" showErrorMessage="1" sqref="G318:G320 G225 G296:G312 G282:G294 G154:G155 G129:G132 G169:G175 G234:G244 G246:G252 G230:G232 G125:G127 G157:G161 G227:G228 G117:G123 G177:G199 G163:G167 G134:G152 G201:G223 G254:G280" xr:uid="{5B9E840B-4CC5-49DA-A127-DD5B403CEB29}">
      <formula1>"Cancelado,Pagar,Sin Pagar"</formula1>
    </dataValidation>
    <dataValidation type="list" allowBlank="1" showInputMessage="1" showErrorMessage="1" sqref="E114" xr:uid="{A46E2278-603B-4519-A939-3F24E9606E7D}">
      <formula1>"ENERO,FEBRERO,MARZO,ABRIL,MAYO,JUNIO,JULIO,AGOSTO,SEPTIEMBRE,OCTUBRE,NOVIEMBRE,DICIEMBRE"</formula1>
    </dataValidation>
    <dataValidation type="list" allowBlank="1" showInputMessage="1" showErrorMessage="1" sqref="F56" xr:uid="{BC012A1B-E1A7-4A46-981C-0F9BA5647680}">
      <formula1>"25%,50%,75%,80%,90%,95%,100%"</formula1>
    </dataValidation>
    <dataValidation type="list" allowBlank="1" showInputMessage="1" showErrorMessage="1" sqref="C57:C110 C16:C55" xr:uid="{96F0D616-D937-44C4-943F-05CBF3D307CD}">
      <formula1>"Pagado, Sin Pagar"</formula1>
    </dataValidation>
  </dataValidations>
  <pageMargins left="0.7" right="0.7" top="0.75" bottom="0.75" header="0.3" footer="0.3"/>
  <pageSetup paperSize="9" orientation="portrait" r:id="rId1"/>
  <ignoredErrors>
    <ignoredError sqref="J122:J128 H295:I301 J130:J132 H122:I132 H151:I151 H233:I237 H200:I211 H303:I303 H133:J139 H281:I284 H253:I254 H176:I178 H257:I257 H244:I250 G50:G87 G109:G110 G90:G104 H194:I195 H182:I183 H274:I275 H142:I147 J151:J152 H217:I218 H158:J158 H153:J156 J157 J281:J315 H224:I231 H117:J120 J140:J149 H149:I149 J215 J270:J277 H162:I174 J159:J180 J217:J269 J182:J213" unlocked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4DBE-9CED-47AE-A2B0-C05CE9DF2ED0}">
  <sheetPr codeName="Hoja4"/>
  <dimension ref="A1:X381"/>
  <sheetViews>
    <sheetView showGridLines="0" topLeftCell="C235" zoomScaleNormal="100" workbookViewId="0">
      <selection activeCell="J321" sqref="J321:J327"/>
      <extLst>
        <ext xmlns:xlsdti="http://schemas.microsoft.com/office/spreadsheetml/2023/showDataTypeIcons" uri="{77bfe23e-c014-4d31-8a63-9c772dbf06b6}">
          <xlsdti:showDataTypeIcons visible="0"/>
        </ext>
      </extLst>
    </sheetView>
  </sheetViews>
  <sheetFormatPr baseColWidth="10" defaultColWidth="11.42578125" defaultRowHeight="15" outlineLevelRow="1"/>
  <cols>
    <col min="1" max="1" width="10.140625" style="69" hidden="1" customWidth="1"/>
    <col min="2" max="2" width="6.5703125" style="69" hidden="1" customWidth="1"/>
    <col min="3" max="3" width="18.140625" style="70" customWidth="1"/>
    <col min="4" max="4" width="81.42578125" style="69" customWidth="1"/>
    <col min="5" max="5" width="24.42578125" style="71" customWidth="1"/>
    <col min="6" max="6" width="24.7109375" style="69" customWidth="1"/>
    <col min="7" max="7" width="14.7109375" style="69" customWidth="1"/>
    <col min="8" max="9" width="9.42578125" style="69" hidden="1" customWidth="1"/>
    <col min="10" max="10" width="15.85546875" style="69" customWidth="1"/>
    <col min="11" max="11" width="19.5703125" style="69" customWidth="1"/>
    <col min="12" max="12" width="21.5703125" style="69" bestFit="1" customWidth="1"/>
    <col min="13" max="13" width="15.7109375" style="69" customWidth="1"/>
    <col min="14" max="14" width="13.85546875" style="69" bestFit="1" customWidth="1"/>
    <col min="15" max="17" width="15.85546875" style="69" customWidth="1"/>
    <col min="18" max="18" width="14.5703125" style="69" bestFit="1" customWidth="1"/>
    <col min="19" max="19" width="13.140625" style="69" bestFit="1" customWidth="1"/>
    <col min="20" max="20" width="26.140625" style="69" customWidth="1"/>
    <col min="21" max="21" width="19.28515625" style="69" bestFit="1" customWidth="1"/>
    <col min="22" max="22" width="15.28515625" style="69" bestFit="1" customWidth="1"/>
    <col min="23" max="23" width="14" style="69" bestFit="1" customWidth="1"/>
    <col min="24" max="24" width="13" style="69" bestFit="1" customWidth="1"/>
    <col min="25" max="16384" width="11.42578125" style="69"/>
  </cols>
  <sheetData>
    <row r="1" spans="1:11" ht="15" hidden="1" customHeight="1">
      <c r="E1" s="346">
        <v>42400</v>
      </c>
    </row>
    <row r="2" spans="1:11">
      <c r="E2" s="23"/>
      <c r="I2" s="16">
        <v>1</v>
      </c>
    </row>
    <row r="3" spans="1:11">
      <c r="E3" s="23"/>
      <c r="I3" s="16">
        <v>2</v>
      </c>
    </row>
    <row r="4" spans="1:11" s="21" customFormat="1" ht="15.75">
      <c r="D4" s="20" t="s">
        <v>1</v>
      </c>
      <c r="E4" s="19">
        <f>SUBTOTAL(9,E5:E12)</f>
        <v>922776679.82000005</v>
      </c>
      <c r="F4" s="22"/>
      <c r="I4" s="16">
        <v>3</v>
      </c>
    </row>
    <row r="5" spans="1:11" s="16" customFormat="1" outlineLevel="1">
      <c r="C5" s="24"/>
      <c r="D5" s="9" t="s">
        <v>2</v>
      </c>
      <c r="E5" s="350">
        <f>ENERO!E329+900255200.74</f>
        <v>900489417.82000005</v>
      </c>
      <c r="F5" s="350"/>
      <c r="G5" s="350"/>
      <c r="I5" s="16">
        <v>4</v>
      </c>
    </row>
    <row r="6" spans="1:11" s="16" customFormat="1" outlineLevel="1">
      <c r="C6" s="232" t="s">
        <v>4</v>
      </c>
      <c r="D6" s="231" t="s">
        <v>1193</v>
      </c>
      <c r="E6" s="348">
        <v>2670000</v>
      </c>
      <c r="F6" s="350"/>
      <c r="G6" s="350"/>
    </row>
    <row r="7" spans="1:11" s="16" customFormat="1" outlineLevel="1">
      <c r="C7" s="232" t="s">
        <v>4</v>
      </c>
      <c r="D7" s="577" t="s">
        <v>1088</v>
      </c>
      <c r="E7" s="348">
        <v>7200000</v>
      </c>
      <c r="F7" s="350"/>
      <c r="G7" s="350"/>
      <c r="I7" s="16">
        <v>4</v>
      </c>
    </row>
    <row r="8" spans="1:11" s="16" customFormat="1" outlineLevel="1">
      <c r="C8" s="232" t="s">
        <v>4</v>
      </c>
      <c r="D8" s="649" t="s">
        <v>1239</v>
      </c>
      <c r="E8" s="348">
        <v>539025</v>
      </c>
      <c r="F8" s="350"/>
      <c r="G8" s="350"/>
    </row>
    <row r="9" spans="1:11" s="16" customFormat="1" outlineLevel="1">
      <c r="C9" s="232" t="s">
        <v>4</v>
      </c>
      <c r="D9" s="649" t="s">
        <v>1240</v>
      </c>
      <c r="E9" s="348">
        <v>10920122</v>
      </c>
      <c r="F9" s="350"/>
      <c r="G9" s="350"/>
    </row>
    <row r="10" spans="1:11" s="16" customFormat="1" outlineLevel="1">
      <c r="C10" s="232" t="s">
        <v>4</v>
      </c>
      <c r="D10" s="673" t="s">
        <v>1347</v>
      </c>
      <c r="E10" s="348">
        <v>432545</v>
      </c>
      <c r="F10" s="350"/>
      <c r="G10" s="350"/>
    </row>
    <row r="11" spans="1:11" s="16" customFormat="1" outlineLevel="1">
      <c r="C11" s="232" t="s">
        <v>4</v>
      </c>
      <c r="D11" s="679" t="s">
        <v>1360</v>
      </c>
      <c r="E11" s="348">
        <v>525570</v>
      </c>
      <c r="F11" s="350"/>
      <c r="G11" s="350"/>
    </row>
    <row r="12" spans="1:11" s="16" customFormat="1" outlineLevel="1">
      <c r="C12" s="232" t="s">
        <v>4</v>
      </c>
      <c r="D12" s="679" t="s">
        <v>1361</v>
      </c>
      <c r="E12" s="348"/>
      <c r="F12" s="350"/>
      <c r="G12" s="350"/>
    </row>
    <row r="13" spans="1:11" s="16" customFormat="1" ht="15.75">
      <c r="C13" s="24"/>
      <c r="D13" s="20" t="s">
        <v>3</v>
      </c>
      <c r="E13" s="19">
        <f>SUBTOTAL(9,E14:E52)</f>
        <v>632068836.96399999</v>
      </c>
      <c r="F13" s="99"/>
    </row>
    <row r="14" spans="1:11" s="16" customFormat="1" ht="14.25" customHeight="1" outlineLevel="1">
      <c r="A14" s="24"/>
      <c r="B14" s="347"/>
      <c r="C14" s="350" t="s">
        <v>5</v>
      </c>
      <c r="D14" s="579" t="s">
        <v>1068</v>
      </c>
      <c r="E14" s="580">
        <f>1572392.28307*0</f>
        <v>0</v>
      </c>
      <c r="F14" s="241"/>
      <c r="G14" s="25"/>
      <c r="J14" s="25"/>
      <c r="K14" s="25"/>
    </row>
    <row r="15" spans="1:11" s="16" customFormat="1" ht="14.25" customHeight="1" outlineLevel="1">
      <c r="A15" s="24"/>
      <c r="B15" s="347"/>
      <c r="C15" s="348" t="s">
        <v>4</v>
      </c>
      <c r="D15" s="568" t="s">
        <v>1030</v>
      </c>
      <c r="E15" s="232">
        <f>34362712.65</f>
        <v>34362712.649999999</v>
      </c>
      <c r="F15" s="8"/>
      <c r="G15" s="25"/>
      <c r="J15" s="25"/>
      <c r="K15" s="25"/>
    </row>
    <row r="16" spans="1:11" s="16" customFormat="1" ht="14.25" customHeight="1" outlineLevel="1">
      <c r="A16" s="24"/>
      <c r="B16" s="347"/>
      <c r="C16" s="348" t="s">
        <v>4</v>
      </c>
      <c r="D16" s="568" t="s">
        <v>1031</v>
      </c>
      <c r="E16" s="232">
        <f>2104000</f>
        <v>2104000</v>
      </c>
      <c r="F16" s="8"/>
      <c r="G16" s="25"/>
      <c r="J16" s="25"/>
      <c r="K16" s="25"/>
    </row>
    <row r="17" spans="3:11" s="16" customFormat="1" outlineLevel="1">
      <c r="C17" s="232" t="s">
        <v>4</v>
      </c>
      <c r="D17" s="231" t="s">
        <v>1069</v>
      </c>
      <c r="E17" s="232">
        <v>2629357.62</v>
      </c>
      <c r="F17" s="8"/>
      <c r="G17" s="25"/>
      <c r="K17" s="25"/>
    </row>
    <row r="18" spans="3:11" s="16" customFormat="1" outlineLevel="1">
      <c r="C18" s="232" t="s">
        <v>4</v>
      </c>
      <c r="D18" s="231" t="s">
        <v>1279</v>
      </c>
      <c r="E18" s="680">
        <v>6766084.2000000002</v>
      </c>
      <c r="F18" s="8"/>
      <c r="G18" s="25"/>
      <c r="K18" s="25"/>
    </row>
    <row r="19" spans="3:11" s="16" customFormat="1" outlineLevel="1">
      <c r="C19" s="232" t="s">
        <v>4</v>
      </c>
      <c r="D19" s="231" t="s">
        <v>1074</v>
      </c>
      <c r="E19" s="232">
        <v>318616.52</v>
      </c>
      <c r="F19" s="8"/>
      <c r="G19" s="25"/>
      <c r="K19" s="25"/>
    </row>
    <row r="20" spans="3:11" s="16" customFormat="1" outlineLevel="1">
      <c r="C20" s="232" t="s">
        <v>4</v>
      </c>
      <c r="D20" s="231" t="s">
        <v>1345</v>
      </c>
      <c r="E20" s="232">
        <f>190536</f>
        <v>190536</v>
      </c>
      <c r="F20" s="8"/>
      <c r="G20" s="25"/>
      <c r="K20" s="25"/>
    </row>
    <row r="21" spans="3:11" s="16" customFormat="1" outlineLevel="1">
      <c r="C21" s="348" t="s">
        <v>4</v>
      </c>
      <c r="D21" s="673" t="s">
        <v>1348</v>
      </c>
      <c r="E21" s="232">
        <v>3808077</v>
      </c>
      <c r="F21" s="8"/>
      <c r="G21" s="25"/>
      <c r="K21" s="25"/>
    </row>
    <row r="22" spans="3:11" s="16" customFormat="1" outlineLevel="1">
      <c r="C22" s="348" t="s">
        <v>4</v>
      </c>
      <c r="D22" s="619" t="s">
        <v>1140</v>
      </c>
      <c r="E22" s="232">
        <v>39020833.800000004</v>
      </c>
      <c r="F22" s="8">
        <v>41322268.200599998</v>
      </c>
      <c r="G22" s="25">
        <f>(E22-F22)</f>
        <v>-2301434.4005999938</v>
      </c>
      <c r="K22" s="25"/>
    </row>
    <row r="23" spans="3:11" s="16" customFormat="1" outlineLevel="1">
      <c r="C23" s="348" t="s">
        <v>4</v>
      </c>
      <c r="D23" s="619" t="s">
        <v>1141</v>
      </c>
      <c r="E23" s="232">
        <v>14229201.600000001</v>
      </c>
      <c r="F23" s="8">
        <v>14859057.597600002</v>
      </c>
      <c r="G23" s="25">
        <f t="shared" ref="G23:G29" si="0">(E23-F23)</f>
        <v>-629855.99760000035</v>
      </c>
      <c r="K23" s="25"/>
    </row>
    <row r="24" spans="3:11" s="16" customFormat="1" ht="45" outlineLevel="1">
      <c r="C24" s="348" t="s">
        <v>4</v>
      </c>
      <c r="D24" s="619" t="s">
        <v>1142</v>
      </c>
      <c r="E24" s="232">
        <v>137942032.80000001</v>
      </c>
      <c r="F24" s="8">
        <v>146188672.03712001</v>
      </c>
      <c r="G24" s="25">
        <f t="shared" si="0"/>
        <v>-8246639.2371200025</v>
      </c>
      <c r="K24" s="25"/>
    </row>
    <row r="25" spans="3:11" s="16" customFormat="1" ht="30" outlineLevel="1">
      <c r="C25" s="348" t="s">
        <v>4</v>
      </c>
      <c r="D25" s="619" t="s">
        <v>1143</v>
      </c>
      <c r="E25" s="232">
        <v>105848993.40000001</v>
      </c>
      <c r="F25" s="8">
        <v>112132374.73936</v>
      </c>
      <c r="G25" s="25">
        <f t="shared" si="0"/>
        <v>-6283381.3393599987</v>
      </c>
      <c r="K25" s="25">
        <f>E19+E33+E39+E40</f>
        <v>35007674.520000003</v>
      </c>
    </row>
    <row r="26" spans="3:11" s="16" customFormat="1" outlineLevel="1">
      <c r="C26" s="348" t="s">
        <v>4</v>
      </c>
      <c r="D26" s="619" t="s">
        <v>1144</v>
      </c>
      <c r="E26" s="232">
        <v>7843526.3999999994</v>
      </c>
      <c r="F26" s="8">
        <v>7981254.6887999997</v>
      </c>
      <c r="G26" s="25">
        <f t="shared" si="0"/>
        <v>-137728.28880000021</v>
      </c>
      <c r="K26" s="25"/>
    </row>
    <row r="27" spans="3:11" s="16" customFormat="1" outlineLevel="1">
      <c r="C27" s="348" t="s">
        <v>4</v>
      </c>
      <c r="D27" s="619" t="s">
        <v>1145</v>
      </c>
      <c r="E27" s="232">
        <v>2747269.2</v>
      </c>
      <c r="F27" s="8">
        <v>2782525.8213999998</v>
      </c>
      <c r="G27" s="25">
        <f t="shared" si="0"/>
        <v>-35256.621399999596</v>
      </c>
      <c r="K27" s="25"/>
    </row>
    <row r="28" spans="3:11" s="16" customFormat="1" outlineLevel="1">
      <c r="C28" s="348" t="s">
        <v>4</v>
      </c>
      <c r="D28" s="641" t="s">
        <v>1218</v>
      </c>
      <c r="E28" s="232">
        <v>13980796.399999999</v>
      </c>
      <c r="F28" s="8">
        <v>14014539.410400001</v>
      </c>
      <c r="G28" s="25">
        <f t="shared" si="0"/>
        <v>-33743.010400002822</v>
      </c>
      <c r="K28" s="25"/>
    </row>
    <row r="29" spans="3:11" s="16" customFormat="1" outlineLevel="1">
      <c r="C29" s="348" t="s">
        <v>4</v>
      </c>
      <c r="D29" s="641" t="s">
        <v>1220</v>
      </c>
      <c r="E29" s="232">
        <v>31640803.584000003</v>
      </c>
      <c r="F29" s="8">
        <v>31747484.944800004</v>
      </c>
      <c r="G29" s="25">
        <f t="shared" si="0"/>
        <v>-106681.36080000177</v>
      </c>
      <c r="K29" s="25"/>
    </row>
    <row r="30" spans="3:11" s="16" customFormat="1" outlineLevel="1">
      <c r="C30" s="350" t="s">
        <v>5</v>
      </c>
      <c r="D30" s="9" t="s">
        <v>109</v>
      </c>
      <c r="E30" s="8">
        <f>7528323*0</f>
        <v>0</v>
      </c>
      <c r="F30" s="349"/>
      <c r="G30" s="137"/>
      <c r="K30" s="25"/>
    </row>
    <row r="31" spans="3:11" s="16" customFormat="1" outlineLevel="1">
      <c r="C31" s="350" t="s">
        <v>5</v>
      </c>
      <c r="D31" s="9" t="s">
        <v>1070</v>
      </c>
      <c r="E31" s="8">
        <f>5391183.76*0</f>
        <v>0</v>
      </c>
      <c r="F31" s="136"/>
      <c r="G31" s="25"/>
      <c r="K31" s="25"/>
    </row>
    <row r="32" spans="3:11" s="16" customFormat="1" outlineLevel="1">
      <c r="C32" s="350" t="s">
        <v>5</v>
      </c>
      <c r="D32" s="9" t="s">
        <v>778</v>
      </c>
      <c r="E32" s="8">
        <f>23310882*0</f>
        <v>0</v>
      </c>
      <c r="F32" s="136"/>
      <c r="G32" s="25"/>
      <c r="K32" s="25"/>
    </row>
    <row r="33" spans="3:11" s="16" customFormat="1" outlineLevel="1">
      <c r="C33" s="232" t="s">
        <v>4</v>
      </c>
      <c r="D33" s="231" t="s">
        <v>1194</v>
      </c>
      <c r="E33" s="232">
        <v>1276724</v>
      </c>
      <c r="F33" s="97"/>
      <c r="K33" s="25"/>
    </row>
    <row r="34" spans="3:11" s="16" customFormat="1" outlineLevel="1">
      <c r="C34" s="348" t="s">
        <v>4</v>
      </c>
      <c r="D34" s="231" t="s">
        <v>1264</v>
      </c>
      <c r="E34" s="232">
        <v>1359917.21</v>
      </c>
      <c r="F34" s="169"/>
      <c r="K34" s="25"/>
    </row>
    <row r="35" spans="3:11" s="16" customFormat="1" outlineLevel="1">
      <c r="C35" s="232" t="s">
        <v>4</v>
      </c>
      <c r="D35" s="231" t="s">
        <v>1071</v>
      </c>
      <c r="E35" s="232">
        <v>20139313.66</v>
      </c>
      <c r="F35" s="241"/>
      <c r="G35" s="25"/>
      <c r="K35" s="25"/>
    </row>
    <row r="36" spans="3:11" s="16" customFormat="1" ht="14.25" customHeight="1" outlineLevel="1">
      <c r="C36" s="348" t="s">
        <v>4</v>
      </c>
      <c r="D36" s="619" t="s">
        <v>1146</v>
      </c>
      <c r="E36" s="620">
        <v>14472628.199999999</v>
      </c>
      <c r="F36" s="333">
        <v>15456075.346799999</v>
      </c>
      <c r="G36" s="25">
        <f t="shared" ref="G36:G37" si="1">(E36-F36)</f>
        <v>-983447.14680000022</v>
      </c>
      <c r="J36" s="241"/>
      <c r="K36" s="25"/>
    </row>
    <row r="37" spans="3:11" s="16" customFormat="1" ht="14.25" customHeight="1" outlineLevel="1">
      <c r="C37" s="348" t="s">
        <v>4</v>
      </c>
      <c r="D37" s="619" t="s">
        <v>1147</v>
      </c>
      <c r="E37" s="620">
        <v>2543700</v>
      </c>
      <c r="F37" s="539">
        <v>2739268</v>
      </c>
      <c r="G37" s="25">
        <f t="shared" si="1"/>
        <v>-195568</v>
      </c>
      <c r="J37" s="241"/>
      <c r="K37" s="25"/>
    </row>
    <row r="38" spans="3:11" s="16" customFormat="1" outlineLevel="1">
      <c r="C38" s="348" t="s">
        <v>4</v>
      </c>
      <c r="D38" s="231" t="s">
        <v>1346</v>
      </c>
      <c r="E38" s="232">
        <v>1200756</v>
      </c>
      <c r="F38" s="172"/>
      <c r="I38" s="16">
        <v>4</v>
      </c>
      <c r="K38" s="25"/>
    </row>
    <row r="39" spans="3:11" s="16" customFormat="1" outlineLevel="1">
      <c r="C39" s="232" t="s">
        <v>4</v>
      </c>
      <c r="D39" s="231" t="s">
        <v>1195</v>
      </c>
      <c r="E39" s="232">
        <v>1088426</v>
      </c>
      <c r="F39" s="97"/>
      <c r="K39" s="25"/>
    </row>
    <row r="40" spans="3:11" s="16" customFormat="1" outlineLevel="1">
      <c r="C40" s="232" t="s">
        <v>4</v>
      </c>
      <c r="D40" s="231" t="s">
        <v>1187</v>
      </c>
      <c r="E40" s="232">
        <v>32323908</v>
      </c>
      <c r="F40" s="97"/>
      <c r="K40" s="25"/>
    </row>
    <row r="41" spans="3:11" s="16" customFormat="1" outlineLevel="1">
      <c r="C41" s="524" t="s">
        <v>4</v>
      </c>
      <c r="D41" s="656" t="s">
        <v>1277</v>
      </c>
      <c r="E41" s="232">
        <v>2271097.44</v>
      </c>
      <c r="F41" s="97"/>
      <c r="K41" s="25"/>
    </row>
    <row r="42" spans="3:11" s="16" customFormat="1" outlineLevel="1">
      <c r="C42" s="348" t="s">
        <v>4</v>
      </c>
      <c r="D42" s="231" t="s">
        <v>1243</v>
      </c>
      <c r="E42" s="232">
        <v>2591024</v>
      </c>
      <c r="F42" s="241"/>
      <c r="K42" s="25"/>
    </row>
    <row r="43" spans="3:11" s="16" customFormat="1" outlineLevel="1">
      <c r="C43" s="232" t="s">
        <v>4</v>
      </c>
      <c r="D43" s="231" t="s">
        <v>1072</v>
      </c>
      <c r="E43" s="232">
        <v>1451213.81</v>
      </c>
      <c r="F43" s="349"/>
      <c r="K43" s="25"/>
    </row>
    <row r="44" spans="3:11" s="16" customFormat="1" outlineLevel="1">
      <c r="C44" s="232" t="s">
        <v>4</v>
      </c>
      <c r="D44" s="231" t="s">
        <v>1101</v>
      </c>
      <c r="E44" s="232">
        <v>8046831.8600000003</v>
      </c>
      <c r="F44" s="349"/>
      <c r="K44" s="25"/>
    </row>
    <row r="45" spans="3:11" s="16" customFormat="1" outlineLevel="1">
      <c r="C45" s="348" t="s">
        <v>4</v>
      </c>
      <c r="D45" s="231" t="s">
        <v>1148</v>
      </c>
      <c r="E45" s="232">
        <v>32219016.600000001</v>
      </c>
      <c r="F45" s="333">
        <v>34120335</v>
      </c>
      <c r="G45" s="25">
        <f t="shared" ref="G45:G46" si="2">(E45-F45)</f>
        <v>-1901318.3999999985</v>
      </c>
      <c r="K45" s="25"/>
    </row>
    <row r="46" spans="3:11" s="16" customFormat="1" outlineLevel="1">
      <c r="C46" s="348" t="s">
        <v>4</v>
      </c>
      <c r="D46" s="231" t="s">
        <v>1149</v>
      </c>
      <c r="E46" s="232">
        <v>26044852.800000001</v>
      </c>
      <c r="F46" s="8">
        <v>26853239.489999998</v>
      </c>
      <c r="G46" s="25">
        <f t="shared" si="2"/>
        <v>-808386.68999999762</v>
      </c>
      <c r="K46" s="25"/>
    </row>
    <row r="47" spans="3:11" s="16" customFormat="1" outlineLevel="1">
      <c r="C47" s="348" t="s">
        <v>4</v>
      </c>
      <c r="D47" s="231" t="s">
        <v>1157</v>
      </c>
      <c r="E47" s="232">
        <f>4485*3650</f>
        <v>16370250</v>
      </c>
      <c r="F47" s="8"/>
      <c r="G47" s="25"/>
      <c r="K47" s="25"/>
    </row>
    <row r="48" spans="3:11" s="16" customFormat="1" outlineLevel="1">
      <c r="C48" s="348" t="s">
        <v>4</v>
      </c>
      <c r="D48" s="231" t="s">
        <v>1158</v>
      </c>
      <c r="E48" s="232">
        <f>14122.03*3650</f>
        <v>51545409.5</v>
      </c>
      <c r="F48" s="8"/>
      <c r="G48" s="25"/>
      <c r="K48" s="25"/>
    </row>
    <row r="49" spans="3:21" s="16" customFormat="1" outlineLevel="1">
      <c r="C49" s="348" t="s">
        <v>4</v>
      </c>
      <c r="D49" s="231" t="s">
        <v>1159</v>
      </c>
      <c r="E49" s="232">
        <f>3082*3650</f>
        <v>11249300</v>
      </c>
      <c r="F49" s="8"/>
      <c r="G49" s="25"/>
      <c r="K49" s="25"/>
    </row>
    <row r="50" spans="3:21" s="16" customFormat="1" ht="30" outlineLevel="1">
      <c r="C50" s="350" t="s">
        <v>5</v>
      </c>
      <c r="D50" s="9" t="s">
        <v>103</v>
      </c>
      <c r="E50" s="8">
        <f>7370606*0</f>
        <v>0</v>
      </c>
      <c r="F50" s="100"/>
      <c r="J50" s="434"/>
      <c r="K50" s="25"/>
    </row>
    <row r="51" spans="3:21" s="16" customFormat="1" outlineLevel="1">
      <c r="C51" s="8" t="s">
        <v>5</v>
      </c>
      <c r="D51" s="9" t="s">
        <v>1073</v>
      </c>
      <c r="E51" s="8">
        <f>659409.77*0</f>
        <v>0</v>
      </c>
      <c r="F51" s="241"/>
      <c r="G51" s="25"/>
      <c r="J51" s="235"/>
      <c r="K51" s="25"/>
      <c r="L51" s="237"/>
    </row>
    <row r="52" spans="3:21" s="16" customFormat="1" outlineLevel="1">
      <c r="C52" s="348" t="s">
        <v>4</v>
      </c>
      <c r="D52" s="231" t="s">
        <v>1278</v>
      </c>
      <c r="E52" s="232">
        <v>2441626.71</v>
      </c>
      <c r="F52" s="100"/>
      <c r="K52" s="25"/>
    </row>
    <row r="53" spans="3:21" s="16" customFormat="1" ht="15" customHeight="1">
      <c r="C53" s="24"/>
      <c r="D53" s="20" t="s">
        <v>6</v>
      </c>
      <c r="E53" s="19">
        <f>SUBTOTAL(9,E54:E119)</f>
        <v>2632108004.6745005</v>
      </c>
      <c r="F53" s="72">
        <v>1</v>
      </c>
      <c r="S53" s="26"/>
    </row>
    <row r="54" spans="3:21" s="16" customFormat="1" outlineLevel="1">
      <c r="C54" s="232" t="s">
        <v>4</v>
      </c>
      <c r="D54" s="231" t="s">
        <v>1183</v>
      </c>
      <c r="E54" s="627">
        <v>1244283.46</v>
      </c>
      <c r="F54" s="624">
        <v>1208258.2638000001</v>
      </c>
      <c r="G54" s="25">
        <f t="shared" ref="G54:G61" si="3">(E54-F54)</f>
        <v>36025.196199999889</v>
      </c>
      <c r="S54" s="26"/>
    </row>
    <row r="55" spans="3:21" s="16" customFormat="1" outlineLevel="1">
      <c r="C55" s="232" t="s">
        <v>4</v>
      </c>
      <c r="D55" s="231" t="s">
        <v>1184</v>
      </c>
      <c r="E55" s="627">
        <v>11311972.84</v>
      </c>
      <c r="F55" s="624">
        <v>10984462.225199999</v>
      </c>
      <c r="G55" s="25">
        <f t="shared" si="3"/>
        <v>327510.61480000056</v>
      </c>
      <c r="S55" s="26"/>
    </row>
    <row r="56" spans="3:21" s="16" customFormat="1" outlineLevel="1">
      <c r="C56" s="232" t="s">
        <v>4</v>
      </c>
      <c r="D56" s="231" t="s">
        <v>1155</v>
      </c>
      <c r="E56" s="622">
        <v>439591.98970709008</v>
      </c>
      <c r="F56" s="350">
        <v>447027.79080000002</v>
      </c>
      <c r="G56" s="25">
        <f t="shared" si="3"/>
        <v>-7435.8010929099401</v>
      </c>
      <c r="J56" s="73"/>
      <c r="K56" s="8"/>
      <c r="L56" s="286"/>
      <c r="M56" s="30"/>
      <c r="T56" s="74"/>
      <c r="U56" s="74"/>
    </row>
    <row r="57" spans="3:21" s="16" customFormat="1" outlineLevel="1">
      <c r="C57" s="232" t="s">
        <v>4</v>
      </c>
      <c r="D57" s="619" t="s">
        <v>1156</v>
      </c>
      <c r="E57" s="622">
        <v>3996401.2102929102</v>
      </c>
      <c r="F57" s="350">
        <v>4064001.2694000006</v>
      </c>
      <c r="G57" s="25">
        <f t="shared" si="3"/>
        <v>-67600.059107090347</v>
      </c>
      <c r="J57" s="73"/>
      <c r="K57" s="8"/>
      <c r="L57" s="286"/>
      <c r="M57" s="30"/>
      <c r="T57" s="74"/>
      <c r="U57" s="74"/>
    </row>
    <row r="58" spans="3:21" s="16" customFormat="1" outlineLevel="1">
      <c r="C58" s="232" t="s">
        <v>4</v>
      </c>
      <c r="D58" s="231" t="s">
        <v>1160</v>
      </c>
      <c r="E58" s="232">
        <v>460095.81992514024</v>
      </c>
      <c r="F58" s="350">
        <v>447484.61989999999</v>
      </c>
      <c r="G58" s="25">
        <f t="shared" si="3"/>
        <v>12611.20002514025</v>
      </c>
      <c r="J58" s="73"/>
      <c r="K58" s="8"/>
      <c r="L58" s="286"/>
      <c r="M58" s="30"/>
      <c r="T58" s="74"/>
      <c r="U58" s="74"/>
    </row>
    <row r="59" spans="3:21" s="16" customFormat="1" outlineLevel="1">
      <c r="C59" s="232" t="s">
        <v>4</v>
      </c>
      <c r="D59" s="231" t="s">
        <v>1161</v>
      </c>
      <c r="E59" s="232">
        <v>4182685.9600748606</v>
      </c>
      <c r="F59" s="350">
        <v>4068038.7778999996</v>
      </c>
      <c r="G59" s="25">
        <f t="shared" si="3"/>
        <v>114647.18217486097</v>
      </c>
      <c r="J59" s="73"/>
      <c r="K59" s="8"/>
      <c r="L59" s="286"/>
      <c r="M59" s="30"/>
      <c r="T59" s="74"/>
      <c r="U59" s="74"/>
    </row>
    <row r="60" spans="3:21" s="16" customFormat="1" outlineLevel="1">
      <c r="C60" s="232" t="s">
        <v>4</v>
      </c>
      <c r="D60" s="231" t="s">
        <v>1349</v>
      </c>
      <c r="E60" s="232">
        <v>2232759.0912000001</v>
      </c>
      <c r="F60" s="8">
        <v>2169042.7968000001</v>
      </c>
      <c r="G60" s="25">
        <f t="shared" si="3"/>
        <v>63716.294400000013</v>
      </c>
      <c r="J60" s="52"/>
      <c r="K60" s="25"/>
      <c r="L60" s="26"/>
      <c r="M60" s="26"/>
    </row>
    <row r="61" spans="3:21" s="16" customFormat="1" outlineLevel="1">
      <c r="C61" s="232" t="s">
        <v>4</v>
      </c>
      <c r="D61" s="231" t="s">
        <v>1162</v>
      </c>
      <c r="E61" s="232">
        <v>40595911.475199997</v>
      </c>
      <c r="F61" s="8">
        <v>39437425.072799996</v>
      </c>
      <c r="G61" s="25">
        <f t="shared" si="3"/>
        <v>1158486.4024000019</v>
      </c>
      <c r="J61" s="52"/>
      <c r="L61" s="26"/>
      <c r="M61" s="26"/>
    </row>
    <row r="62" spans="3:21" s="16" customFormat="1" outlineLevel="1">
      <c r="C62" s="232" t="s">
        <v>4</v>
      </c>
      <c r="D62" s="231" t="s">
        <v>1163</v>
      </c>
      <c r="E62" s="232">
        <v>993693.3</v>
      </c>
      <c r="F62" s="350"/>
      <c r="G62" s="25">
        <f t="shared" ref="G62:G114" si="4">(E62-F62)*0</f>
        <v>0</v>
      </c>
      <c r="J62" s="52"/>
      <c r="K62" s="8"/>
      <c r="L62" s="286"/>
      <c r="M62" s="30"/>
      <c r="T62" s="74"/>
      <c r="U62" s="74"/>
    </row>
    <row r="63" spans="3:21" s="16" customFormat="1" outlineLevel="1">
      <c r="C63" s="232" t="s">
        <v>4</v>
      </c>
      <c r="D63" s="231" t="s">
        <v>1164</v>
      </c>
      <c r="E63" s="232">
        <v>9936933</v>
      </c>
      <c r="F63" s="350"/>
      <c r="G63" s="25">
        <f t="shared" si="4"/>
        <v>0</v>
      </c>
      <c r="J63" s="52"/>
      <c r="K63" s="8"/>
      <c r="L63" s="286"/>
      <c r="M63" s="30"/>
      <c r="T63" s="74"/>
      <c r="U63" s="74"/>
    </row>
    <row r="64" spans="3:21" s="16" customFormat="1" outlineLevel="1">
      <c r="C64" s="232" t="s">
        <v>4</v>
      </c>
      <c r="D64" s="231" t="s">
        <v>1165</v>
      </c>
      <c r="E64" s="232">
        <v>657373.9589952454</v>
      </c>
      <c r="F64" s="532">
        <v>632480.83499999996</v>
      </c>
      <c r="G64" s="25">
        <f>(E64-F64)</f>
        <v>24893.123995245434</v>
      </c>
      <c r="J64" s="52"/>
      <c r="K64" s="8"/>
      <c r="L64" s="286"/>
      <c r="M64" s="30"/>
      <c r="T64" s="74"/>
      <c r="U64" s="74"/>
    </row>
    <row r="65" spans="3:21" s="16" customFormat="1" outlineLevel="1">
      <c r="C65" s="232" t="s">
        <v>4</v>
      </c>
      <c r="D65" s="231" t="s">
        <v>1166</v>
      </c>
      <c r="E65" s="232">
        <v>5337655.5810047546</v>
      </c>
      <c r="F65" s="532">
        <v>5135531.7815999994</v>
      </c>
      <c r="G65" s="25">
        <f>(E65-F65)</f>
        <v>202123.79940475523</v>
      </c>
      <c r="J65" s="52"/>
      <c r="K65" s="8"/>
      <c r="L65" s="286"/>
      <c r="M65" s="30"/>
      <c r="T65" s="74"/>
      <c r="U65" s="74"/>
    </row>
    <row r="66" spans="3:21" s="16" customFormat="1" outlineLevel="1">
      <c r="C66" s="232" t="s">
        <v>4</v>
      </c>
      <c r="D66" s="231" t="s">
        <v>1167</v>
      </c>
      <c r="E66" s="232">
        <v>3008086.5162454238</v>
      </c>
      <c r="F66" s="532">
        <v>2931678.9432000001</v>
      </c>
      <c r="G66" s="25">
        <f>(E66-F66)</f>
        <v>76407.57304542372</v>
      </c>
      <c r="J66" s="73"/>
      <c r="K66" s="8"/>
      <c r="L66" s="286"/>
      <c r="M66" s="30"/>
      <c r="T66" s="74"/>
      <c r="U66" s="74"/>
    </row>
    <row r="67" spans="3:21" s="16" customFormat="1" outlineLevel="1">
      <c r="C67" s="232" t="s">
        <v>4</v>
      </c>
      <c r="D67" s="231" t="s">
        <v>1168</v>
      </c>
      <c r="E67" s="232">
        <v>49910068.338154584</v>
      </c>
      <c r="F67" s="532">
        <v>48642316.505999997</v>
      </c>
      <c r="G67" s="25">
        <f>(E67-F67)</f>
        <v>1267751.8321545869</v>
      </c>
      <c r="J67" s="73"/>
      <c r="K67" s="8"/>
      <c r="L67" s="286"/>
      <c r="M67" s="30"/>
      <c r="T67" s="74"/>
      <c r="U67" s="74"/>
    </row>
    <row r="68" spans="3:21" s="16" customFormat="1" outlineLevel="1">
      <c r="C68" s="232" t="s">
        <v>4</v>
      </c>
      <c r="D68" s="639" t="s">
        <v>1204</v>
      </c>
      <c r="E68" s="232">
        <v>689544.96000000008</v>
      </c>
      <c r="F68" s="435">
        <v>714384.07819999999</v>
      </c>
      <c r="G68" s="25">
        <f t="shared" ref="G68:G71" si="5">(E68-F68)</f>
        <v>-24839.11819999991</v>
      </c>
      <c r="J68" s="242"/>
      <c r="K68" s="8"/>
      <c r="L68" s="286"/>
      <c r="M68" s="30"/>
      <c r="T68" s="74"/>
      <c r="U68" s="74"/>
    </row>
    <row r="69" spans="3:21" s="16" customFormat="1" outlineLevel="1">
      <c r="C69" s="232" t="s">
        <v>4</v>
      </c>
      <c r="D69" s="639" t="s">
        <v>1203</v>
      </c>
      <c r="E69" s="232">
        <v>460560</v>
      </c>
      <c r="F69" s="435">
        <v>477150.51249999995</v>
      </c>
      <c r="G69" s="25">
        <f t="shared" si="5"/>
        <v>-16590.512499999953</v>
      </c>
      <c r="J69" s="242"/>
      <c r="K69" s="8"/>
      <c r="L69" s="286"/>
      <c r="M69" s="30"/>
      <c r="T69" s="74"/>
      <c r="U69" s="74"/>
    </row>
    <row r="70" spans="3:21" s="16" customFormat="1" outlineLevel="1">
      <c r="C70" s="232" t="s">
        <v>4</v>
      </c>
      <c r="D70" s="639" t="s">
        <v>1205</v>
      </c>
      <c r="E70" s="232">
        <v>6895632</v>
      </c>
      <c r="F70" s="435">
        <v>7144029.7524999995</v>
      </c>
      <c r="G70" s="25">
        <f t="shared" si="5"/>
        <v>-248397.75249999948</v>
      </c>
      <c r="J70" s="242"/>
      <c r="K70" s="8"/>
      <c r="L70" s="286"/>
      <c r="M70" s="30"/>
      <c r="T70" s="74"/>
      <c r="U70" s="74"/>
    </row>
    <row r="71" spans="3:21" s="16" customFormat="1" outlineLevel="1">
      <c r="C71" s="232" t="s">
        <v>4</v>
      </c>
      <c r="D71" s="639" t="s">
        <v>1206</v>
      </c>
      <c r="E71" s="232">
        <v>4605527.04</v>
      </c>
      <c r="F71" s="435">
        <v>4771429.5367999999</v>
      </c>
      <c r="G71" s="25">
        <f t="shared" si="5"/>
        <v>-165902.49679999985</v>
      </c>
      <c r="J71" s="242"/>
      <c r="K71" s="8"/>
      <c r="L71" s="286"/>
      <c r="M71" s="30"/>
      <c r="T71" s="74"/>
      <c r="U71" s="74"/>
    </row>
    <row r="72" spans="3:21" s="16" customFormat="1" outlineLevel="1">
      <c r="C72" s="8" t="s">
        <v>5</v>
      </c>
      <c r="D72" s="650" t="s">
        <v>1244</v>
      </c>
      <c r="E72" s="8">
        <f>337854.6085*0</f>
        <v>0</v>
      </c>
      <c r="F72" s="435"/>
      <c r="G72" s="25">
        <f t="shared" ref="G72:G74" si="6">(E72-F72)</f>
        <v>0</v>
      </c>
      <c r="J72" s="242"/>
      <c r="K72" s="8"/>
      <c r="L72" s="286"/>
      <c r="M72" s="30"/>
      <c r="T72" s="74"/>
      <c r="U72" s="74"/>
    </row>
    <row r="73" spans="3:21" s="16" customFormat="1" outlineLevel="1">
      <c r="C73" s="8" t="s">
        <v>5</v>
      </c>
      <c r="D73" s="650" t="s">
        <v>1246</v>
      </c>
      <c r="E73" s="8">
        <f>2480352.4331*0</f>
        <v>0</v>
      </c>
      <c r="F73" s="435"/>
      <c r="G73" s="25">
        <f t="shared" si="6"/>
        <v>0</v>
      </c>
      <c r="J73" s="242"/>
      <c r="K73" s="8"/>
      <c r="L73" s="286"/>
      <c r="M73" s="30"/>
      <c r="T73" s="74"/>
      <c r="U73" s="74"/>
    </row>
    <row r="74" spans="3:21" s="16" customFormat="1" outlineLevel="1">
      <c r="C74" s="8" t="s">
        <v>5</v>
      </c>
      <c r="D74" s="650" t="s">
        <v>1245</v>
      </c>
      <c r="E74" s="8">
        <f>3378616.9512*0</f>
        <v>0</v>
      </c>
      <c r="F74" s="435"/>
      <c r="G74" s="25">
        <f t="shared" si="6"/>
        <v>0</v>
      </c>
      <c r="J74" s="242"/>
      <c r="K74" s="8"/>
      <c r="L74" s="286"/>
      <c r="M74" s="30"/>
      <c r="T74" s="74"/>
      <c r="U74" s="74"/>
    </row>
    <row r="75" spans="3:21" s="16" customFormat="1" outlineLevel="1">
      <c r="C75" s="232" t="s">
        <v>4</v>
      </c>
      <c r="D75" s="619" t="s">
        <v>1150</v>
      </c>
      <c r="E75" s="232">
        <v>2743902</v>
      </c>
      <c r="F75" s="350">
        <v>2855434.8689999999</v>
      </c>
      <c r="G75" s="25">
        <f>(E75-F75)</f>
        <v>-111532.86899999995</v>
      </c>
      <c r="J75" s="73"/>
      <c r="L75" s="26"/>
      <c r="M75" s="26"/>
    </row>
    <row r="76" spans="3:21" s="16" customFormat="1" outlineLevel="1">
      <c r="C76" s="232" t="s">
        <v>4</v>
      </c>
      <c r="D76" s="619" t="s">
        <v>1151</v>
      </c>
      <c r="E76" s="232">
        <v>51195457.799999997</v>
      </c>
      <c r="F76" s="350">
        <v>53276427.269100003</v>
      </c>
      <c r="G76" s="25">
        <f>(E76-F76)</f>
        <v>-2080969.4691000059</v>
      </c>
      <c r="J76" s="73"/>
      <c r="L76" s="26"/>
      <c r="M76" s="26"/>
    </row>
    <row r="77" spans="3:21" s="16" customFormat="1" outlineLevel="1">
      <c r="C77" s="232" t="s">
        <v>4</v>
      </c>
      <c r="D77" s="546" t="s">
        <v>933</v>
      </c>
      <c r="E77" s="232">
        <f>2730497.364*0</f>
        <v>0</v>
      </c>
      <c r="F77" s="350">
        <f>707376.616*0</f>
        <v>0</v>
      </c>
      <c r="G77" s="25">
        <f t="shared" si="4"/>
        <v>0</v>
      </c>
      <c r="J77" s="73"/>
      <c r="L77" s="26"/>
      <c r="M77" s="26"/>
    </row>
    <row r="78" spans="3:21" s="16" customFormat="1" outlineLevel="1">
      <c r="C78" s="232" t="s">
        <v>4</v>
      </c>
      <c r="D78" s="546" t="s">
        <v>934</v>
      </c>
      <c r="E78" s="232">
        <f>3879460.4936*0</f>
        <v>0</v>
      </c>
      <c r="F78" s="350">
        <f>43507906.9584*0</f>
        <v>0</v>
      </c>
      <c r="G78" s="25">
        <f t="shared" si="4"/>
        <v>0</v>
      </c>
      <c r="J78" s="73"/>
      <c r="L78" s="26"/>
      <c r="M78" s="26"/>
    </row>
    <row r="79" spans="3:21" s="16" customFormat="1" outlineLevel="1">
      <c r="C79" s="232" t="s">
        <v>4</v>
      </c>
      <c r="D79" s="546" t="s">
        <v>935</v>
      </c>
      <c r="E79" s="232">
        <f>1398839.0056*0</f>
        <v>0</v>
      </c>
      <c r="F79" s="350">
        <f>21217642.2864*0</f>
        <v>0</v>
      </c>
      <c r="G79" s="25">
        <f t="shared" si="4"/>
        <v>0</v>
      </c>
      <c r="J79" s="73"/>
      <c r="L79" s="26"/>
      <c r="M79" s="26"/>
    </row>
    <row r="80" spans="3:21" s="16" customFormat="1" outlineLevel="1">
      <c r="C80" s="232" t="s">
        <v>4</v>
      </c>
      <c r="D80" s="654" t="s">
        <v>1249</v>
      </c>
      <c r="E80" s="232">
        <v>2756946.7800000003</v>
      </c>
      <c r="F80" s="350">
        <v>2687562.0449999999</v>
      </c>
      <c r="G80" s="25">
        <f t="shared" ref="G80:G85" si="7">(E80-F80)</f>
        <v>69384.735000000335</v>
      </c>
      <c r="J80" s="73"/>
      <c r="L80" s="26"/>
      <c r="M80" s="26"/>
    </row>
    <row r="81" spans="3:23" s="16" customFormat="1" outlineLevel="1">
      <c r="C81" s="232" t="s">
        <v>4</v>
      </c>
      <c r="D81" s="654" t="s">
        <v>1250</v>
      </c>
      <c r="E81" s="232">
        <v>50970823.343999997</v>
      </c>
      <c r="F81" s="350">
        <v>49688028.515999995</v>
      </c>
      <c r="G81" s="25">
        <f t="shared" si="7"/>
        <v>1282794.8280000016</v>
      </c>
      <c r="J81" s="73"/>
      <c r="L81" s="26"/>
      <c r="M81" s="26"/>
    </row>
    <row r="82" spans="3:23" s="16" customFormat="1" outlineLevel="1">
      <c r="C82" s="232" t="s">
        <v>4</v>
      </c>
      <c r="D82" s="231" t="s">
        <v>1169</v>
      </c>
      <c r="E82" s="232">
        <v>1299786.7627030569</v>
      </c>
      <c r="F82" s="532">
        <v>1249690.0038999999</v>
      </c>
      <c r="G82" s="25">
        <f t="shared" si="7"/>
        <v>50096.758803057019</v>
      </c>
      <c r="K82" s="25"/>
      <c r="S82" s="35"/>
      <c r="U82" s="25"/>
      <c r="V82" s="102"/>
      <c r="W82" s="26"/>
    </row>
    <row r="83" spans="3:23" s="16" customFormat="1" outlineLevel="1">
      <c r="C83" s="232" t="s">
        <v>4</v>
      </c>
      <c r="D83" s="231" t="s">
        <v>1170</v>
      </c>
      <c r="E83" s="232">
        <v>14442046.477296943</v>
      </c>
      <c r="F83" s="532">
        <v>13885416.9287</v>
      </c>
      <c r="G83" s="25">
        <f t="shared" si="7"/>
        <v>556629.5485969428</v>
      </c>
      <c r="K83" s="25"/>
      <c r="S83" s="35"/>
      <c r="U83" s="25"/>
      <c r="V83" s="102"/>
      <c r="W83" s="26"/>
    </row>
    <row r="84" spans="3:23" s="16" customFormat="1" outlineLevel="1">
      <c r="C84" s="232" t="s">
        <v>4</v>
      </c>
      <c r="D84" s="231" t="s">
        <v>1152</v>
      </c>
      <c r="E84" s="621">
        <v>3791577</v>
      </c>
      <c r="F84" s="489">
        <v>3973041.0750000002</v>
      </c>
      <c r="G84" s="25">
        <f t="shared" si="7"/>
        <v>-181464.07500000019</v>
      </c>
      <c r="J84" s="73"/>
      <c r="K84" s="25"/>
      <c r="L84" s="286"/>
      <c r="M84" s="30"/>
      <c r="T84" s="74"/>
      <c r="U84" s="74"/>
    </row>
    <row r="85" spans="3:23" s="16" customFormat="1" outlineLevel="1">
      <c r="C85" s="232" t="s">
        <v>4</v>
      </c>
      <c r="D85" s="231" t="s">
        <v>896</v>
      </c>
      <c r="E85" s="232">
        <v>5675860.8799999999</v>
      </c>
      <c r="F85" s="489">
        <v>5737325.2716000006</v>
      </c>
      <c r="G85" s="25">
        <f t="shared" si="7"/>
        <v>-61464.391600000672</v>
      </c>
      <c r="J85" s="73"/>
      <c r="K85" s="25"/>
      <c r="L85" s="286"/>
      <c r="M85" s="30"/>
      <c r="T85" s="74"/>
      <c r="U85" s="74"/>
    </row>
    <row r="86" spans="3:23" s="16" customFormat="1" outlineLevel="1">
      <c r="C86" s="232" t="s">
        <v>4</v>
      </c>
      <c r="D86" s="231" t="s">
        <v>1075</v>
      </c>
      <c r="E86" s="232">
        <f>23056440.5522066*0</f>
        <v>0</v>
      </c>
      <c r="F86" s="489">
        <f>22996377.768*0</f>
        <v>0</v>
      </c>
      <c r="G86" s="25">
        <f t="shared" si="4"/>
        <v>0</v>
      </c>
      <c r="J86" s="73"/>
      <c r="K86" s="25"/>
      <c r="L86" s="286"/>
      <c r="M86" s="30"/>
      <c r="T86" s="74"/>
      <c r="U86" s="74"/>
    </row>
    <row r="87" spans="3:23" s="16" customFormat="1" outlineLevel="1">
      <c r="C87" s="232" t="s">
        <v>4</v>
      </c>
      <c r="D87" s="231" t="s">
        <v>1076</v>
      </c>
      <c r="E87" s="232">
        <f>745415764.649794*0</f>
        <v>0</v>
      </c>
      <c r="F87" s="489">
        <f>743473932.123*0</f>
        <v>0</v>
      </c>
      <c r="G87" s="25">
        <f t="shared" si="4"/>
        <v>0</v>
      </c>
      <c r="J87" s="73"/>
      <c r="K87" s="25"/>
      <c r="L87" s="286"/>
      <c r="M87" s="30"/>
      <c r="T87" s="74"/>
      <c r="U87" s="74"/>
    </row>
    <row r="88" spans="3:23" s="16" customFormat="1" outlineLevel="1">
      <c r="C88" s="232" t="s">
        <v>4</v>
      </c>
      <c r="D88" s="231" t="s">
        <v>1280</v>
      </c>
      <c r="E88" s="232">
        <v>19962473.75792909</v>
      </c>
      <c r="F88" s="489">
        <v>19662072.023999996</v>
      </c>
      <c r="G88" s="25">
        <f t="shared" ref="G88:G96" si="8">(E88-F88)</f>
        <v>300401.73392909393</v>
      </c>
      <c r="J88" s="73"/>
      <c r="K88" s="25"/>
      <c r="L88" s="286"/>
      <c r="M88" s="30"/>
      <c r="T88" s="74"/>
      <c r="U88" s="74"/>
    </row>
    <row r="89" spans="3:23" s="16" customFormat="1" outlineLevel="1">
      <c r="C89" s="232" t="s">
        <v>4</v>
      </c>
      <c r="D89" s="231" t="s">
        <v>1281</v>
      </c>
      <c r="E89" s="232">
        <v>703298764.96857107</v>
      </c>
      <c r="F89" s="489">
        <v>692715298.65929997</v>
      </c>
      <c r="G89" s="25">
        <f t="shared" si="8"/>
        <v>10583466.309271097</v>
      </c>
      <c r="J89" s="73"/>
      <c r="K89" s="25"/>
      <c r="L89" s="286"/>
      <c r="M89" s="30"/>
      <c r="T89" s="74"/>
      <c r="U89" s="74"/>
    </row>
    <row r="90" spans="3:23" s="16" customFormat="1" outlineLevel="1">
      <c r="C90" s="232" t="s">
        <v>4</v>
      </c>
      <c r="D90" s="231" t="s">
        <v>1261</v>
      </c>
      <c r="E90" s="660">
        <v>2138606.8501512199</v>
      </c>
      <c r="F90" s="489">
        <v>2094641.5039999997</v>
      </c>
      <c r="G90" s="25">
        <f t="shared" si="8"/>
        <v>43965.346151220147</v>
      </c>
      <c r="J90" s="73"/>
      <c r="K90" s="25"/>
      <c r="L90" s="286"/>
      <c r="M90" s="30"/>
      <c r="T90" s="74"/>
      <c r="U90" s="74"/>
    </row>
    <row r="91" spans="3:23" s="16" customFormat="1" outlineLevel="1">
      <c r="C91" s="232" t="s">
        <v>4</v>
      </c>
      <c r="D91" s="231" t="s">
        <v>1262</v>
      </c>
      <c r="E91" s="660">
        <v>6054893.4124772334</v>
      </c>
      <c r="F91" s="489">
        <v>5930417.2916000001</v>
      </c>
      <c r="G91" s="25">
        <f t="shared" si="8"/>
        <v>124476.12087723333</v>
      </c>
      <c r="J91" s="73"/>
      <c r="K91" s="25"/>
      <c r="L91" s="286"/>
      <c r="M91" s="30"/>
      <c r="T91" s="74"/>
      <c r="U91" s="74"/>
    </row>
    <row r="92" spans="3:23" s="16" customFormat="1" outlineLevel="1">
      <c r="C92" s="232" t="s">
        <v>4</v>
      </c>
      <c r="D92" s="231" t="s">
        <v>1263</v>
      </c>
      <c r="E92" s="660">
        <v>9422938.5773715507</v>
      </c>
      <c r="F92" s="489">
        <v>9229222.394199999</v>
      </c>
      <c r="G92" s="25">
        <f t="shared" si="8"/>
        <v>193716.18317155167</v>
      </c>
      <c r="J92" s="73"/>
      <c r="K92" s="25"/>
      <c r="L92" s="286"/>
      <c r="M92" s="30"/>
      <c r="T92" s="74"/>
      <c r="U92" s="74"/>
    </row>
    <row r="93" spans="3:23" s="16" customFormat="1" ht="14.25" customHeight="1" outlineLevel="1">
      <c r="C93" s="232" t="s">
        <v>4</v>
      </c>
      <c r="D93" s="231" t="s">
        <v>1171</v>
      </c>
      <c r="E93" s="232">
        <v>520041.32</v>
      </c>
      <c r="F93" s="8">
        <v>498827.18180000002</v>
      </c>
      <c r="G93" s="25">
        <f t="shared" si="8"/>
        <v>21214.138199999987</v>
      </c>
      <c r="J93" s="52"/>
      <c r="L93" s="26"/>
      <c r="M93" s="26"/>
      <c r="U93" s="288"/>
    </row>
    <row r="94" spans="3:23" s="16" customFormat="1" ht="14.25" customHeight="1" outlineLevel="1">
      <c r="C94" s="232" t="s">
        <v>4</v>
      </c>
      <c r="D94" s="231" t="s">
        <v>1172</v>
      </c>
      <c r="E94" s="232">
        <v>4727618.1399999997</v>
      </c>
      <c r="F94" s="8">
        <v>4534763.5710999994</v>
      </c>
      <c r="G94" s="25">
        <f t="shared" si="8"/>
        <v>192854.5689000003</v>
      </c>
      <c r="J94" s="52"/>
      <c r="L94" s="26"/>
      <c r="M94" s="26"/>
      <c r="U94" s="288"/>
    </row>
    <row r="95" spans="3:23" s="16" customFormat="1" outlineLevel="1">
      <c r="C95" s="232" t="s">
        <v>4</v>
      </c>
      <c r="D95" s="231" t="s">
        <v>1247</v>
      </c>
      <c r="E95" s="232">
        <v>3680038.0513348626</v>
      </c>
      <c r="F95" s="532">
        <v>3538928.0715000001</v>
      </c>
      <c r="G95" s="25">
        <f t="shared" si="8"/>
        <v>141109.97983486252</v>
      </c>
      <c r="S95" s="26"/>
      <c r="U95" s="287"/>
    </row>
    <row r="96" spans="3:23" s="16" customFormat="1" outlineLevel="1">
      <c r="C96" s="232" t="s">
        <v>4</v>
      </c>
      <c r="D96" s="231" t="s">
        <v>1248</v>
      </c>
      <c r="E96" s="232">
        <v>61333793.558665141</v>
      </c>
      <c r="F96" s="532">
        <v>58981967.231999993</v>
      </c>
      <c r="G96" s="25">
        <f t="shared" si="8"/>
        <v>2351826.3266651481</v>
      </c>
      <c r="S96" s="26"/>
      <c r="U96" s="287"/>
    </row>
    <row r="97" spans="3:21" s="16" customFormat="1" outlineLevel="1">
      <c r="C97" s="232" t="s">
        <v>4</v>
      </c>
      <c r="D97" s="231" t="s">
        <v>879</v>
      </c>
      <c r="E97" s="622">
        <v>5499958.239778785</v>
      </c>
      <c r="F97" s="350">
        <f>'MONETIZACIONES PEND'!Q442</f>
        <v>5494632.9165000003</v>
      </c>
      <c r="G97" s="25">
        <f t="shared" ref="G97:G104" si="9">(E97-F97)</f>
        <v>5325.3232787847519</v>
      </c>
      <c r="J97" s="241"/>
      <c r="K97" s="8"/>
      <c r="L97" s="286"/>
      <c r="M97" s="30"/>
      <c r="T97" s="74"/>
      <c r="U97" s="74"/>
    </row>
    <row r="98" spans="3:21" s="16" customFormat="1" outlineLevel="1">
      <c r="C98" s="232" t="s">
        <v>4</v>
      </c>
      <c r="D98" s="231" t="s">
        <v>880</v>
      </c>
      <c r="E98" s="622">
        <v>59718741.593995012</v>
      </c>
      <c r="F98" s="350">
        <f>'MONETIZACIONES PEND'!Q443</f>
        <v>59660919.044999994</v>
      </c>
      <c r="G98" s="25">
        <f t="shared" si="9"/>
        <v>57822.548995018005</v>
      </c>
      <c r="J98" s="241"/>
      <c r="K98" s="8"/>
      <c r="L98" s="286"/>
      <c r="M98" s="30"/>
      <c r="T98" s="74"/>
      <c r="U98" s="74"/>
    </row>
    <row r="99" spans="3:21" s="16" customFormat="1" outlineLevel="1">
      <c r="C99" s="232" t="s">
        <v>4</v>
      </c>
      <c r="D99" s="231" t="s">
        <v>1153</v>
      </c>
      <c r="E99" s="622">
        <v>232127.47344980136</v>
      </c>
      <c r="F99" s="350">
        <f>'MONETIZACIONES PEND'!Q444</f>
        <v>231902.71650000001</v>
      </c>
      <c r="G99" s="25">
        <f t="shared" si="9"/>
        <v>224.75694980134722</v>
      </c>
      <c r="J99" s="241"/>
      <c r="K99" s="8"/>
      <c r="L99" s="286"/>
      <c r="M99" s="30"/>
      <c r="T99" s="74"/>
      <c r="U99" s="74"/>
    </row>
    <row r="100" spans="3:21" s="16" customFormat="1" outlineLevel="1">
      <c r="C100" s="232" t="s">
        <v>4</v>
      </c>
      <c r="D100" s="231" t="s">
        <v>1154</v>
      </c>
      <c r="E100" s="622">
        <v>2901356.2927763872</v>
      </c>
      <c r="F100" s="350">
        <f>'MONETIZACIONES PEND'!Q445</f>
        <v>2898547.0605000001</v>
      </c>
      <c r="G100" s="25">
        <f t="shared" si="9"/>
        <v>2809.232276387047</v>
      </c>
      <c r="J100" s="241"/>
      <c r="K100" s="8"/>
      <c r="L100" s="286"/>
      <c r="M100" s="30"/>
      <c r="T100" s="74"/>
      <c r="U100" s="74"/>
    </row>
    <row r="101" spans="3:21" s="16" customFormat="1" outlineLevel="1">
      <c r="C101" s="232" t="s">
        <v>4</v>
      </c>
      <c r="D101" s="231" t="s">
        <v>1173</v>
      </c>
      <c r="E101" s="232">
        <v>5953181.9849420683</v>
      </c>
      <c r="F101" s="350">
        <v>5726343.2909999993</v>
      </c>
      <c r="G101" s="25">
        <f t="shared" si="9"/>
        <v>226838.69394206908</v>
      </c>
      <c r="J101" s="241"/>
      <c r="K101" s="8"/>
      <c r="L101" s="286"/>
      <c r="M101" s="30"/>
      <c r="T101" s="74"/>
      <c r="U101" s="74"/>
    </row>
    <row r="102" spans="3:21" s="16" customFormat="1" outlineLevel="1">
      <c r="C102" s="232" t="s">
        <v>4</v>
      </c>
      <c r="D102" s="231" t="s">
        <v>1174</v>
      </c>
      <c r="E102" s="232">
        <v>74414737.975057945</v>
      </c>
      <c r="F102" s="350">
        <v>71579255.704400003</v>
      </c>
      <c r="G102" s="25">
        <f t="shared" si="9"/>
        <v>2835482.2706579417</v>
      </c>
      <c r="J102" s="241"/>
      <c r="K102" s="8"/>
      <c r="L102" s="286"/>
      <c r="M102" s="30"/>
      <c r="T102" s="74"/>
      <c r="U102" s="74"/>
    </row>
    <row r="103" spans="3:21" s="16" customFormat="1" outlineLevel="1">
      <c r="C103" s="232" t="s">
        <v>4</v>
      </c>
      <c r="D103" s="231" t="s">
        <v>1175</v>
      </c>
      <c r="E103" s="232">
        <v>881517.54156262975</v>
      </c>
      <c r="F103" s="8">
        <v>859504.8</v>
      </c>
      <c r="G103" s="25">
        <f t="shared" si="9"/>
        <v>22012.741562629701</v>
      </c>
      <c r="J103" s="73"/>
      <c r="K103" s="25"/>
      <c r="S103" s="35"/>
      <c r="U103" s="25"/>
    </row>
    <row r="104" spans="3:21" s="16" customFormat="1" outlineLevel="1">
      <c r="C104" s="232" t="s">
        <v>4</v>
      </c>
      <c r="D104" s="231" t="s">
        <v>1176</v>
      </c>
      <c r="E104" s="232">
        <v>12034110.178437369</v>
      </c>
      <c r="F104" s="8">
        <v>11733601.4026</v>
      </c>
      <c r="G104" s="25">
        <f t="shared" si="9"/>
        <v>300508.77583736926</v>
      </c>
      <c r="J104" s="73"/>
      <c r="K104" s="25"/>
      <c r="S104" s="35"/>
      <c r="U104" s="25"/>
    </row>
    <row r="105" spans="3:21" s="16" customFormat="1" outlineLevel="1">
      <c r="C105" s="232" t="s">
        <v>4</v>
      </c>
      <c r="D105" s="231" t="s">
        <v>1251</v>
      </c>
      <c r="E105" s="232">
        <v>1749609.6</v>
      </c>
      <c r="F105" s="8">
        <v>1718793.6</v>
      </c>
      <c r="G105" s="25">
        <f t="shared" ref="G105:G111" si="10">(E105-F105)</f>
        <v>30816</v>
      </c>
      <c r="J105" s="73"/>
      <c r="K105" s="25"/>
      <c r="S105" s="35"/>
      <c r="U105" s="25"/>
    </row>
    <row r="106" spans="3:21" s="16" customFormat="1" outlineLevel="1">
      <c r="C106" s="232" t="s">
        <v>4</v>
      </c>
      <c r="D106" s="231" t="s">
        <v>1252</v>
      </c>
      <c r="E106" s="232">
        <v>8018861.7489999989</v>
      </c>
      <c r="F106" s="8">
        <v>7877624.9589999998</v>
      </c>
      <c r="G106" s="25">
        <f t="shared" si="10"/>
        <v>141236.78999999911</v>
      </c>
      <c r="J106" s="73"/>
      <c r="S106" s="35"/>
      <c r="U106" s="25"/>
    </row>
    <row r="107" spans="3:21" s="16" customFormat="1" outlineLevel="1">
      <c r="C107" s="232" t="s">
        <v>4</v>
      </c>
      <c r="D107" s="231" t="s">
        <v>1253</v>
      </c>
      <c r="E107" s="232">
        <v>1199211.58</v>
      </c>
      <c r="F107" s="8">
        <v>1178089.78</v>
      </c>
      <c r="G107" s="25">
        <f t="shared" si="10"/>
        <v>21121.800000000047</v>
      </c>
      <c r="J107" s="676" t="s">
        <v>1356</v>
      </c>
      <c r="K107" s="25">
        <f>G54+G55+G58+G59+G60+G61+G64+G65+G66+G67+G80+G81+G82+G83+G88+G89+G90+G91+G92+G93+G94+G95+G96+G97+G98+G99+G100+G101+G102+G103+G104+G105+G106+G107+G110+G111+G115+G116+G117+G118+G119-72938</f>
        <v>58405344.185100198</v>
      </c>
      <c r="S107" s="35"/>
      <c r="U107" s="25"/>
    </row>
    <row r="108" spans="3:21" s="16" customFormat="1" outlineLevel="1">
      <c r="C108" s="232" t="s">
        <v>4</v>
      </c>
      <c r="D108" s="231" t="s">
        <v>1350</v>
      </c>
      <c r="E108" s="232">
        <v>23016847.887000002</v>
      </c>
      <c r="F108" s="8">
        <v>23615660.702700004</v>
      </c>
      <c r="G108" s="25">
        <f t="shared" si="10"/>
        <v>-598812.81570000201</v>
      </c>
      <c r="J108" s="676" t="s">
        <v>1357</v>
      </c>
      <c r="K108" s="25">
        <f>G22+G23+G24+G25+G26+G27+G28+G28+G36+G37+G45+G46+G56+G57+G68+G69+G70+G71+G75+G76+G84+G85+G108+G109</f>
        <v>-25223277.243080005</v>
      </c>
      <c r="L108" s="26">
        <f>+K109-G120</f>
        <v>0.35039999336004257</v>
      </c>
      <c r="M108" s="26"/>
    </row>
    <row r="109" spans="3:21" s="16" customFormat="1" outlineLevel="1">
      <c r="C109" s="232" t="s">
        <v>4</v>
      </c>
      <c r="D109" s="231" t="s">
        <v>1351</v>
      </c>
      <c r="E109" s="232">
        <v>2604743.4</v>
      </c>
      <c r="F109" s="8">
        <v>2672509.14</v>
      </c>
      <c r="G109" s="25">
        <f t="shared" si="10"/>
        <v>-67765.740000000224</v>
      </c>
      <c r="J109" s="677" t="s">
        <v>486</v>
      </c>
      <c r="K109" s="678">
        <f>SUM(K107:K108)</f>
        <v>33182066.942020193</v>
      </c>
      <c r="L109" s="26"/>
      <c r="M109" s="26"/>
    </row>
    <row r="110" spans="3:21" s="16" customFormat="1" outlineLevel="1">
      <c r="C110" s="232" t="s">
        <v>4</v>
      </c>
      <c r="D110" s="231" t="s">
        <v>1177</v>
      </c>
      <c r="E110" s="232">
        <v>46851194.880000003</v>
      </c>
      <c r="F110" s="532">
        <v>45514201.32</v>
      </c>
      <c r="G110" s="25">
        <f t="shared" si="10"/>
        <v>1336993.5600000024</v>
      </c>
      <c r="J110" s="326"/>
      <c r="L110" s="26"/>
      <c r="M110" s="26"/>
    </row>
    <row r="111" spans="3:21" s="16" customFormat="1" outlineLevel="1">
      <c r="C111" s="232" t="s">
        <v>4</v>
      </c>
      <c r="D111" s="231" t="s">
        <v>1178</v>
      </c>
      <c r="E111" s="232">
        <v>1166161236.7872</v>
      </c>
      <c r="F111" s="532">
        <v>1132882468.3908</v>
      </c>
      <c r="G111" s="25">
        <f t="shared" si="10"/>
        <v>33278768.396399975</v>
      </c>
      <c r="J111" s="326"/>
      <c r="L111" s="26"/>
      <c r="M111" s="26"/>
    </row>
    <row r="112" spans="3:21" s="16" customFormat="1" outlineLevel="1">
      <c r="C112" s="232" t="s">
        <v>4</v>
      </c>
      <c r="D112" s="231" t="s">
        <v>1181</v>
      </c>
      <c r="E112" s="627">
        <f>1095096-74977</f>
        <v>1020119</v>
      </c>
      <c r="F112" s="624">
        <v>1095096</v>
      </c>
      <c r="G112" s="25"/>
      <c r="J112" s="326"/>
      <c r="K112" s="25">
        <f>SUM(F112:F114)</f>
        <v>72876718.060000002</v>
      </c>
      <c r="L112" s="26">
        <v>72801741</v>
      </c>
      <c r="M112" s="26">
        <f>L112-K112</f>
        <v>-74977.060000002384</v>
      </c>
    </row>
    <row r="113" spans="1:24" s="16" customFormat="1" outlineLevel="1">
      <c r="C113" s="232" t="s">
        <v>4</v>
      </c>
      <c r="D113" s="231" t="s">
        <v>1182</v>
      </c>
      <c r="E113" s="627">
        <v>71609812.060000002</v>
      </c>
      <c r="F113" s="624">
        <v>71609812.060000002</v>
      </c>
      <c r="G113" s="25">
        <f t="shared" ref="G113" si="11">(E113-F113)*0</f>
        <v>0</v>
      </c>
      <c r="J113" s="73"/>
      <c r="K113" s="25"/>
      <c r="L113" s="104"/>
      <c r="M113" s="30"/>
      <c r="T113" s="74"/>
      <c r="U113" s="74"/>
    </row>
    <row r="114" spans="1:24" s="16" customFormat="1" outlineLevel="1">
      <c r="C114" s="232" t="s">
        <v>4</v>
      </c>
      <c r="D114" s="231" t="s">
        <v>1181</v>
      </c>
      <c r="E114" s="627">
        <v>171810</v>
      </c>
      <c r="F114" s="624">
        <v>171810</v>
      </c>
      <c r="G114" s="25">
        <f t="shared" si="4"/>
        <v>0</v>
      </c>
      <c r="J114" s="73"/>
      <c r="K114" s="25"/>
      <c r="L114" s="104"/>
      <c r="M114" s="30"/>
      <c r="T114" s="74"/>
      <c r="U114" s="74"/>
    </row>
    <row r="115" spans="1:24" s="16" customFormat="1" outlineLevel="1">
      <c r="C115" s="232" t="s">
        <v>4</v>
      </c>
      <c r="D115" s="231" t="s">
        <v>1115</v>
      </c>
      <c r="E115" s="348">
        <f>'MONETIZACIONES PEND'!$R$419</f>
        <v>2118334.6800000002</v>
      </c>
      <c r="F115" s="350">
        <f>'MONETIZACIONES PEND'!Q419</f>
        <v>2114318.0520000001</v>
      </c>
      <c r="G115" s="25">
        <f>(E115-F115)</f>
        <v>4016.6280000000261</v>
      </c>
      <c r="J115" s="73"/>
      <c r="K115" s="25"/>
      <c r="L115" s="104"/>
      <c r="M115" s="30"/>
      <c r="T115" s="74"/>
      <c r="U115" s="74"/>
    </row>
    <row r="116" spans="1:24" s="16" customFormat="1" outlineLevel="1">
      <c r="C116" s="232" t="s">
        <v>4</v>
      </c>
      <c r="D116" s="231" t="s">
        <v>1116</v>
      </c>
      <c r="E116" s="348">
        <f>'MONETIZACIONES PEND'!$R$420</f>
        <v>23536942.830000002</v>
      </c>
      <c r="F116" s="350">
        <f>'MONETIZACIONES PEND'!Q420</f>
        <v>23492313.837000001</v>
      </c>
      <c r="G116" s="25">
        <f>(E116-F116)</f>
        <v>44628.993000000715</v>
      </c>
      <c r="J116" s="73"/>
      <c r="K116" s="25"/>
      <c r="L116" s="104"/>
      <c r="M116" s="30"/>
      <c r="T116" s="74"/>
      <c r="U116" s="74"/>
    </row>
    <row r="117" spans="1:24" s="16" customFormat="1" outlineLevel="1">
      <c r="C117" s="232" t="s">
        <v>4</v>
      </c>
      <c r="D117" s="231" t="s">
        <v>1117</v>
      </c>
      <c r="E117" s="348">
        <f>'MONETIZACIONES PEND'!$R$421</f>
        <v>7942481.3999999994</v>
      </c>
      <c r="F117" s="350">
        <f>'MONETIZACIONES PEND'!Q421</f>
        <v>7927421.459999999</v>
      </c>
      <c r="G117" s="25">
        <f>(E117-F117)</f>
        <v>15059.94000000041</v>
      </c>
      <c r="J117" s="73"/>
      <c r="K117" s="25"/>
      <c r="L117" s="104"/>
      <c r="M117" s="30"/>
      <c r="T117" s="74"/>
      <c r="U117" s="74"/>
    </row>
    <row r="118" spans="1:24" s="16" customFormat="1" outlineLevel="1">
      <c r="C118" s="232" t="s">
        <v>4</v>
      </c>
      <c r="D118" s="231" t="s">
        <v>1179</v>
      </c>
      <c r="E118" s="348">
        <v>1937281.36</v>
      </c>
      <c r="F118" s="350">
        <v>1858253.4964000001</v>
      </c>
      <c r="G118" s="25">
        <f>(E118-F118)</f>
        <v>79027.863600000041</v>
      </c>
      <c r="J118" s="73"/>
      <c r="K118" s="25"/>
      <c r="L118" s="286"/>
      <c r="M118" s="30"/>
      <c r="T118" s="74"/>
      <c r="U118" s="74"/>
    </row>
    <row r="119" spans="1:24" s="16" customFormat="1" outlineLevel="1">
      <c r="C119" s="232" t="s">
        <v>4</v>
      </c>
      <c r="D119" s="231" t="s">
        <v>1180</v>
      </c>
      <c r="E119" s="348">
        <v>21559439.960000001</v>
      </c>
      <c r="F119" s="350">
        <v>20679961.885400001</v>
      </c>
      <c r="G119" s="25">
        <f>(E119-F119)</f>
        <v>879478.07459999993</v>
      </c>
      <c r="J119" s="73"/>
      <c r="K119" s="25"/>
      <c r="L119" s="286"/>
      <c r="M119" s="30"/>
      <c r="T119" s="74"/>
      <c r="U119" s="74"/>
    </row>
    <row r="120" spans="1:24" s="16" customFormat="1" ht="15.75">
      <c r="C120" s="24"/>
      <c r="D120" s="75" t="s">
        <v>8</v>
      </c>
      <c r="E120" s="18">
        <f>SUBTOTAL(9,E4:E119)</f>
        <v>4186953521.4585004</v>
      </c>
      <c r="F120" s="14"/>
      <c r="G120" s="14">
        <f>SUM(G14:G119)</f>
        <v>33182066.591620199</v>
      </c>
      <c r="J120" s="25"/>
      <c r="K120" s="76"/>
      <c r="L120" s="77"/>
      <c r="T120" s="78"/>
      <c r="U120" s="33"/>
      <c r="V120" s="26"/>
    </row>
    <row r="121" spans="1:24" s="16" customFormat="1" ht="15.75">
      <c r="C121" s="24"/>
      <c r="D121" s="79"/>
      <c r="E121" s="17"/>
      <c r="G121" s="80"/>
      <c r="T121" s="33"/>
      <c r="U121" s="33"/>
    </row>
    <row r="122" spans="1:24" s="16" customFormat="1" ht="15.75">
      <c r="C122" s="24"/>
      <c r="G122" s="25"/>
      <c r="K122" s="25"/>
      <c r="S122" s="12"/>
      <c r="T122" s="32"/>
      <c r="U122" s="10"/>
    </row>
    <row r="123" spans="1:24" s="16" customFormat="1" ht="15.75">
      <c r="C123" s="81" t="s">
        <v>9</v>
      </c>
      <c r="D123" s="81"/>
      <c r="E123" s="81" t="s">
        <v>1077</v>
      </c>
      <c r="F123" s="81" t="s">
        <v>10</v>
      </c>
      <c r="G123" s="81"/>
      <c r="H123" s="81"/>
      <c r="I123" s="81"/>
      <c r="J123" s="82">
        <v>46055</v>
      </c>
      <c r="K123" s="25"/>
      <c r="L123" s="10"/>
      <c r="M123" s="10"/>
      <c r="N123" s="10"/>
      <c r="O123" s="10"/>
      <c r="S123" s="12"/>
      <c r="W123" s="25"/>
      <c r="X123" s="25"/>
    </row>
    <row r="124" spans="1:24" s="16" customFormat="1" ht="16.5" thickBot="1">
      <c r="C124" s="48" t="s">
        <v>11</v>
      </c>
      <c r="D124" s="15" t="s">
        <v>12</v>
      </c>
      <c r="E124" s="14" t="s">
        <v>13</v>
      </c>
      <c r="F124" s="13" t="s">
        <v>14</v>
      </c>
      <c r="G124" s="12" t="s">
        <v>15</v>
      </c>
      <c r="H124" s="12"/>
      <c r="I124" s="12"/>
      <c r="J124" s="11" t="s">
        <v>16</v>
      </c>
      <c r="K124" s="11" t="s">
        <v>17</v>
      </c>
      <c r="S124" s="31"/>
      <c r="W124" s="25"/>
      <c r="X124" s="83"/>
    </row>
    <row r="125" spans="1:24" s="16" customFormat="1" ht="16.5" thickBot="1">
      <c r="D125" s="351" t="s">
        <v>18</v>
      </c>
      <c r="E125" s="352">
        <f>SUBTOTAL(9,E126:E128)</f>
        <v>13860000</v>
      </c>
      <c r="K125" s="25"/>
    </row>
    <row r="126" spans="1:24" s="16" customFormat="1" outlineLevel="1">
      <c r="A126" s="16" t="str">
        <f>G126</f>
        <v>Cancelado</v>
      </c>
      <c r="B126" s="16">
        <f>IF(I126&lt;=-1,1,IF(I126&lt;=5,2,IF(I126&lt;=15,3,IF(H126&lt;=60,4))))</f>
        <v>2</v>
      </c>
      <c r="C126" s="24"/>
      <c r="D126" s="347" t="s">
        <v>93</v>
      </c>
      <c r="E126" s="350">
        <f>4747292*0</f>
        <v>0</v>
      </c>
      <c r="F126" s="7">
        <v>46055</v>
      </c>
      <c r="G126" s="16" t="s">
        <v>20</v>
      </c>
      <c r="H126" s="16">
        <f>IF(OR(G126="Sin pagar",G126="Pagar"),NETWORKDAYS($J$123,F126,'Festivos Colombia'!$A$3:$A$22),0)</f>
        <v>0</v>
      </c>
      <c r="I126" s="16">
        <f>NETWORKDAYS($J$123,F126,'Festivos Colombia'!$A$3:$A$22)</f>
        <v>1</v>
      </c>
      <c r="J126" s="46">
        <f>H126</f>
        <v>0</v>
      </c>
      <c r="K126" s="25"/>
      <c r="L126" s="25"/>
      <c r="M126" s="41"/>
    </row>
    <row r="127" spans="1:24" s="16" customFormat="1" outlineLevel="1">
      <c r="A127" s="16" t="str">
        <f>G127</f>
        <v>Cancelado</v>
      </c>
      <c r="B127" s="16">
        <f>IF(I127&lt;=-1,1,IF(I127&lt;=5,2,IF(I127&lt;=15,3,IF(H127&lt;=60,4))))</f>
        <v>3</v>
      </c>
      <c r="C127" s="24"/>
      <c r="D127" s="347" t="s">
        <v>19</v>
      </c>
      <c r="E127" s="350">
        <v>9500000</v>
      </c>
      <c r="F127" s="7">
        <v>46066</v>
      </c>
      <c r="G127" s="16" t="s">
        <v>20</v>
      </c>
      <c r="H127" s="16">
        <f>IF(OR(G127="Sin pagar",G127="Pagar"),NETWORKDAYS($J$123,F127,'Festivos Colombia'!$A$3:$A$22),0)</f>
        <v>0</v>
      </c>
      <c r="I127" s="16">
        <f>NETWORKDAYS($J$123,F127,'Festivos Colombia'!$A$3:$A$22)</f>
        <v>10</v>
      </c>
      <c r="J127" s="46">
        <f t="shared" ref="J127:J128" si="12">H127</f>
        <v>0</v>
      </c>
      <c r="K127" s="25"/>
      <c r="L127" s="25"/>
      <c r="M127" s="41"/>
    </row>
    <row r="128" spans="1:24" s="16" customFormat="1" ht="15.75" outlineLevel="1" thickBot="1">
      <c r="A128" s="16" t="str">
        <f>G128</f>
        <v>Cancelado</v>
      </c>
      <c r="B128" s="16">
        <f>IF(I128&lt;=-1,1,IF(I128&lt;=5,2,IF(I128&lt;=15,3,IF(H128&lt;=60,4))))</f>
        <v>3</v>
      </c>
      <c r="C128" s="24"/>
      <c r="D128" s="347" t="s">
        <v>93</v>
      </c>
      <c r="E128" s="350">
        <v>4360000</v>
      </c>
      <c r="F128" s="7">
        <v>46066</v>
      </c>
      <c r="G128" s="16" t="s">
        <v>20</v>
      </c>
      <c r="H128" s="16">
        <f>IF(OR(G128="Sin pagar",G128="Pagar"),NETWORKDAYS($J$123,F128,'Festivos Colombia'!$A$3:$A$22),0)</f>
        <v>0</v>
      </c>
      <c r="I128" s="16">
        <f>NETWORKDAYS($J$123,F128,'Festivos Colombia'!$A$3:$A$22)</f>
        <v>10</v>
      </c>
      <c r="J128" s="46">
        <f t="shared" si="12"/>
        <v>0</v>
      </c>
      <c r="K128" s="25"/>
      <c r="L128" s="25"/>
      <c r="M128" s="41"/>
    </row>
    <row r="129" spans="1:19" s="16" customFormat="1" ht="16.5" thickBot="1">
      <c r="C129" s="24"/>
      <c r="D129" s="351" t="s">
        <v>21</v>
      </c>
      <c r="E129" s="352">
        <f>SUBTOTAL(9,E130:E131)</f>
        <v>553825400</v>
      </c>
      <c r="F129" s="7"/>
      <c r="J129" s="29"/>
    </row>
    <row r="130" spans="1:19" s="16" customFormat="1" outlineLevel="1">
      <c r="A130" s="16" t="str">
        <f>G130</f>
        <v>Cancelado</v>
      </c>
      <c r="B130" s="16">
        <f>IF(I130&lt;=-1,1,IF(I130&lt;=5,2,IF(I130&lt;=15,3,IF(H130&lt;=60,4))))</f>
        <v>3</v>
      </c>
      <c r="C130" s="105">
        <v>176206200</v>
      </c>
      <c r="D130" s="95" t="s">
        <v>22</v>
      </c>
      <c r="E130" s="508">
        <v>553473400</v>
      </c>
      <c r="F130" s="7">
        <v>46065</v>
      </c>
      <c r="G130" s="16" t="s">
        <v>20</v>
      </c>
      <c r="H130" s="16">
        <f>IF(OR(G130="Sin pagar",G130="Pagar"),NETWORKDAYS($J$123,F130,'Festivos Colombia'!$A$3:$A$22),0)</f>
        <v>0</v>
      </c>
      <c r="I130" s="16">
        <f>NETWORKDAYS($J$123,F130,'Festivos Colombia'!$A$3:$A$22)</f>
        <v>9</v>
      </c>
      <c r="J130" s="46">
        <f t="shared" ref="J130" si="13">H130</f>
        <v>0</v>
      </c>
      <c r="K130" s="8"/>
      <c r="L130" s="25"/>
      <c r="M130" s="25"/>
    </row>
    <row r="131" spans="1:19" s="16" customFormat="1" ht="15.75" outlineLevel="1" thickBot="1">
      <c r="A131" s="16" t="str">
        <f>G131</f>
        <v>Cancelado</v>
      </c>
      <c r="B131" s="16">
        <f>IF(I131&lt;=-1,1,IF(I131&lt;=5,2,IF(I131&lt;=15,3,IF(H131&lt;=60,4))))</f>
        <v>4</v>
      </c>
      <c r="C131" s="105">
        <v>176206200</v>
      </c>
      <c r="D131" s="95" t="s">
        <v>1354</v>
      </c>
      <c r="E131" s="508">
        <v>352000</v>
      </c>
      <c r="F131" s="7">
        <v>46085</v>
      </c>
      <c r="G131" s="16" t="s">
        <v>20</v>
      </c>
      <c r="H131" s="16">
        <f>IF(OR(G131="Sin pagar",G131="Pagar"),NETWORKDAYS($J$123,F131,'Festivos Colombia'!$A$3:$A$22),0)</f>
        <v>0</v>
      </c>
      <c r="I131" s="16">
        <f>NETWORKDAYS($J$123,F131,'Festivos Colombia'!$A$3:$A$22)</f>
        <v>23</v>
      </c>
      <c r="J131" s="46">
        <f t="shared" ref="J131" si="14">H131</f>
        <v>0</v>
      </c>
      <c r="K131" s="8"/>
      <c r="L131" s="25"/>
      <c r="M131" s="25"/>
    </row>
    <row r="132" spans="1:19" s="16" customFormat="1" ht="16.5" thickBot="1">
      <c r="C132" s="24"/>
      <c r="D132" s="351" t="s">
        <v>23</v>
      </c>
      <c r="E132" s="352">
        <f>SUBTOTAL(9,E133:E135)</f>
        <v>14755460</v>
      </c>
      <c r="K132" s="34"/>
      <c r="L132" s="25"/>
    </row>
    <row r="133" spans="1:19" s="16" customFormat="1" outlineLevel="1">
      <c r="A133" s="16" t="str">
        <f t="shared" ref="A133:A135" si="15">G133</f>
        <v>Cancelado</v>
      </c>
      <c r="B133" s="16">
        <f t="shared" ref="B133:B135" si="16">IF(I133&lt;=-1,1,IF(I133&lt;=5,2,IF(I133&lt;=15,3,IF(H133&lt;=60,4))))</f>
        <v>4</v>
      </c>
      <c r="C133" s="24"/>
      <c r="D133" s="9" t="s">
        <v>101</v>
      </c>
      <c r="E133" s="8">
        <v>1000000</v>
      </c>
      <c r="F133" s="7">
        <v>46080</v>
      </c>
      <c r="G133" s="16" t="s">
        <v>20</v>
      </c>
      <c r="H133" s="16">
        <f>IF(OR(G133="Sin pagar",G133="Pagar"),NETWORKDAYS($J$123,F133,'Festivos Colombia'!$A$3:$A$22),0)</f>
        <v>0</v>
      </c>
      <c r="I133" s="16">
        <f>NETWORKDAYS($J$123,F133,'Festivos Colombia'!$A$3:$A$22)</f>
        <v>20</v>
      </c>
      <c r="J133" s="46">
        <f t="shared" ref="J133:J139" si="17">H133</f>
        <v>0</v>
      </c>
      <c r="K133" s="25"/>
      <c r="L133" s="25"/>
    </row>
    <row r="134" spans="1:19" s="16" customFormat="1" outlineLevel="1">
      <c r="A134" s="16" t="str">
        <f t="shared" si="15"/>
        <v>Cancelado</v>
      </c>
      <c r="B134" s="16">
        <f t="shared" si="16"/>
        <v>4</v>
      </c>
      <c r="C134" s="24"/>
      <c r="D134" s="9" t="s">
        <v>24</v>
      </c>
      <c r="E134" s="8">
        <f>7600000+4000000</f>
        <v>11600000</v>
      </c>
      <c r="F134" s="7">
        <v>46080</v>
      </c>
      <c r="G134" s="16" t="s">
        <v>20</v>
      </c>
      <c r="H134" s="16">
        <f>IF(OR(G134="Sin pagar",G134="Pagar"),NETWORKDAYS($J$123,F134,'Festivos Colombia'!$A$3:$A$22),0)</f>
        <v>0</v>
      </c>
      <c r="I134" s="16">
        <f>NETWORKDAYS($J$123,F134,'Festivos Colombia'!$A$3:$A$22)</f>
        <v>20</v>
      </c>
      <c r="J134" s="46">
        <f t="shared" si="17"/>
        <v>0</v>
      </c>
      <c r="L134" s="25"/>
      <c r="M134" s="25"/>
    </row>
    <row r="135" spans="1:19" s="16" customFormat="1" ht="15.75" outlineLevel="1" thickBot="1">
      <c r="A135" s="16" t="str">
        <f t="shared" si="15"/>
        <v>Cancelado</v>
      </c>
      <c r="B135" s="16">
        <f t="shared" si="16"/>
        <v>4</v>
      </c>
      <c r="C135" s="24"/>
      <c r="D135" s="9" t="s">
        <v>102</v>
      </c>
      <c r="E135" s="8">
        <v>2155460</v>
      </c>
      <c r="F135" s="7">
        <v>46080</v>
      </c>
      <c r="G135" s="16" t="s">
        <v>20</v>
      </c>
      <c r="H135" s="16">
        <f>IF(OR(G135="Sin pagar",G135="Pagar"),NETWORKDAYS($J$123,F135,'Festivos Colombia'!$A$3:$A$22),0)</f>
        <v>0</v>
      </c>
      <c r="I135" s="16">
        <f>NETWORKDAYS($J$123,F135,'Festivos Colombia'!$A$3:$A$22)</f>
        <v>20</v>
      </c>
      <c r="J135" s="46">
        <f t="shared" si="17"/>
        <v>0</v>
      </c>
      <c r="K135" s="25"/>
      <c r="L135" s="25"/>
      <c r="M135" s="25"/>
    </row>
    <row r="136" spans="1:19" s="16" customFormat="1" ht="16.5" thickBot="1">
      <c r="C136" s="24"/>
      <c r="D136" s="351" t="s">
        <v>26</v>
      </c>
      <c r="E136" s="352">
        <f>SUBTOTAL(9,E137:E138)</f>
        <v>202328000</v>
      </c>
      <c r="J136" s="29">
        <f t="shared" si="17"/>
        <v>0</v>
      </c>
      <c r="K136" s="25"/>
      <c r="L136" s="25"/>
    </row>
    <row r="137" spans="1:19" s="16" customFormat="1" outlineLevel="1">
      <c r="A137" s="16" t="str">
        <f>G137</f>
        <v>Cancelado</v>
      </c>
      <c r="B137" s="16">
        <f>IF(I137&lt;=-1,1,IF(I137&lt;=5,2,IF(I137&lt;=15,3,IF(H137&lt;=60,4))))</f>
        <v>3</v>
      </c>
      <c r="C137" s="60"/>
      <c r="D137" s="9" t="s">
        <v>28</v>
      </c>
      <c r="E137" s="508">
        <f>189690000+138000</f>
        <v>189828000</v>
      </c>
      <c r="F137" s="353">
        <v>46071</v>
      </c>
      <c r="G137" s="16" t="s">
        <v>20</v>
      </c>
      <c r="H137" s="16">
        <f>IF(OR(G137="Sin pagar",G137="Pagar"),NETWORKDAYS($J$123,F137,'Festivos Colombia'!$A$3:$A$22),0)</f>
        <v>0</v>
      </c>
      <c r="I137" s="16">
        <f>NETWORKDAYS($J$123,F137,'Festivos Colombia'!$A$3:$A$22)</f>
        <v>13</v>
      </c>
      <c r="J137" s="46">
        <f>H137</f>
        <v>0</v>
      </c>
      <c r="K137" s="8"/>
      <c r="L137" s="41"/>
      <c r="M137" s="236"/>
    </row>
    <row r="138" spans="1:19" s="16" customFormat="1" ht="15.75" outlineLevel="1" thickBot="1">
      <c r="C138" s="60"/>
      <c r="D138" s="9" t="s">
        <v>1086</v>
      </c>
      <c r="E138" s="508">
        <v>12500000</v>
      </c>
      <c r="F138" s="353">
        <v>46079</v>
      </c>
      <c r="G138" s="16" t="s">
        <v>20</v>
      </c>
      <c r="H138" s="16">
        <f>IF(OR(G138="Sin pagar",G138="Pagar"),NETWORKDAYS($J$123,F138,'Festivos Colombia'!$A$3:$A$22),0)</f>
        <v>0</v>
      </c>
      <c r="I138" s="16">
        <f>NETWORKDAYS($J$123,F138,'Festivos Colombia'!$A$3:$A$22)</f>
        <v>19</v>
      </c>
      <c r="J138" s="46">
        <f>H138</f>
        <v>0</v>
      </c>
      <c r="K138" s="8"/>
      <c r="L138" s="41"/>
      <c r="M138" s="236"/>
    </row>
    <row r="139" spans="1:19" s="16" customFormat="1" ht="16.5" thickBot="1">
      <c r="C139" s="24"/>
      <c r="D139" s="351" t="s">
        <v>31</v>
      </c>
      <c r="E139" s="352">
        <f>SUBTOTAL(9,E140:E165)</f>
        <v>15504181.913000001</v>
      </c>
      <c r="J139" s="29">
        <f t="shared" si="17"/>
        <v>0</v>
      </c>
      <c r="K139" s="34"/>
      <c r="L139" s="25"/>
      <c r="M139" s="25"/>
    </row>
    <row r="140" spans="1:19" s="16" customFormat="1" outlineLevel="1">
      <c r="A140" s="16" t="str">
        <f>G140</f>
        <v>Cancelado</v>
      </c>
      <c r="B140" s="16">
        <f>IF(I140&lt;=-1,1,IF(I140&lt;=5,2,IF(I140&lt;=15,3,IF(H140&lt;=60,4))))</f>
        <v>2</v>
      </c>
      <c r="C140" s="24">
        <v>3</v>
      </c>
      <c r="D140" s="9" t="s">
        <v>597</v>
      </c>
      <c r="E140" s="8">
        <v>292000</v>
      </c>
      <c r="F140" s="353">
        <v>46058</v>
      </c>
      <c r="G140" s="16" t="s">
        <v>20</v>
      </c>
      <c r="H140" s="16">
        <f>IF(OR(G140="Sin pagar",G140="Pagar"),NETWORKDAYS($J$123,F140,'Festivos Colombia'!$A$3:$A$22),0)</f>
        <v>0</v>
      </c>
      <c r="I140" s="16">
        <f>NETWORKDAYS($J$123,F140,'Festivos Colombia'!$A$3:$A$22)</f>
        <v>4</v>
      </c>
      <c r="J140" s="46">
        <f>H140</f>
        <v>0</v>
      </c>
      <c r="K140" s="58"/>
      <c r="S140" s="27"/>
    </row>
    <row r="141" spans="1:19" s="16" customFormat="1" outlineLevel="1">
      <c r="A141" s="16" t="str">
        <f t="shared" ref="A141:A142" si="18">G141</f>
        <v>Cancelado</v>
      </c>
      <c r="B141" s="16">
        <f t="shared" ref="B141:B142" si="19">IF(I141&lt;=-1,1,IF(I141&lt;=5,2,IF(I141&lt;=15,3,IF(H141&lt;=60,4))))</f>
        <v>2</v>
      </c>
      <c r="C141" s="24" t="s">
        <v>1078</v>
      </c>
      <c r="D141" s="9" t="s">
        <v>826</v>
      </c>
      <c r="E141" s="8">
        <v>401399.68</v>
      </c>
      <c r="F141" s="353">
        <v>46058</v>
      </c>
      <c r="G141" s="16" t="s">
        <v>20</v>
      </c>
      <c r="H141" s="16">
        <f>IF(OR(G141="Sin pagar",G141="Pagar"),NETWORKDAYS($J$123,F141,'Festivos Colombia'!$A$3:$A$22),0)</f>
        <v>0</v>
      </c>
      <c r="I141" s="16">
        <f>NETWORKDAYS($J$123,F141,'Festivos Colombia'!$A$3:$A$22)</f>
        <v>4</v>
      </c>
      <c r="J141" s="46">
        <f>H141</f>
        <v>0</v>
      </c>
      <c r="K141" s="58"/>
      <c r="L141" s="25"/>
    </row>
    <row r="142" spans="1:19" s="16" customFormat="1" outlineLevel="1">
      <c r="A142" s="16" t="str">
        <f t="shared" si="18"/>
        <v>Cancelado</v>
      </c>
      <c r="B142" s="16">
        <f t="shared" si="19"/>
        <v>2</v>
      </c>
      <c r="C142" s="24" t="s">
        <v>1080</v>
      </c>
      <c r="D142" s="9" t="s">
        <v>32</v>
      </c>
      <c r="E142" s="8">
        <v>358066.76</v>
      </c>
      <c r="F142" s="353">
        <v>46058</v>
      </c>
      <c r="G142" s="16" t="s">
        <v>20</v>
      </c>
      <c r="H142" s="16">
        <f>IF(OR(G142="Sin pagar",G142="Pagar"),NETWORKDAYS($J$123,F142,'Festivos Colombia'!$A$3:$A$22),0)</f>
        <v>0</v>
      </c>
      <c r="I142" s="16">
        <f>NETWORKDAYS($J$123,F142,'Festivos Colombia'!$A$3:$A$22)</f>
        <v>4</v>
      </c>
      <c r="J142" s="46">
        <f t="shared" ref="J142" si="20">H142</f>
        <v>0</v>
      </c>
      <c r="K142" s="58"/>
      <c r="L142" s="25"/>
    </row>
    <row r="143" spans="1:19" s="16" customFormat="1" outlineLevel="1">
      <c r="A143" s="16" t="str">
        <f t="shared" ref="A143:A156" si="21">G143</f>
        <v>Cancelado</v>
      </c>
      <c r="B143" s="16">
        <f t="shared" ref="B143:B156" si="22">IF(I143&lt;=-1,1,IF(I143&lt;=5,2,IF(I143&lt;=15,3,IF(H143&lt;=60,4))))</f>
        <v>2</v>
      </c>
      <c r="C143" s="234" t="s">
        <v>1079</v>
      </c>
      <c r="D143" s="9" t="s">
        <v>33</v>
      </c>
      <c r="E143" s="8">
        <v>362747</v>
      </c>
      <c r="F143" s="353">
        <v>46058</v>
      </c>
      <c r="G143" s="16" t="s">
        <v>20</v>
      </c>
      <c r="H143" s="16">
        <f>IF(OR(G143="Sin pagar",G143="Pagar"),NETWORKDAYS($J$123,F143,'Festivos Colombia'!$A$3:$A$22),0)</f>
        <v>0</v>
      </c>
      <c r="I143" s="16">
        <f>NETWORKDAYS($J$123,F143,'Festivos Colombia'!$A$3:$A$22)</f>
        <v>4</v>
      </c>
      <c r="J143" s="46">
        <f t="shared" ref="J143:J156" si="23">H143</f>
        <v>0</v>
      </c>
      <c r="K143" s="58"/>
      <c r="L143" s="14"/>
      <c r="M143" s="8"/>
    </row>
    <row r="144" spans="1:19" s="16" customFormat="1" ht="14.25" customHeight="1" outlineLevel="1">
      <c r="A144" s="16" t="str">
        <f t="shared" si="21"/>
        <v>Cancelado</v>
      </c>
      <c r="B144" s="16">
        <f t="shared" si="22"/>
        <v>2</v>
      </c>
      <c r="C144" s="581" t="s">
        <v>1082</v>
      </c>
      <c r="D144" s="9" t="s">
        <v>1081</v>
      </c>
      <c r="E144" s="350">
        <v>660557</v>
      </c>
      <c r="F144" s="353">
        <v>46058</v>
      </c>
      <c r="G144" s="16" t="s">
        <v>20</v>
      </c>
      <c r="H144" s="16">
        <f>IF(OR(G144="Sin pagar",G144="Pagar"),NETWORKDAYS($J$123,F144,'Festivos Colombia'!$A$3:$A$22),0)</f>
        <v>0</v>
      </c>
      <c r="I144" s="16">
        <f>NETWORKDAYS($J$123,F144,'Festivos Colombia'!$A$3:$A$22)</f>
        <v>4</v>
      </c>
      <c r="J144" s="46">
        <f t="shared" si="23"/>
        <v>0</v>
      </c>
      <c r="K144" s="58"/>
      <c r="S144" s="27"/>
    </row>
    <row r="145" spans="1:21" s="16" customFormat="1" ht="14.25" customHeight="1" outlineLevel="1">
      <c r="A145" s="16" t="str">
        <f t="shared" si="21"/>
        <v>Cancelado</v>
      </c>
      <c r="B145" s="16">
        <f t="shared" si="22"/>
        <v>2</v>
      </c>
      <c r="C145" s="581" t="s">
        <v>1084</v>
      </c>
      <c r="D145" s="9" t="s">
        <v>1083</v>
      </c>
      <c r="E145" s="350">
        <v>450000</v>
      </c>
      <c r="F145" s="353">
        <v>46058</v>
      </c>
      <c r="G145" s="16" t="s">
        <v>20</v>
      </c>
      <c r="H145" s="16">
        <f>IF(OR(G145="Sin pagar",G145="Pagar"),NETWORKDAYS($J$123,F145,'Festivos Colombia'!$A$3:$A$22),0)</f>
        <v>0</v>
      </c>
      <c r="I145" s="16">
        <f>NETWORKDAYS($J$123,F145,'Festivos Colombia'!$A$3:$A$22)</f>
        <v>4</v>
      </c>
      <c r="J145" s="46">
        <f t="shared" si="23"/>
        <v>0</v>
      </c>
      <c r="K145" s="58"/>
      <c r="S145" s="27"/>
    </row>
    <row r="146" spans="1:21" s="16" customFormat="1" outlineLevel="1">
      <c r="A146" s="16" t="str">
        <f t="shared" si="21"/>
        <v>Cancelado</v>
      </c>
      <c r="B146" s="16">
        <f t="shared" si="22"/>
        <v>2</v>
      </c>
      <c r="C146" s="24">
        <v>33</v>
      </c>
      <c r="D146" s="9" t="s">
        <v>85</v>
      </c>
      <c r="E146" s="8">
        <v>500000</v>
      </c>
      <c r="F146" s="353">
        <v>46059</v>
      </c>
      <c r="G146" s="16" t="s">
        <v>20</v>
      </c>
      <c r="H146" s="16">
        <f>IF(OR(G146="Sin pagar",G146="Pagar"),NETWORKDAYS($J$123,F146,'Festivos Colombia'!$A$3:$A$22),0)</f>
        <v>0</v>
      </c>
      <c r="I146" s="16">
        <f>NETWORKDAYS($J$123,F146,'Festivos Colombia'!$A$3:$A$22)</f>
        <v>5</v>
      </c>
      <c r="J146" s="46">
        <f t="shared" si="23"/>
        <v>0</v>
      </c>
      <c r="K146" s="58"/>
      <c r="S146" s="27"/>
    </row>
    <row r="147" spans="1:21" s="16" customFormat="1" outlineLevel="1">
      <c r="A147" s="16" t="str">
        <f t="shared" ref="A147" si="24">G147</f>
        <v>Cancelado</v>
      </c>
      <c r="B147" s="16">
        <f t="shared" ref="B147" si="25">IF(I147&lt;=-1,1,IF(I147&lt;=5,2,IF(I147&lt;=15,3,IF(H147&lt;=60,4))))</f>
        <v>3</v>
      </c>
      <c r="C147" s="24" t="s">
        <v>38</v>
      </c>
      <c r="D147" s="9" t="s">
        <v>1118</v>
      </c>
      <c r="E147" s="8">
        <v>3828226</v>
      </c>
      <c r="F147" s="353">
        <v>46065</v>
      </c>
      <c r="G147" s="16" t="s">
        <v>20</v>
      </c>
      <c r="H147" s="16">
        <f>IF(OR(G147="Sin pagar",G147="Pagar"),NETWORKDAYS($J$123,F147,'Festivos Colombia'!$A$3:$A$22),0)</f>
        <v>0</v>
      </c>
      <c r="I147" s="16">
        <f>NETWORKDAYS($J$123,F147,'Festivos Colombia'!$A$3:$A$22)</f>
        <v>9</v>
      </c>
      <c r="J147" s="46">
        <f t="shared" ref="J147" si="26">H147</f>
        <v>0</v>
      </c>
      <c r="K147" s="58"/>
      <c r="S147" s="27"/>
    </row>
    <row r="148" spans="1:21" s="16" customFormat="1" outlineLevel="1">
      <c r="A148" s="16" t="str">
        <f t="shared" si="21"/>
        <v>Cancelado</v>
      </c>
      <c r="B148" s="16">
        <f t="shared" si="22"/>
        <v>3</v>
      </c>
      <c r="C148" s="24">
        <v>27377</v>
      </c>
      <c r="D148" s="9" t="s">
        <v>610</v>
      </c>
      <c r="E148" s="8">
        <v>667200.51299999992</v>
      </c>
      <c r="F148" s="353">
        <v>46066</v>
      </c>
      <c r="G148" s="16" t="s">
        <v>20</v>
      </c>
      <c r="H148" s="16">
        <f>IF(OR(G148="Sin pagar",G148="Pagar"),NETWORKDAYS($J$123,F148,'Festivos Colombia'!$A$3:$A$22),0)</f>
        <v>0</v>
      </c>
      <c r="I148" s="16">
        <f>NETWORKDAYS($J$123,F148,'Festivos Colombia'!$A$3:$A$22)</f>
        <v>10</v>
      </c>
      <c r="J148" s="46">
        <f t="shared" si="23"/>
        <v>0</v>
      </c>
      <c r="K148" s="58"/>
      <c r="S148" s="27"/>
    </row>
    <row r="149" spans="1:21" s="16" customFormat="1" ht="14.25" customHeight="1" outlineLevel="1">
      <c r="A149" s="16" t="str">
        <f t="shared" si="21"/>
        <v>Cancelado</v>
      </c>
      <c r="B149" s="16">
        <f t="shared" si="22"/>
        <v>3</v>
      </c>
      <c r="C149" s="525" t="s">
        <v>846</v>
      </c>
      <c r="D149" s="9" t="s">
        <v>569</v>
      </c>
      <c r="E149" s="350">
        <f>1244113.7</f>
        <v>1244113.7</v>
      </c>
      <c r="F149" s="353">
        <v>46066</v>
      </c>
      <c r="G149" s="16" t="s">
        <v>20</v>
      </c>
      <c r="H149" s="16">
        <f>IF(OR(G149="Sin pagar",G149="Pagar"),NETWORKDAYS($J$123,F149,'Festivos Colombia'!$A$3:$A$22),0)</f>
        <v>0</v>
      </c>
      <c r="I149" s="16">
        <f>NETWORKDAYS($J$123,F149,'Festivos Colombia'!$A$3:$A$22)</f>
        <v>10</v>
      </c>
      <c r="J149" s="46">
        <f t="shared" si="23"/>
        <v>0</v>
      </c>
      <c r="K149" s="58"/>
      <c r="S149" s="27"/>
    </row>
    <row r="150" spans="1:21" s="16" customFormat="1" outlineLevel="1">
      <c r="A150" s="16" t="str">
        <f t="shared" ref="A150" si="27">G150</f>
        <v>Cancelado</v>
      </c>
      <c r="B150" s="16">
        <f t="shared" ref="B150" si="28">IF(I150&lt;=-1,1,IF(I150&lt;=5,2,IF(I150&lt;=15,3,IF(H150&lt;=60,4))))</f>
        <v>3</v>
      </c>
      <c r="C150" s="24">
        <v>34</v>
      </c>
      <c r="D150" s="9" t="s">
        <v>85</v>
      </c>
      <c r="E150" s="8">
        <v>690000</v>
      </c>
      <c r="F150" s="353">
        <v>46072</v>
      </c>
      <c r="G150" s="16" t="s">
        <v>20</v>
      </c>
      <c r="H150" s="16">
        <f>IF(OR(G150="Sin pagar",G150="Pagar"),NETWORKDAYS($J$123,F150,'Festivos Colombia'!$A$3:$A$22),0)</f>
        <v>0</v>
      </c>
      <c r="I150" s="16">
        <f>NETWORKDAYS($J$123,F150,'Festivos Colombia'!$A$3:$A$22)</f>
        <v>14</v>
      </c>
      <c r="J150" s="46">
        <f t="shared" ref="J150" si="29">H150</f>
        <v>0</v>
      </c>
      <c r="K150" s="58"/>
      <c r="S150" s="27"/>
    </row>
    <row r="151" spans="1:21" s="16" customFormat="1" outlineLevel="1">
      <c r="A151" s="16" t="str">
        <f t="shared" ref="A151" si="30">G151</f>
        <v>Cancelado</v>
      </c>
      <c r="B151" s="16">
        <f t="shared" ref="B151" si="31">IF(I151&lt;=-1,1,IF(I151&lt;=5,2,IF(I151&lt;=15,3,IF(H151&lt;=60,4))))</f>
        <v>3</v>
      </c>
      <c r="C151" s="24">
        <v>35</v>
      </c>
      <c r="D151" s="9" t="s">
        <v>85</v>
      </c>
      <c r="E151" s="8">
        <v>558000</v>
      </c>
      <c r="F151" s="353">
        <v>46072</v>
      </c>
      <c r="G151" s="16" t="s">
        <v>20</v>
      </c>
      <c r="H151" s="16">
        <f>IF(OR(G151="Sin pagar",G151="Pagar"),NETWORKDAYS($J$123,F151,'Festivos Colombia'!$A$3:$A$22),0)</f>
        <v>0</v>
      </c>
      <c r="I151" s="16">
        <f>NETWORKDAYS($J$123,F151,'Festivos Colombia'!$A$3:$A$22)</f>
        <v>14</v>
      </c>
      <c r="J151" s="46">
        <f t="shared" ref="J151" si="32">H151</f>
        <v>0</v>
      </c>
      <c r="K151" s="58"/>
      <c r="S151" s="27"/>
    </row>
    <row r="152" spans="1:21" s="16" customFormat="1" outlineLevel="1">
      <c r="A152" s="16" t="str">
        <f t="shared" si="21"/>
        <v>Cancelado</v>
      </c>
      <c r="B152" s="16">
        <f t="shared" si="22"/>
        <v>3</v>
      </c>
      <c r="C152" s="24" t="s">
        <v>1134</v>
      </c>
      <c r="D152" s="9" t="s">
        <v>1135</v>
      </c>
      <c r="E152" s="8">
        <v>150524.88</v>
      </c>
      <c r="F152" s="353">
        <v>46073</v>
      </c>
      <c r="G152" s="16" t="s">
        <v>20</v>
      </c>
      <c r="H152" s="16">
        <f>IF(OR(G152="Sin pagar",G152="Pagar"),NETWORKDAYS($J$123,F152,'Festivos Colombia'!$A$3:$A$22),0)</f>
        <v>0</v>
      </c>
      <c r="I152" s="16">
        <f>NETWORKDAYS($J$123,F152,'Festivos Colombia'!$A$3:$A$22)</f>
        <v>15</v>
      </c>
      <c r="J152" s="46">
        <f>H152</f>
        <v>0</v>
      </c>
      <c r="K152" s="58"/>
      <c r="L152" s="25"/>
    </row>
    <row r="153" spans="1:21" s="16" customFormat="1" outlineLevel="1">
      <c r="A153" s="16" t="str">
        <f t="shared" ref="A153" si="33">G153</f>
        <v>Cancelado</v>
      </c>
      <c r="B153" s="16">
        <f t="shared" ref="B153" si="34">IF(I153&lt;=-1,1,IF(I153&lt;=5,2,IF(I153&lt;=15,3,IF(H153&lt;=60,4))))</f>
        <v>3</v>
      </c>
      <c r="C153" s="24" t="s">
        <v>1217</v>
      </c>
      <c r="D153" s="9" t="s">
        <v>1135</v>
      </c>
      <c r="E153" s="8">
        <v>150524.88</v>
      </c>
      <c r="F153" s="353">
        <v>46073</v>
      </c>
      <c r="G153" s="16" t="s">
        <v>20</v>
      </c>
      <c r="H153" s="16">
        <f>IF(OR(G153="Sin pagar",G153="Pagar"),NETWORKDAYS($J$123,F153,'Festivos Colombia'!$A$3:$A$22),0)</f>
        <v>0</v>
      </c>
      <c r="I153" s="16">
        <f>NETWORKDAYS($J$123,F153,'Festivos Colombia'!$A$3:$A$22)</f>
        <v>15</v>
      </c>
      <c r="J153" s="46">
        <f>H153</f>
        <v>0</v>
      </c>
      <c r="K153" s="58"/>
      <c r="L153" s="25"/>
    </row>
    <row r="154" spans="1:21" s="16" customFormat="1" ht="14.25" customHeight="1" outlineLevel="1">
      <c r="A154" s="16" t="str">
        <f t="shared" ref="A154" si="35">G154</f>
        <v>Cancelado</v>
      </c>
      <c r="B154" s="16">
        <f t="shared" ref="B154" si="36">IF(I154&lt;=-1,1,IF(I154&lt;=5,2,IF(I154&lt;=15,3,IF(H154&lt;=60,4))))</f>
        <v>3</v>
      </c>
      <c r="C154" s="645" t="s">
        <v>1126</v>
      </c>
      <c r="D154" s="9" t="s">
        <v>34</v>
      </c>
      <c r="E154" s="350">
        <v>180000</v>
      </c>
      <c r="F154" s="353">
        <v>46073</v>
      </c>
      <c r="G154" s="16" t="s">
        <v>20</v>
      </c>
      <c r="H154" s="16">
        <f>IF(OR(G154="Sin pagar",G154="Pagar"),NETWORKDAYS($J$123,F154,'Festivos Colombia'!$A$3:$A$22),0)</f>
        <v>0</v>
      </c>
      <c r="I154" s="16">
        <f>NETWORKDAYS($J$123,F154,'Festivos Colombia'!$A$3:$A$22)</f>
        <v>15</v>
      </c>
      <c r="J154" s="46">
        <f t="shared" ref="J154" si="37">H154</f>
        <v>0</v>
      </c>
      <c r="K154" s="58"/>
      <c r="S154" s="27"/>
    </row>
    <row r="155" spans="1:21" s="16" customFormat="1" outlineLevel="1">
      <c r="A155" s="16" t="str">
        <f t="shared" ref="A155" si="38">G155</f>
        <v>Cancelado</v>
      </c>
      <c r="B155" s="16">
        <f t="shared" ref="B155" si="39">IF(I155&lt;=-1,1,IF(I155&lt;=5,2,IF(I155&lt;=15,3,IF(H155&lt;=60,4))))</f>
        <v>3</v>
      </c>
      <c r="C155" s="24">
        <v>27567</v>
      </c>
      <c r="D155" s="9" t="s">
        <v>610</v>
      </c>
      <c r="E155" s="8">
        <v>23850</v>
      </c>
      <c r="F155" s="353">
        <v>46073</v>
      </c>
      <c r="G155" s="16" t="s">
        <v>20</v>
      </c>
      <c r="H155" s="16">
        <f>IF(OR(G155="Sin pagar",G155="Pagar"),NETWORKDAYS($J$123,F155,'Festivos Colombia'!$A$3:$A$22),0)</f>
        <v>0</v>
      </c>
      <c r="I155" s="16">
        <f>NETWORKDAYS($J$123,F155,'Festivos Colombia'!$A$3:$A$22)</f>
        <v>15</v>
      </c>
      <c r="J155" s="46">
        <f t="shared" ref="J155" si="40">H155</f>
        <v>0</v>
      </c>
      <c r="K155" s="58"/>
      <c r="S155" s="27"/>
    </row>
    <row r="156" spans="1:21" s="16" customFormat="1" outlineLevel="1">
      <c r="A156" s="16" t="str">
        <f t="shared" si="21"/>
        <v>Cancelado</v>
      </c>
      <c r="B156" s="16">
        <f t="shared" si="22"/>
        <v>3</v>
      </c>
      <c r="C156" s="24">
        <v>17</v>
      </c>
      <c r="D156" s="9" t="s">
        <v>112</v>
      </c>
      <c r="E156" s="350">
        <v>1609302.5</v>
      </c>
      <c r="F156" s="7">
        <v>46072</v>
      </c>
      <c r="G156" s="16" t="s">
        <v>20</v>
      </c>
      <c r="H156" s="16">
        <f>IF(OR(G156="Sin pagar",G156="Pagar"),NETWORKDAYS($J$123,F156,'Festivos Colombia'!$A$3:$A$22),0)</f>
        <v>0</v>
      </c>
      <c r="I156" s="16">
        <f>NETWORKDAYS($J$123,F156,'Festivos Colombia'!$A$3:$A$22)</f>
        <v>14</v>
      </c>
      <c r="J156" s="46">
        <f t="shared" si="23"/>
        <v>0</v>
      </c>
      <c r="K156" s="58"/>
      <c r="S156" s="27"/>
    </row>
    <row r="157" spans="1:21" s="16" customFormat="1" outlineLevel="1">
      <c r="A157" s="16" t="str">
        <f t="shared" ref="A157:A160" si="41">G157</f>
        <v>Cancelado</v>
      </c>
      <c r="B157" s="16">
        <f t="shared" ref="B157:B160" si="42">IF(I157&lt;=-1,1,IF(I157&lt;=5,2,IF(I157&lt;=15,3,IF(H157&lt;=60,4))))</f>
        <v>4</v>
      </c>
      <c r="C157" s="234" t="s">
        <v>1283</v>
      </c>
      <c r="D157" s="9" t="s">
        <v>1282</v>
      </c>
      <c r="E157" s="8">
        <v>946770</v>
      </c>
      <c r="F157" s="353">
        <v>46078</v>
      </c>
      <c r="G157" s="16" t="s">
        <v>20</v>
      </c>
      <c r="H157" s="16">
        <f>IF(OR(G157="Sin pagar",G157="Pagar"),NETWORKDAYS($J$123,F157,'Festivos Colombia'!$A$3:$A$22),0)</f>
        <v>0</v>
      </c>
      <c r="I157" s="16">
        <f>NETWORKDAYS($J$123,F157,'Festivos Colombia'!$A$3:$A$22)</f>
        <v>18</v>
      </c>
      <c r="J157" s="46">
        <f t="shared" ref="J157:J160" si="43">H157</f>
        <v>0</v>
      </c>
      <c r="K157" s="58"/>
      <c r="L157" s="14"/>
      <c r="M157" s="8"/>
    </row>
    <row r="158" spans="1:21" s="16" customFormat="1" ht="14.25" customHeight="1" outlineLevel="1">
      <c r="A158" s="16" t="str">
        <f t="shared" si="41"/>
        <v>Cancelado</v>
      </c>
      <c r="B158" s="16">
        <f t="shared" si="42"/>
        <v>4</v>
      </c>
      <c r="C158" s="674" t="s">
        <v>1353</v>
      </c>
      <c r="D158" s="9" t="s">
        <v>1352</v>
      </c>
      <c r="E158" s="350">
        <v>221750</v>
      </c>
      <c r="F158" s="353">
        <v>46080</v>
      </c>
      <c r="G158" s="16" t="s">
        <v>20</v>
      </c>
      <c r="H158" s="16">
        <f>IF(OR(G158="Sin pagar",G158="Pagar"),NETWORKDAYS($J$123,F158,'Festivos Colombia'!$A$3:$A$22),0)</f>
        <v>0</v>
      </c>
      <c r="I158" s="16">
        <f>NETWORKDAYS($J$123,F158,'Festivos Colombia'!$A$3:$A$22)</f>
        <v>20</v>
      </c>
      <c r="J158" s="46">
        <f t="shared" si="43"/>
        <v>0</v>
      </c>
      <c r="K158" s="58"/>
      <c r="S158" s="27"/>
    </row>
    <row r="159" spans="1:21" s="16" customFormat="1" outlineLevel="1">
      <c r="A159" s="16" t="str">
        <f t="shared" si="41"/>
        <v>Cancelado</v>
      </c>
      <c r="B159" s="16">
        <f t="shared" si="42"/>
        <v>4</v>
      </c>
      <c r="C159" s="198" t="s">
        <v>1366</v>
      </c>
      <c r="D159" s="9" t="s">
        <v>1364</v>
      </c>
      <c r="E159" s="350">
        <v>1379355</v>
      </c>
      <c r="F159" s="353">
        <v>46085</v>
      </c>
      <c r="G159" s="16" t="s">
        <v>20</v>
      </c>
      <c r="H159" s="16">
        <f>IF(OR(G159="Sin pagar",G159="Pagar"),NETWORKDAYS($J$123,F159,'Festivos Colombia'!$A$3:$A$22),0)</f>
        <v>0</v>
      </c>
      <c r="I159" s="16">
        <f>NETWORKDAYS($J$123,F159,'Festivos Colombia'!$A$3:$A$22)</f>
        <v>23</v>
      </c>
      <c r="J159" s="46">
        <f t="shared" si="43"/>
        <v>0</v>
      </c>
      <c r="K159" s="58"/>
      <c r="S159" s="27"/>
    </row>
    <row r="160" spans="1:21" s="16" customFormat="1" outlineLevel="1">
      <c r="A160" s="16" t="str">
        <f t="shared" si="41"/>
        <v>Cancelado</v>
      </c>
      <c r="B160" s="16">
        <f t="shared" si="42"/>
        <v>4</v>
      </c>
      <c r="C160" s="56">
        <v>6027748555</v>
      </c>
      <c r="D160" s="9" t="s">
        <v>1365</v>
      </c>
      <c r="E160" s="350">
        <v>829794</v>
      </c>
      <c r="F160" s="353">
        <v>46085</v>
      </c>
      <c r="G160" s="16" t="s">
        <v>20</v>
      </c>
      <c r="H160" s="16">
        <f>IF(OR(G160="Sin pagar",G160="Pagar"),NETWORKDAYS($J$123,F160,'Festivos Colombia'!$A$3:$A$22),0)</f>
        <v>0</v>
      </c>
      <c r="I160" s="16">
        <f>NETWORKDAYS($J$123,F160,'Festivos Colombia'!$A$3:$A$22)</f>
        <v>23</v>
      </c>
      <c r="J160" s="46">
        <f t="shared" si="43"/>
        <v>0</v>
      </c>
      <c r="K160" s="58"/>
      <c r="L160" s="27"/>
      <c r="M160" s="27"/>
      <c r="N160" s="27"/>
      <c r="O160" s="27"/>
      <c r="T160" s="27"/>
      <c r="U160" s="27"/>
    </row>
    <row r="161" spans="1:21" s="16" customFormat="1" ht="14.25" customHeight="1" outlineLevel="1">
      <c r="A161" s="16" t="str">
        <f t="shared" ref="A161:A165" si="44">G161</f>
        <v>Sin Pagar</v>
      </c>
      <c r="B161" s="16">
        <f t="shared" ref="B161:B165" si="45">IF(I161&lt;=-1,1,IF(I161&lt;=5,2,IF(I161&lt;=15,3,IF(H161&lt;=60,4))))</f>
        <v>4</v>
      </c>
      <c r="C161" s="590" t="s">
        <v>1104</v>
      </c>
      <c r="D161" s="9" t="s">
        <v>1105</v>
      </c>
      <c r="E161" s="350">
        <f>1244113.7*0</f>
        <v>0</v>
      </c>
      <c r="F161" s="353">
        <v>46087</v>
      </c>
      <c r="G161" s="16" t="s">
        <v>5</v>
      </c>
      <c r="H161" s="16">
        <f>IF(OR(G161="Sin pagar",G161="Pagar"),NETWORKDAYS($J$123,F161,'Festivos Colombia'!$A$3:$A$22),0)</f>
        <v>25</v>
      </c>
      <c r="I161" s="16">
        <f>NETWORKDAYS($J$123,F161,'Festivos Colombia'!$A$3:$A$22)</f>
        <v>25</v>
      </c>
      <c r="J161" s="46">
        <f t="shared" ref="J161:J162" si="46">H161</f>
        <v>25</v>
      </c>
      <c r="K161" s="58"/>
      <c r="S161" s="27"/>
    </row>
    <row r="162" spans="1:21" s="16" customFormat="1" outlineLevel="1">
      <c r="A162" s="16" t="str">
        <f t="shared" si="44"/>
        <v>Sin Pagar</v>
      </c>
      <c r="B162" s="16">
        <f t="shared" si="45"/>
        <v>4</v>
      </c>
      <c r="C162" s="234" t="s">
        <v>1339</v>
      </c>
      <c r="D162" s="9" t="s">
        <v>33</v>
      </c>
      <c r="E162" s="8">
        <f>368688*0</f>
        <v>0</v>
      </c>
      <c r="F162" s="353">
        <v>46087</v>
      </c>
      <c r="G162" s="16" t="s">
        <v>5</v>
      </c>
      <c r="H162" s="16">
        <f>IF(OR(G162="Sin pagar",G162="Pagar"),NETWORKDAYS($J$123,F162,'Festivos Colombia'!$A$3:$A$22),0)</f>
        <v>25</v>
      </c>
      <c r="I162" s="16">
        <f>NETWORKDAYS($J$123,F162,'Festivos Colombia'!$A$3:$A$22)</f>
        <v>25</v>
      </c>
      <c r="J162" s="46">
        <f t="shared" si="46"/>
        <v>25</v>
      </c>
      <c r="K162" s="58"/>
      <c r="L162" s="14"/>
      <c r="M162" s="8"/>
    </row>
    <row r="163" spans="1:21" s="16" customFormat="1" outlineLevel="1">
      <c r="A163" s="16" t="str">
        <f t="shared" si="44"/>
        <v>Sin Pagar</v>
      </c>
      <c r="B163" s="16">
        <f t="shared" si="45"/>
        <v>4</v>
      </c>
      <c r="C163" s="24" t="s">
        <v>1341</v>
      </c>
      <c r="D163" s="9" t="s">
        <v>32</v>
      </c>
      <c r="E163" s="8">
        <f>358066.76*0</f>
        <v>0</v>
      </c>
      <c r="F163" s="353">
        <v>46087</v>
      </c>
      <c r="G163" s="16" t="s">
        <v>5</v>
      </c>
      <c r="H163" s="16">
        <f>IF(OR(G163="Sin pagar",G163="Pagar"),NETWORKDAYS($J$123,F163,'Festivos Colombia'!$A$3:$A$22),0)</f>
        <v>25</v>
      </c>
      <c r="I163" s="16">
        <f>NETWORKDAYS($J$123,F163,'Festivos Colombia'!$A$3:$A$22)</f>
        <v>25</v>
      </c>
      <c r="J163" s="46">
        <f t="shared" ref="J163" si="47">H163</f>
        <v>25</v>
      </c>
      <c r="K163" s="58"/>
      <c r="L163" s="25"/>
    </row>
    <row r="164" spans="1:21" s="16" customFormat="1" outlineLevel="1">
      <c r="A164" s="16" t="str">
        <f t="shared" si="44"/>
        <v>Sin Pagar</v>
      </c>
      <c r="B164" s="16">
        <f t="shared" si="45"/>
        <v>4</v>
      </c>
      <c r="C164" s="24">
        <v>27768</v>
      </c>
      <c r="D164" s="9" t="s">
        <v>610</v>
      </c>
      <c r="E164" s="8">
        <f>926800*0</f>
        <v>0</v>
      </c>
      <c r="F164" s="353">
        <v>46087</v>
      </c>
      <c r="G164" s="16" t="s">
        <v>5</v>
      </c>
      <c r="H164" s="16">
        <f>IF(OR(G164="Sin pagar",G164="Pagar"),NETWORKDAYS($J$123,F164,'Festivos Colombia'!$A$3:$A$22),0)</f>
        <v>25</v>
      </c>
      <c r="I164" s="16">
        <f>NETWORKDAYS($J$123,F164,'Festivos Colombia'!$A$3:$A$22)</f>
        <v>25</v>
      </c>
      <c r="J164" s="46">
        <f t="shared" ref="J164" si="48">H164</f>
        <v>25</v>
      </c>
      <c r="K164" s="58"/>
      <c r="S164" s="27"/>
    </row>
    <row r="165" spans="1:21" s="16" customFormat="1" ht="15.75" outlineLevel="1" thickBot="1">
      <c r="A165" s="16" t="str">
        <f t="shared" si="44"/>
        <v>Sin Pagar</v>
      </c>
      <c r="B165" s="16">
        <f t="shared" si="45"/>
        <v>4</v>
      </c>
      <c r="C165" s="24">
        <v>36</v>
      </c>
      <c r="D165" s="9" t="s">
        <v>85</v>
      </c>
      <c r="E165" s="8">
        <f>1001838*0</f>
        <v>0</v>
      </c>
      <c r="F165" s="353">
        <v>46087</v>
      </c>
      <c r="G165" s="16" t="s">
        <v>5</v>
      </c>
      <c r="H165" s="16">
        <f>IF(OR(G165="Sin pagar",G165="Pagar"),NETWORKDAYS($J$123,F165,'Festivos Colombia'!$A$3:$A$22),0)</f>
        <v>25</v>
      </c>
      <c r="I165" s="16">
        <f>NETWORKDAYS($J$123,F165,'Festivos Colombia'!$A$3:$A$22)</f>
        <v>25</v>
      </c>
      <c r="J165" s="46">
        <f t="shared" ref="J165" si="49">H165</f>
        <v>25</v>
      </c>
      <c r="K165" s="58"/>
      <c r="S165" s="27"/>
    </row>
    <row r="166" spans="1:21" s="16" customFormat="1" ht="16.5" thickBot="1">
      <c r="D166" s="351" t="s">
        <v>39</v>
      </c>
      <c r="E166" s="352">
        <f>SUBTOTAL(9,E167:E169)</f>
        <v>2933702</v>
      </c>
      <c r="J166" s="46"/>
      <c r="L166" s="27"/>
      <c r="M166" s="27"/>
      <c r="N166" s="27"/>
      <c r="O166" s="27"/>
      <c r="T166" s="27"/>
      <c r="U166" s="27"/>
    </row>
    <row r="167" spans="1:21" s="16" customFormat="1" ht="14.25" customHeight="1" outlineLevel="1">
      <c r="A167" s="16" t="str">
        <f>G167</f>
        <v>Cancelado</v>
      </c>
      <c r="B167" s="16">
        <f>IF(I167&lt;=-1,1,IF(I167&lt;=5,2,IF(I167&lt;=15,3,IF(H167&lt;=60,4))))</f>
        <v>2</v>
      </c>
      <c r="C167" s="56" t="s">
        <v>1100</v>
      </c>
      <c r="D167" s="9" t="s">
        <v>1085</v>
      </c>
      <c r="E167" s="8">
        <v>1064823</v>
      </c>
      <c r="F167" s="7">
        <v>46058</v>
      </c>
      <c r="G167" s="16" t="s">
        <v>20</v>
      </c>
      <c r="H167" s="16">
        <f>IF(OR(G167="Sin pagar",G167="Pagar"),NETWORKDAYS($J$123,F167,'Festivos Colombia'!$A$3:$A$22),0)</f>
        <v>0</v>
      </c>
      <c r="I167" s="16">
        <f>NETWORKDAYS($J$123,F167,'Festivos Colombia'!$A$3:$A$22)</f>
        <v>4</v>
      </c>
      <c r="J167" s="46">
        <f>H167</f>
        <v>0</v>
      </c>
      <c r="K167" s="437"/>
      <c r="L167" s="8"/>
    </row>
    <row r="168" spans="1:21" s="16" customFormat="1" outlineLevel="1">
      <c r="A168" s="16" t="str">
        <f>G168</f>
        <v>Cancelado</v>
      </c>
      <c r="B168" s="16">
        <f>IF(I168&lt;=-1,1,IF(I168&lt;=5,2,IF(I168&lt;=15,3,IF(H168&lt;=60,4))))</f>
        <v>4</v>
      </c>
      <c r="C168" s="198" t="s">
        <v>1138</v>
      </c>
      <c r="D168" s="9" t="s">
        <v>40</v>
      </c>
      <c r="E168" s="350">
        <f>804056</f>
        <v>804056</v>
      </c>
      <c r="F168" s="477">
        <v>46078</v>
      </c>
      <c r="G168" s="16" t="s">
        <v>20</v>
      </c>
      <c r="H168" s="16">
        <f>IF(OR(G168="Sin pagar",G168="Pagar"),NETWORKDAYS($J$123,F168,'Festivos Colombia'!$A$3:$A$22),0)</f>
        <v>0</v>
      </c>
      <c r="I168" s="16">
        <f>NETWORKDAYS($J$123,F168,'Festivos Colombia'!$A$3:$A$22)</f>
        <v>18</v>
      </c>
      <c r="J168" s="46">
        <f t="shared" ref="J168" si="50">H168</f>
        <v>0</v>
      </c>
      <c r="K168" s="58"/>
    </row>
    <row r="169" spans="1:21" s="16" customFormat="1" ht="14.25" customHeight="1" outlineLevel="1" thickBot="1">
      <c r="A169" s="16" t="str">
        <f>G169</f>
        <v>Cancelado</v>
      </c>
      <c r="B169" s="16">
        <f>IF(I169&lt;=-1,1,IF(I169&lt;=5,2,IF(I169&lt;=15,3,IF(H169&lt;=60,4))))</f>
        <v>4</v>
      </c>
      <c r="C169" s="56" t="s">
        <v>1389</v>
      </c>
      <c r="D169" s="9" t="s">
        <v>1085</v>
      </c>
      <c r="E169" s="8">
        <v>1064823</v>
      </c>
      <c r="F169" s="7">
        <v>46079</v>
      </c>
      <c r="G169" s="16" t="s">
        <v>20</v>
      </c>
      <c r="H169" s="16">
        <f>IF(OR(G169="Sin pagar",G169="Pagar"),NETWORKDAYS($J$123,F169,'Festivos Colombia'!$A$3:$A$22),0)</f>
        <v>0</v>
      </c>
      <c r="I169" s="16">
        <f>NETWORKDAYS($J$123,F169,'Festivos Colombia'!$A$3:$A$22)</f>
        <v>19</v>
      </c>
      <c r="J169" s="46">
        <f>H169</f>
        <v>0</v>
      </c>
      <c r="K169" s="437"/>
      <c r="L169" s="8"/>
    </row>
    <row r="170" spans="1:21" s="27" customFormat="1" ht="16.5" thickBot="1">
      <c r="A170" s="16"/>
      <c r="B170" s="16"/>
      <c r="D170" s="351" t="s">
        <v>41</v>
      </c>
      <c r="E170" s="352">
        <f>SUBTOTAL(9,E171:E176)</f>
        <v>10138313</v>
      </c>
      <c r="J170" s="46"/>
      <c r="K170" s="16"/>
      <c r="L170" s="16"/>
      <c r="M170" s="16"/>
      <c r="N170" s="16"/>
      <c r="O170" s="16"/>
      <c r="S170" s="16"/>
      <c r="T170" s="16"/>
      <c r="U170" s="16"/>
    </row>
    <row r="171" spans="1:21" s="27" customFormat="1" outlineLevel="1">
      <c r="A171" s="16" t="str">
        <f t="shared" ref="A171:A176" si="51">G171</f>
        <v>Cancelado</v>
      </c>
      <c r="B171" s="16">
        <f t="shared" ref="B171:B176" si="52">IF(I171&lt;=-1,1,IF(I171&lt;=5,2,IF(I171&lt;=15,3,IF(H171&lt;=60,4))))</f>
        <v>2</v>
      </c>
      <c r="C171" s="563">
        <v>20833353072</v>
      </c>
      <c r="D171" s="9" t="s">
        <v>42</v>
      </c>
      <c r="E171" s="350">
        <f>9337</f>
        <v>9337</v>
      </c>
      <c r="F171" s="353">
        <v>46058</v>
      </c>
      <c r="G171" s="16" t="s">
        <v>20</v>
      </c>
      <c r="H171" s="16">
        <f>IF(OR(G171="Sin pagar",G171="Pagar"),NETWORKDAYS($J$123,F171,'Festivos Colombia'!$A$3:$A$22),0)</f>
        <v>0</v>
      </c>
      <c r="I171" s="16">
        <f>NETWORKDAYS($J$123,F171,'Festivos Colombia'!$A$3:$A$22)</f>
        <v>4</v>
      </c>
      <c r="J171" s="46">
        <f t="shared" ref="J171:J176" si="53">H171</f>
        <v>0</v>
      </c>
      <c r="K171" s="58"/>
      <c r="L171" s="16"/>
      <c r="M171" s="16"/>
      <c r="N171" s="25"/>
      <c r="O171" s="16"/>
      <c r="S171" s="16"/>
      <c r="T171" s="16"/>
      <c r="U171" s="16"/>
    </row>
    <row r="172" spans="1:21" s="27" customFormat="1" outlineLevel="1">
      <c r="A172" s="16" t="str">
        <f t="shared" si="51"/>
        <v>Cancelado</v>
      </c>
      <c r="B172" s="16">
        <f t="shared" si="52"/>
        <v>2</v>
      </c>
      <c r="C172" s="563">
        <v>20833367727</v>
      </c>
      <c r="D172" s="9" t="s">
        <v>42</v>
      </c>
      <c r="E172" s="350">
        <v>54787</v>
      </c>
      <c r="F172" s="353">
        <v>46058</v>
      </c>
      <c r="G172" s="16" t="s">
        <v>20</v>
      </c>
      <c r="H172" s="16">
        <f>IF(OR(G172="Sin pagar",G172="Pagar"),NETWORKDAYS($J$123,F172,'Festivos Colombia'!$A$3:$A$22),0)</f>
        <v>0</v>
      </c>
      <c r="I172" s="16">
        <f>NETWORKDAYS($J$123,F172,'Festivos Colombia'!$A$3:$A$22)</f>
        <v>4</v>
      </c>
      <c r="J172" s="46">
        <f t="shared" si="53"/>
        <v>0</v>
      </c>
      <c r="K172" s="58"/>
      <c r="L172" s="16"/>
      <c r="M172" s="16"/>
      <c r="N172" s="25"/>
      <c r="O172" s="16"/>
      <c r="S172" s="16"/>
      <c r="T172" s="16"/>
      <c r="U172" s="16"/>
    </row>
    <row r="173" spans="1:21" s="27" customFormat="1" outlineLevel="1">
      <c r="A173" s="16" t="str">
        <f t="shared" si="51"/>
        <v>Cancelado</v>
      </c>
      <c r="B173" s="16">
        <f t="shared" si="52"/>
        <v>2</v>
      </c>
      <c r="C173" s="563">
        <v>20833367728</v>
      </c>
      <c r="D173" s="9" t="s">
        <v>42</v>
      </c>
      <c r="E173" s="350">
        <v>668368</v>
      </c>
      <c r="F173" s="353">
        <v>46058</v>
      </c>
      <c r="G173" s="16" t="s">
        <v>20</v>
      </c>
      <c r="H173" s="16">
        <f>IF(OR(G173="Sin pagar",G173="Pagar"),NETWORKDAYS($J$123,F173,'Festivos Colombia'!$A$3:$A$22),0)</f>
        <v>0</v>
      </c>
      <c r="I173" s="16">
        <f>NETWORKDAYS($J$123,F173,'Festivos Colombia'!$A$3:$A$22)</f>
        <v>4</v>
      </c>
      <c r="J173" s="46">
        <f t="shared" si="53"/>
        <v>0</v>
      </c>
      <c r="K173" s="58"/>
      <c r="L173" s="16"/>
      <c r="M173" s="16"/>
      <c r="N173" s="25"/>
      <c r="O173" s="16"/>
      <c r="S173" s="16"/>
      <c r="T173" s="16"/>
      <c r="U173" s="16"/>
    </row>
    <row r="174" spans="1:21" s="27" customFormat="1" outlineLevel="1">
      <c r="A174" s="16" t="str">
        <f t="shared" si="51"/>
        <v>Cancelado</v>
      </c>
      <c r="B174" s="16">
        <f t="shared" si="52"/>
        <v>2</v>
      </c>
      <c r="C174" s="563">
        <v>20911209135</v>
      </c>
      <c r="D174" s="9" t="s">
        <v>43</v>
      </c>
      <c r="E174" s="350">
        <v>418127</v>
      </c>
      <c r="F174" s="353">
        <v>46058</v>
      </c>
      <c r="G174" s="16" t="s">
        <v>20</v>
      </c>
      <c r="H174" s="16">
        <f>IF(OR(G174="Sin pagar",G174="Pagar"),NETWORKDAYS($J$123,F174,'Festivos Colombia'!$A$3:$A$22),0)</f>
        <v>0</v>
      </c>
      <c r="I174" s="16">
        <f>NETWORKDAYS($J$123,F174,'Festivos Colombia'!$A$3:$A$22)</f>
        <v>4</v>
      </c>
      <c r="J174" s="46">
        <f t="shared" si="53"/>
        <v>0</v>
      </c>
      <c r="K174" s="58"/>
      <c r="L174" s="16"/>
      <c r="M174" s="16"/>
      <c r="N174" s="25"/>
      <c r="O174" s="16"/>
      <c r="S174" s="16"/>
      <c r="T174" s="16"/>
      <c r="U174" s="16"/>
    </row>
    <row r="175" spans="1:21" s="27" customFormat="1" outlineLevel="1">
      <c r="A175" s="16" t="str">
        <f t="shared" si="51"/>
        <v>Cancelado</v>
      </c>
      <c r="B175" s="16">
        <f t="shared" si="52"/>
        <v>4</v>
      </c>
      <c r="C175" s="563">
        <v>20911213423</v>
      </c>
      <c r="D175" s="9" t="s">
        <v>43</v>
      </c>
      <c r="E175" s="350">
        <v>8987694</v>
      </c>
      <c r="F175" s="353">
        <v>46078</v>
      </c>
      <c r="G175" s="16" t="s">
        <v>20</v>
      </c>
      <c r="H175" s="16">
        <f>IF(OR(G175="Sin pagar",G175="Pagar"),NETWORKDAYS($J$123,F175,'Festivos Colombia'!$A$3:$A$22),0)</f>
        <v>0</v>
      </c>
      <c r="I175" s="16">
        <f>NETWORKDAYS($J$123,F175,'Festivos Colombia'!$A$3:$A$22)</f>
        <v>18</v>
      </c>
      <c r="J175" s="46">
        <f t="shared" si="53"/>
        <v>0</v>
      </c>
      <c r="K175" s="58"/>
      <c r="L175" s="16"/>
      <c r="M175" s="16"/>
      <c r="N175" s="25"/>
      <c r="O175" s="16"/>
      <c r="S175" s="16"/>
      <c r="T175" s="16"/>
      <c r="U175" s="16"/>
    </row>
    <row r="176" spans="1:21" s="27" customFormat="1" ht="15.75" outlineLevel="1" thickBot="1">
      <c r="A176" s="16" t="str">
        <f t="shared" si="51"/>
        <v>Sin Pagar</v>
      </c>
      <c r="B176" s="16">
        <f t="shared" si="52"/>
        <v>4</v>
      </c>
      <c r="C176" s="563">
        <v>208333411030</v>
      </c>
      <c r="D176" s="9" t="s">
        <v>42</v>
      </c>
      <c r="E176" s="681">
        <f>668368*0</f>
        <v>0</v>
      </c>
      <c r="F176" s="682">
        <v>46095</v>
      </c>
      <c r="G176" s="16" t="s">
        <v>5</v>
      </c>
      <c r="H176" s="16">
        <f>IF(OR(G176="Sin pagar",G176="Pagar"),NETWORKDAYS($J$123,F176,'Festivos Colombia'!$A$3:$A$22),0)</f>
        <v>30</v>
      </c>
      <c r="I176" s="16">
        <f>NETWORKDAYS($J$123,F176,'Festivos Colombia'!$A$3:$A$22)</f>
        <v>30</v>
      </c>
      <c r="J176" s="46">
        <f t="shared" si="53"/>
        <v>30</v>
      </c>
      <c r="K176" s="58"/>
      <c r="L176" s="16"/>
      <c r="M176" s="16"/>
      <c r="N176" s="25"/>
      <c r="O176" s="16"/>
      <c r="S176" s="16"/>
      <c r="T176" s="16"/>
      <c r="U176" s="16"/>
    </row>
    <row r="177" spans="1:12" s="16" customFormat="1" ht="16.5" thickBot="1">
      <c r="D177" s="351" t="s">
        <v>45</v>
      </c>
      <c r="E177" s="352">
        <f>SUBTOTAL(9,E178:E183)</f>
        <v>623728</v>
      </c>
      <c r="J177" s="46"/>
      <c r="K177" s="50"/>
    </row>
    <row r="178" spans="1:12" s="16" customFormat="1" outlineLevel="1">
      <c r="A178" s="16" t="str">
        <f t="shared" ref="A178:A183" si="54">G178</f>
        <v>Cancelado</v>
      </c>
      <c r="B178" s="16">
        <f t="shared" ref="B178:B183" si="55">IF(I178&lt;=-1,1,IF(I178&lt;=5,2,IF(I178&lt;=15,3,IF(H178&lt;=60,4))))</f>
        <v>2</v>
      </c>
      <c r="C178" s="24">
        <v>57</v>
      </c>
      <c r="D178" s="9" t="s">
        <v>46</v>
      </c>
      <c r="E178" s="8">
        <v>39000</v>
      </c>
      <c r="F178" s="353">
        <v>46059</v>
      </c>
      <c r="G178" s="16" t="s">
        <v>20</v>
      </c>
      <c r="H178" s="16">
        <f>IF(OR(G178="Sin pagar",G178="Pagar"),NETWORKDAYS($J$123,F178,'Festivos Colombia'!$A$3:$A$22),0)</f>
        <v>0</v>
      </c>
      <c r="I178" s="16">
        <f>NETWORKDAYS($J$123,F178,'Festivos Colombia'!$A$3:$A$22)</f>
        <v>5</v>
      </c>
      <c r="J178" s="46">
        <f t="shared" ref="J178:J179" si="56">H178</f>
        <v>0</v>
      </c>
      <c r="K178" s="58"/>
      <c r="L178" s="25"/>
    </row>
    <row r="179" spans="1:12" s="16" customFormat="1" outlineLevel="1">
      <c r="A179" s="16" t="str">
        <f t="shared" si="54"/>
        <v>Cancelado</v>
      </c>
      <c r="B179" s="16">
        <f t="shared" si="55"/>
        <v>3</v>
      </c>
      <c r="C179" s="24">
        <v>58</v>
      </c>
      <c r="D179" s="9" t="s">
        <v>46</v>
      </c>
      <c r="E179" s="8">
        <v>106500</v>
      </c>
      <c r="F179" s="522">
        <v>46066</v>
      </c>
      <c r="G179" s="16" t="s">
        <v>20</v>
      </c>
      <c r="H179" s="16">
        <f>IF(OR(G179="Sin pagar",G179="Pagar"),NETWORKDAYS($J$123,F179,'Festivos Colombia'!$A$3:$A$22),0)</f>
        <v>0</v>
      </c>
      <c r="I179" s="16">
        <f>NETWORKDAYS($J$123,F179,'Festivos Colombia'!$A$3:$A$22)</f>
        <v>10</v>
      </c>
      <c r="J179" s="46">
        <f t="shared" si="56"/>
        <v>0</v>
      </c>
      <c r="K179" s="58"/>
      <c r="L179" s="25"/>
    </row>
    <row r="180" spans="1:12" s="16" customFormat="1" outlineLevel="1">
      <c r="A180" s="16" t="str">
        <f t="shared" ref="A180" si="57">G180</f>
        <v>Cancelado</v>
      </c>
      <c r="B180" s="16">
        <f t="shared" ref="B180" si="58">IF(I180&lt;=-1,1,IF(I180&lt;=5,2,IF(I180&lt;=15,3,IF(H180&lt;=60,4))))</f>
        <v>3</v>
      </c>
      <c r="C180" s="24">
        <v>20</v>
      </c>
      <c r="D180" s="9" t="s">
        <v>95</v>
      </c>
      <c r="E180" s="8">
        <v>116000</v>
      </c>
      <c r="F180" s="353">
        <v>46073</v>
      </c>
      <c r="G180" s="16" t="s">
        <v>20</v>
      </c>
      <c r="H180" s="16">
        <f>IF(OR(G180="Sin pagar",G180="Pagar"),NETWORKDAYS($J$123,F180,'Festivos Colombia'!$A$3:$A$22),0)</f>
        <v>0</v>
      </c>
      <c r="I180" s="16">
        <f>NETWORKDAYS($J$123,F180,'Festivos Colombia'!$A$3:$A$22)</f>
        <v>15</v>
      </c>
      <c r="J180" s="46">
        <f t="shared" ref="J180" si="59">H180</f>
        <v>0</v>
      </c>
      <c r="K180" s="58"/>
      <c r="L180" s="25"/>
    </row>
    <row r="181" spans="1:12" s="16" customFormat="1" outlineLevel="1">
      <c r="A181" s="16" t="str">
        <f t="shared" si="54"/>
        <v>Cancelado</v>
      </c>
      <c r="B181" s="16">
        <f t="shared" si="55"/>
        <v>3</v>
      </c>
      <c r="C181" s="24">
        <v>59</v>
      </c>
      <c r="D181" s="9" t="s">
        <v>46</v>
      </c>
      <c r="E181" s="8">
        <v>78000</v>
      </c>
      <c r="F181" s="353">
        <v>46072</v>
      </c>
      <c r="G181" s="16" t="s">
        <v>20</v>
      </c>
      <c r="H181" s="16">
        <f>IF(OR(G181="Sin pagar",G181="Pagar"),NETWORKDAYS($J$123,F181,'Festivos Colombia'!$A$3:$A$22),0)</f>
        <v>0</v>
      </c>
      <c r="I181" s="16">
        <f>NETWORKDAYS($J$123,F181,'Festivos Colombia'!$A$3:$A$22)</f>
        <v>14</v>
      </c>
      <c r="J181" s="46">
        <f t="shared" ref="J181" si="60">H181</f>
        <v>0</v>
      </c>
      <c r="K181" s="58"/>
      <c r="L181" s="25"/>
    </row>
    <row r="182" spans="1:12" s="16" customFormat="1" outlineLevel="1">
      <c r="A182" s="16" t="str">
        <f t="shared" si="54"/>
        <v>Cancelado</v>
      </c>
      <c r="B182" s="16">
        <f t="shared" si="55"/>
        <v>4</v>
      </c>
      <c r="C182" s="565">
        <v>60</v>
      </c>
      <c r="D182" s="9" t="s">
        <v>46</v>
      </c>
      <c r="E182" s="8">
        <v>284228</v>
      </c>
      <c r="F182" s="7">
        <v>46080</v>
      </c>
      <c r="G182" s="16" t="s">
        <v>20</v>
      </c>
      <c r="H182" s="16">
        <f>IF(OR(G182="Sin pagar",G182="Pagar"),NETWORKDAYS($J$123,F182,'Festivos Colombia'!$A$3:$A$22),0)</f>
        <v>0</v>
      </c>
      <c r="I182" s="16">
        <f>NETWORKDAYS($J$123,F182,'Festivos Colombia'!$A$3:$A$22)</f>
        <v>20</v>
      </c>
      <c r="J182" s="46">
        <f t="shared" ref="J182:J183" si="61">H182</f>
        <v>0</v>
      </c>
      <c r="K182" s="58"/>
      <c r="L182" s="25"/>
    </row>
    <row r="183" spans="1:12" s="16" customFormat="1" ht="15.75" outlineLevel="1" thickBot="1">
      <c r="A183" s="16" t="str">
        <f t="shared" si="54"/>
        <v>Sin Pagar</v>
      </c>
      <c r="B183" s="16">
        <f t="shared" si="55"/>
        <v>4</v>
      </c>
      <c r="C183" s="24">
        <v>21</v>
      </c>
      <c r="D183" s="9" t="s">
        <v>95</v>
      </c>
      <c r="E183" s="8">
        <f>78000*0</f>
        <v>0</v>
      </c>
      <c r="F183" s="353">
        <v>46087</v>
      </c>
      <c r="G183" s="16" t="s">
        <v>5</v>
      </c>
      <c r="H183" s="16">
        <f>IF(OR(G183="Sin pagar",G183="Pagar"),NETWORKDAYS($J$123,F183,'Festivos Colombia'!$A$3:$A$22),0)</f>
        <v>25</v>
      </c>
      <c r="I183" s="16">
        <f>NETWORKDAYS($J$123,F183,'Festivos Colombia'!$A$3:$A$22)</f>
        <v>25</v>
      </c>
      <c r="J183" s="46">
        <f t="shared" si="61"/>
        <v>25</v>
      </c>
      <c r="K183" s="58"/>
      <c r="L183" s="25"/>
    </row>
    <row r="184" spans="1:12" s="16" customFormat="1" ht="15.75" customHeight="1" thickBot="1">
      <c r="C184" s="28"/>
      <c r="D184" s="354" t="s">
        <v>47</v>
      </c>
      <c r="E184" s="352">
        <f>SUBTOTAL(9,E185:E185)</f>
        <v>0</v>
      </c>
      <c r="J184" s="46"/>
      <c r="L184" s="25"/>
    </row>
    <row r="185" spans="1:12" s="16" customFormat="1" ht="15.75" outlineLevel="1" thickBot="1">
      <c r="C185" s="28"/>
      <c r="D185" s="507" t="s">
        <v>794</v>
      </c>
      <c r="E185" s="508">
        <v>0</v>
      </c>
      <c r="F185" s="353">
        <v>46080</v>
      </c>
      <c r="G185" s="16" t="s">
        <v>20</v>
      </c>
      <c r="H185" s="16">
        <f>IF(OR(G185="Sin pagar",G185="Pagar"),NETWORKDAYS($J$123,F185,'Festivos Colombia'!$A$3:$A$22),0)</f>
        <v>0</v>
      </c>
      <c r="I185" s="16">
        <f>NETWORKDAYS($J$123,F185,'Festivos Colombia'!$A$3:$A$22)</f>
        <v>20</v>
      </c>
      <c r="J185" s="46">
        <f>H185</f>
        <v>0</v>
      </c>
      <c r="K185" s="58"/>
      <c r="L185" s="25"/>
    </row>
    <row r="186" spans="1:12" s="16" customFormat="1" ht="16.5" thickBot="1">
      <c r="C186" s="24"/>
      <c r="D186" s="351" t="s">
        <v>104</v>
      </c>
      <c r="E186" s="352">
        <f>SUBTOTAL(9,E187:E188)</f>
        <v>2181200</v>
      </c>
      <c r="J186" s="46"/>
      <c r="K186" s="25"/>
    </row>
    <row r="187" spans="1:12" s="16" customFormat="1" outlineLevel="1">
      <c r="C187" s="28"/>
      <c r="D187" s="9" t="s">
        <v>1041</v>
      </c>
      <c r="E187" s="508">
        <f>2137576*0</f>
        <v>0</v>
      </c>
      <c r="F187" s="353">
        <v>46056</v>
      </c>
      <c r="G187" s="16" t="s">
        <v>20</v>
      </c>
      <c r="H187" s="16">
        <f>IF(OR(G187="Sin pagar",G187="Pagar"),NETWORKDAYS($J$123,F187,'Festivos Colombia'!$A$3:$A$22),0)</f>
        <v>0</v>
      </c>
      <c r="I187" s="16">
        <f>NETWORKDAYS($J$123,F187,'Festivos Colombia'!$A$3:$A$22)</f>
        <v>2</v>
      </c>
      <c r="J187" s="46">
        <f t="shared" ref="J187" si="62">H187</f>
        <v>0</v>
      </c>
      <c r="K187" s="58"/>
      <c r="L187" s="25"/>
    </row>
    <row r="188" spans="1:12" s="16" customFormat="1" ht="15.75" outlineLevel="1" thickBot="1">
      <c r="C188" s="28"/>
      <c r="D188" s="9" t="s">
        <v>1216</v>
      </c>
      <c r="E188" s="508">
        <v>2181200</v>
      </c>
      <c r="F188" s="353">
        <v>46070</v>
      </c>
      <c r="G188" s="16" t="s">
        <v>20</v>
      </c>
      <c r="H188" s="16">
        <f>IF(OR(G188="Sin pagar",G188="Pagar"),NETWORKDAYS($J$123,F188,'Festivos Colombia'!$A$3:$A$22),0)</f>
        <v>0</v>
      </c>
      <c r="I188" s="16">
        <f>NETWORKDAYS($J$123,F188,'Festivos Colombia'!$A$3:$A$22)</f>
        <v>12</v>
      </c>
      <c r="J188" s="46">
        <f t="shared" ref="J188" si="63">H188</f>
        <v>0</v>
      </c>
      <c r="K188" s="58"/>
      <c r="L188" s="25"/>
    </row>
    <row r="189" spans="1:12" s="16" customFormat="1" ht="16.5" thickBot="1">
      <c r="C189" s="24"/>
      <c r="D189" s="351" t="s">
        <v>1008</v>
      </c>
      <c r="E189" s="352">
        <f>SUBTOTAL(9,E190:E192)</f>
        <v>3589416</v>
      </c>
      <c r="J189" s="46"/>
    </row>
    <row r="190" spans="1:12" s="16" customFormat="1" outlineLevel="1">
      <c r="C190" s="28"/>
      <c r="D190" s="9" t="s">
        <v>1043</v>
      </c>
      <c r="E190" s="508">
        <v>1484670</v>
      </c>
      <c r="F190" s="7">
        <v>46056</v>
      </c>
      <c r="G190" s="16" t="s">
        <v>20</v>
      </c>
      <c r="H190" s="16">
        <f>IF(OR(G190="Sin pagar",G190="Pagar"),NETWORKDAYS($J$123,F190,'Festivos Colombia'!$A$3:$A$22),0)</f>
        <v>0</v>
      </c>
      <c r="I190" s="16">
        <f>NETWORKDAYS($J$123,F190,'Festivos Colombia'!$A$3:$A$22)</f>
        <v>2</v>
      </c>
      <c r="J190" s="46">
        <f t="shared" ref="J190:J191" si="64">H190</f>
        <v>0</v>
      </c>
      <c r="K190" s="58"/>
      <c r="L190" s="25"/>
    </row>
    <row r="191" spans="1:12" s="16" customFormat="1" outlineLevel="1">
      <c r="C191" s="28"/>
      <c r="D191" s="9" t="s">
        <v>1192</v>
      </c>
      <c r="E191" s="508">
        <v>1454616</v>
      </c>
      <c r="F191" s="353">
        <v>46070</v>
      </c>
      <c r="G191" s="16" t="s">
        <v>20</v>
      </c>
      <c r="H191" s="16">
        <f>IF(OR(G191="Sin pagar",G191="Pagar"),NETWORKDAYS($J$123,F191,'Festivos Colombia'!$A$3:$A$22),0)</f>
        <v>0</v>
      </c>
      <c r="I191" s="16">
        <f>NETWORKDAYS($J$123,F191,'Festivos Colombia'!$A$3:$A$22)</f>
        <v>12</v>
      </c>
      <c r="J191" s="46">
        <f t="shared" si="64"/>
        <v>0</v>
      </c>
      <c r="K191" s="58"/>
      <c r="L191" s="25"/>
    </row>
    <row r="192" spans="1:12" s="16" customFormat="1" ht="15.75" outlineLevel="1" thickBot="1">
      <c r="C192" s="28"/>
      <c r="D192" s="9" t="s">
        <v>1215</v>
      </c>
      <c r="E192" s="508">
        <v>650130</v>
      </c>
      <c r="F192" s="353">
        <v>46071</v>
      </c>
      <c r="G192" s="16" t="s">
        <v>20</v>
      </c>
      <c r="H192" s="16">
        <f>IF(OR(G192="Sin pagar",G192="Pagar"),NETWORKDAYS($J$123,F192,'Festivos Colombia'!$A$3:$A$22),0)</f>
        <v>0</v>
      </c>
      <c r="I192" s="16">
        <f>NETWORKDAYS($J$123,F192,'Festivos Colombia'!$A$3:$A$22)</f>
        <v>13</v>
      </c>
      <c r="J192" s="46">
        <f t="shared" ref="J192" si="65">H192</f>
        <v>0</v>
      </c>
      <c r="K192" s="58"/>
      <c r="L192" s="25"/>
    </row>
    <row r="193" spans="1:12" s="16" customFormat="1" ht="16.5" thickBot="1">
      <c r="C193" s="24"/>
      <c r="D193" s="351" t="s">
        <v>105</v>
      </c>
      <c r="E193" s="352">
        <f>SUBTOTAL(9,E194:E195)</f>
        <v>5948650</v>
      </c>
      <c r="J193" s="46"/>
      <c r="K193" s="25"/>
    </row>
    <row r="194" spans="1:12" s="16" customFormat="1" outlineLevel="1">
      <c r="A194" s="16" t="str">
        <f t="shared" ref="A194" si="66">G194</f>
        <v>Cancelado</v>
      </c>
      <c r="B194" s="16">
        <f t="shared" ref="B194" si="67">IF(I194&lt;=-1,1,IF(I194&lt;=5,2,IF(I194&lt;=15,3,IF(H194&lt;=60,4))))</f>
        <v>4</v>
      </c>
      <c r="C194" s="24"/>
      <c r="D194" s="9" t="s">
        <v>1362</v>
      </c>
      <c r="E194" s="350">
        <v>5948650</v>
      </c>
      <c r="F194" s="7">
        <v>46079</v>
      </c>
      <c r="G194" s="16" t="s">
        <v>20</v>
      </c>
      <c r="H194" s="16">
        <f>IF(OR(G194="Sin pagar",G194="Pagar"),NETWORKDAYS($J$123,F194,'Festivos Colombia'!$A$3:$A$22),0)</f>
        <v>0</v>
      </c>
      <c r="I194" s="16">
        <f>NETWORKDAYS($J$123,F194,'Festivos Colombia'!$A$3:$A$22)</f>
        <v>19</v>
      </c>
      <c r="J194" s="46">
        <f t="shared" ref="J194" si="68">H194</f>
        <v>0</v>
      </c>
      <c r="K194" s="58"/>
      <c r="L194" s="25"/>
    </row>
    <row r="195" spans="1:12" s="16" customFormat="1" ht="15.75" outlineLevel="1" thickBot="1">
      <c r="A195" s="16" t="str">
        <f t="shared" ref="A195" si="69">G195</f>
        <v>Sin Pagar</v>
      </c>
      <c r="B195" s="16">
        <f t="shared" ref="B195" si="70">IF(I195&lt;=-1,1,IF(I195&lt;=5,2,IF(I195&lt;=15,3,IF(H195&lt;=60,4))))</f>
        <v>4</v>
      </c>
      <c r="C195" s="24"/>
      <c r="D195" s="9" t="s">
        <v>1363</v>
      </c>
      <c r="E195" s="350">
        <f>1204896.67*0</f>
        <v>0</v>
      </c>
      <c r="F195" s="7">
        <v>46087</v>
      </c>
      <c r="G195" s="16" t="s">
        <v>5</v>
      </c>
      <c r="H195" s="16">
        <f>IF(OR(G195="Sin pagar",G195="Pagar"),NETWORKDAYS($J$123,F195,'Festivos Colombia'!$A$3:$A$22),0)</f>
        <v>25</v>
      </c>
      <c r="I195" s="16">
        <f>NETWORKDAYS($J$123,F195,'Festivos Colombia'!$A$3:$A$22)</f>
        <v>25</v>
      </c>
      <c r="J195" s="46">
        <f t="shared" ref="J195" si="71">H195</f>
        <v>25</v>
      </c>
      <c r="K195" s="58"/>
      <c r="L195" s="25"/>
    </row>
    <row r="196" spans="1:12" s="16" customFormat="1" ht="16.5" thickBot="1">
      <c r="C196" s="24"/>
      <c r="D196" s="351" t="s">
        <v>86</v>
      </c>
      <c r="E196" s="352">
        <f>SUBTOTAL(9,E197:E207)</f>
        <v>6526982.3399999999</v>
      </c>
      <c r="J196" s="46"/>
      <c r="K196" s="25"/>
    </row>
    <row r="197" spans="1:12" s="16" customFormat="1" outlineLevel="1">
      <c r="A197" s="16" t="str">
        <f t="shared" ref="A197" si="72">G197</f>
        <v>Cancelado</v>
      </c>
      <c r="B197" s="16">
        <f t="shared" ref="B197" si="73">IF(I197&lt;=-1,1,IF(I197&lt;=5,2,IF(I197&lt;=15,3,IF(H197&lt;=60,4))))</f>
        <v>4</v>
      </c>
      <c r="C197" s="24"/>
      <c r="D197" s="9" t="s">
        <v>1305</v>
      </c>
      <c r="E197" s="8">
        <v>1096470</v>
      </c>
      <c r="F197" s="7">
        <v>46079</v>
      </c>
      <c r="G197" s="16" t="s">
        <v>20</v>
      </c>
      <c r="H197" s="16">
        <f>IF(OR(G197="Sin pagar",G197="Pagar"),NETWORKDAYS($J$123,F197,'Festivos Colombia'!$A$3:$A$22),0)</f>
        <v>0</v>
      </c>
      <c r="I197" s="16">
        <f>NETWORKDAYS($J$123,F197,'Festivos Colombia'!$A$3:$A$22)</f>
        <v>19</v>
      </c>
      <c r="J197" s="46">
        <f t="shared" ref="J197" si="74">H197</f>
        <v>0</v>
      </c>
      <c r="K197" s="58"/>
      <c r="L197" s="25"/>
    </row>
    <row r="198" spans="1:12" s="16" customFormat="1" outlineLevel="1">
      <c r="C198" s="24"/>
      <c r="D198" s="9" t="s">
        <v>1306</v>
      </c>
      <c r="E198" s="8">
        <v>54797.45</v>
      </c>
      <c r="F198" s="7">
        <v>46079</v>
      </c>
      <c r="G198" s="16" t="s">
        <v>20</v>
      </c>
      <c r="H198" s="16">
        <f>IF(OR(G198="Sin pagar",G198="Pagar"),NETWORKDAYS($J$123,F198,'Festivos Colombia'!$A$3:$A$22),0)</f>
        <v>0</v>
      </c>
      <c r="I198" s="16">
        <f>NETWORKDAYS($J$123,F198,'Festivos Colombia'!$A$3:$A$22)</f>
        <v>19</v>
      </c>
      <c r="J198" s="46">
        <f t="shared" ref="J198:J203" si="75">H198</f>
        <v>0</v>
      </c>
      <c r="K198" s="58"/>
      <c r="L198" s="25"/>
    </row>
    <row r="199" spans="1:12" s="16" customFormat="1" outlineLevel="1">
      <c r="C199" s="24"/>
      <c r="D199" s="9" t="s">
        <v>1307</v>
      </c>
      <c r="E199" s="8">
        <v>24950</v>
      </c>
      <c r="F199" s="7">
        <v>46079</v>
      </c>
      <c r="G199" s="16" t="s">
        <v>20</v>
      </c>
      <c r="H199" s="16">
        <f>IF(OR(G199="Sin pagar",G199="Pagar"),NETWORKDAYS($J$123,F199,'Festivos Colombia'!$A$3:$A$22),0)</f>
        <v>0</v>
      </c>
      <c r="I199" s="16">
        <f>NETWORKDAYS($J$123,F199,'Festivos Colombia'!$A$3:$A$22)</f>
        <v>19</v>
      </c>
      <c r="J199" s="46">
        <f t="shared" si="75"/>
        <v>0</v>
      </c>
      <c r="K199" s="58"/>
      <c r="L199" s="25"/>
    </row>
    <row r="200" spans="1:12" s="16" customFormat="1" outlineLevel="1">
      <c r="C200" s="24"/>
      <c r="D200" s="9" t="s">
        <v>1308</v>
      </c>
      <c r="E200" s="8">
        <v>350000</v>
      </c>
      <c r="F200" s="7">
        <v>46079</v>
      </c>
      <c r="G200" s="16" t="s">
        <v>20</v>
      </c>
      <c r="H200" s="16">
        <f>IF(OR(G200="Sin pagar",G200="Pagar"),NETWORKDAYS($J$123,F200,'Festivos Colombia'!$A$3:$A$22),0)</f>
        <v>0</v>
      </c>
      <c r="I200" s="16">
        <f>NETWORKDAYS($J$123,F200,'Festivos Colombia'!$A$3:$A$22)</f>
        <v>19</v>
      </c>
      <c r="J200" s="46">
        <f t="shared" si="75"/>
        <v>0</v>
      </c>
      <c r="K200" s="58"/>
      <c r="L200" s="25"/>
    </row>
    <row r="201" spans="1:12" s="16" customFormat="1" outlineLevel="1">
      <c r="C201" s="24"/>
      <c r="D201" s="9" t="s">
        <v>1309</v>
      </c>
      <c r="E201" s="8">
        <v>523200</v>
      </c>
      <c r="F201" s="7">
        <v>46079</v>
      </c>
      <c r="G201" s="16" t="s">
        <v>20</v>
      </c>
      <c r="H201" s="16">
        <f>IF(OR(G201="Sin pagar",G201="Pagar"),NETWORKDAYS($J$123,F201,'Festivos Colombia'!$A$3:$A$22),0)</f>
        <v>0</v>
      </c>
      <c r="I201" s="16">
        <f>NETWORKDAYS($J$123,F201,'Festivos Colombia'!$A$3:$A$22)</f>
        <v>19</v>
      </c>
      <c r="J201" s="46">
        <f t="shared" si="75"/>
        <v>0</v>
      </c>
      <c r="K201" s="58"/>
      <c r="L201" s="25"/>
    </row>
    <row r="202" spans="1:12" s="16" customFormat="1" outlineLevel="1">
      <c r="C202" s="24"/>
      <c r="D202" s="9" t="s">
        <v>1310</v>
      </c>
      <c r="E202" s="8">
        <v>145800</v>
      </c>
      <c r="F202" s="7">
        <v>46079</v>
      </c>
      <c r="G202" s="16" t="s">
        <v>20</v>
      </c>
      <c r="H202" s="16">
        <f>IF(OR(G202="Sin pagar",G202="Pagar"),NETWORKDAYS($J$123,F202,'Festivos Colombia'!$A$3:$A$22),0)</f>
        <v>0</v>
      </c>
      <c r="I202" s="16">
        <f>NETWORKDAYS($J$123,F202,'Festivos Colombia'!$A$3:$A$22)</f>
        <v>19</v>
      </c>
      <c r="J202" s="46">
        <f t="shared" si="75"/>
        <v>0</v>
      </c>
      <c r="K202" s="58"/>
      <c r="L202" s="25"/>
    </row>
    <row r="203" spans="1:12" s="16" customFormat="1" outlineLevel="1">
      <c r="C203" s="24"/>
      <c r="D203" s="9" t="s">
        <v>1311</v>
      </c>
      <c r="E203" s="8">
        <v>1219169.57</v>
      </c>
      <c r="F203" s="7">
        <v>46079</v>
      </c>
      <c r="G203" s="16" t="s">
        <v>20</v>
      </c>
      <c r="H203" s="16">
        <f>IF(OR(G203="Sin pagar",G203="Pagar"),NETWORKDAYS($J$123,F203,'Festivos Colombia'!$A$3:$A$22),0)</f>
        <v>0</v>
      </c>
      <c r="I203" s="16">
        <f>NETWORKDAYS($J$123,F203,'Festivos Colombia'!$A$3:$A$22)</f>
        <v>19</v>
      </c>
      <c r="J203" s="46">
        <f t="shared" si="75"/>
        <v>0</v>
      </c>
      <c r="K203" s="58"/>
      <c r="L203" s="25"/>
    </row>
    <row r="204" spans="1:12" s="16" customFormat="1" outlineLevel="1">
      <c r="C204" s="24"/>
      <c r="D204" s="9" t="s">
        <v>1312</v>
      </c>
      <c r="E204" s="8">
        <v>742724.32</v>
      </c>
      <c r="F204" s="7">
        <v>46079</v>
      </c>
      <c r="G204" s="16" t="s">
        <v>20</v>
      </c>
      <c r="H204" s="16">
        <f>IF(OR(G204="Sin pagar",G204="Pagar"),NETWORKDAYS($J$123,F204,'Festivos Colombia'!$A$3:$A$22),0)</f>
        <v>0</v>
      </c>
      <c r="I204" s="16">
        <f>NETWORKDAYS($J$123,F204,'Festivos Colombia'!$A$3:$A$22)</f>
        <v>19</v>
      </c>
      <c r="J204" s="46">
        <f t="shared" ref="J204:J207" si="76">H204</f>
        <v>0</v>
      </c>
      <c r="K204" s="58"/>
      <c r="L204" s="25"/>
    </row>
    <row r="205" spans="1:12" s="16" customFormat="1" outlineLevel="1">
      <c r="C205" s="24"/>
      <c r="D205" s="9" t="s">
        <v>1313</v>
      </c>
      <c r="E205" s="8">
        <v>577381</v>
      </c>
      <c r="F205" s="7">
        <v>46079</v>
      </c>
      <c r="G205" s="16" t="s">
        <v>20</v>
      </c>
      <c r="H205" s="16">
        <f>IF(OR(G205="Sin pagar",G205="Pagar"),NETWORKDAYS($J$123,F205,'Festivos Colombia'!$A$3:$A$22),0)</f>
        <v>0</v>
      </c>
      <c r="I205" s="16">
        <f>NETWORKDAYS($J$123,F205,'Festivos Colombia'!$A$3:$A$22)</f>
        <v>19</v>
      </c>
      <c r="J205" s="46">
        <f t="shared" si="76"/>
        <v>0</v>
      </c>
      <c r="K205" s="58"/>
      <c r="L205" s="25"/>
    </row>
    <row r="206" spans="1:12" s="16" customFormat="1" outlineLevel="1">
      <c r="C206" s="24"/>
      <c r="D206" s="9" t="s">
        <v>1314</v>
      </c>
      <c r="E206" s="8">
        <v>150000</v>
      </c>
      <c r="F206" s="7">
        <v>46079</v>
      </c>
      <c r="G206" s="16" t="s">
        <v>20</v>
      </c>
      <c r="H206" s="16">
        <f>IF(OR(G206="Sin pagar",G206="Pagar"),NETWORKDAYS($J$123,F206,'Festivos Colombia'!$A$3:$A$22),0)</f>
        <v>0</v>
      </c>
      <c r="I206" s="16">
        <f>NETWORKDAYS($J$123,F206,'Festivos Colombia'!$A$3:$A$22)</f>
        <v>19</v>
      </c>
      <c r="J206" s="46">
        <f t="shared" si="76"/>
        <v>0</v>
      </c>
      <c r="K206" s="58"/>
      <c r="L206" s="25"/>
    </row>
    <row r="207" spans="1:12" s="16" customFormat="1" ht="15.75" outlineLevel="1" thickBot="1">
      <c r="C207" s="24"/>
      <c r="D207" s="9" t="s">
        <v>1315</v>
      </c>
      <c r="E207" s="8">
        <v>1642490</v>
      </c>
      <c r="F207" s="7">
        <v>46079</v>
      </c>
      <c r="G207" s="16" t="s">
        <v>20</v>
      </c>
      <c r="H207" s="16">
        <f>IF(OR(G207="Sin pagar",G207="Pagar"),NETWORKDAYS($J$123,F207,'Festivos Colombia'!$A$3:$A$22),0)</f>
        <v>0</v>
      </c>
      <c r="I207" s="16">
        <f>NETWORKDAYS($J$123,F207,'Festivos Colombia'!$A$3:$A$22)</f>
        <v>19</v>
      </c>
      <c r="J207" s="46">
        <f t="shared" si="76"/>
        <v>0</v>
      </c>
      <c r="K207" s="58"/>
      <c r="L207" s="25"/>
    </row>
    <row r="208" spans="1:12" s="16" customFormat="1" ht="15.75" customHeight="1" thickBot="1">
      <c r="C208" s="24"/>
      <c r="D208" s="351" t="s">
        <v>48</v>
      </c>
      <c r="E208" s="352">
        <f>SUBTOTAL(9,E209:E238)</f>
        <v>70026005.503679991</v>
      </c>
      <c r="J208" s="46"/>
    </row>
    <row r="209" spans="1:21" s="16" customFormat="1" outlineLevel="1">
      <c r="A209" s="16" t="str">
        <f t="shared" ref="A209:A216" si="77">G209</f>
        <v>Cancelado</v>
      </c>
      <c r="B209" s="16">
        <f t="shared" ref="B209:B216" si="78">IF(I209&lt;=-1,1,IF(I209&lt;=5,2,IF(I209&lt;=15,3,IF(H209&lt;=60,4))))</f>
        <v>2</v>
      </c>
      <c r="C209" s="56" t="s">
        <v>1017</v>
      </c>
      <c r="D209" s="570" t="s">
        <v>1036</v>
      </c>
      <c r="E209" s="8">
        <f>809200*0</f>
        <v>0</v>
      </c>
      <c r="F209" s="7">
        <v>46055</v>
      </c>
      <c r="G209" s="16" t="s">
        <v>20</v>
      </c>
      <c r="H209" s="16">
        <f>IF(OR(G209="Sin pagar",G209="Pagar"),NETWORKDAYS($J$123,F209,'Festivos Colombia'!$A$3:$A$22),0)</f>
        <v>0</v>
      </c>
      <c r="I209" s="16">
        <f>NETWORKDAYS($J$123,F209,'Festivos Colombia'!$A$3:$A$22)</f>
        <v>1</v>
      </c>
      <c r="J209" s="46">
        <f t="shared" ref="J209:J217" si="79">H209</f>
        <v>0</v>
      </c>
      <c r="K209" s="50"/>
    </row>
    <row r="210" spans="1:21" s="16" customFormat="1" outlineLevel="1">
      <c r="A210" s="16" t="str">
        <f t="shared" si="77"/>
        <v>Cancelado</v>
      </c>
      <c r="B210" s="16">
        <f t="shared" si="78"/>
        <v>2</v>
      </c>
      <c r="C210" s="536" t="s">
        <v>889</v>
      </c>
      <c r="D210" s="9" t="s">
        <v>739</v>
      </c>
      <c r="E210" s="350">
        <f>41353724</f>
        <v>41353724</v>
      </c>
      <c r="F210" s="353">
        <v>46058</v>
      </c>
      <c r="G210" s="16" t="s">
        <v>20</v>
      </c>
      <c r="H210" s="16">
        <f>IF(OR(G210="Sin pagar",G210="Pagar"),NETWORKDAYS($J$123,F210,'Festivos Colombia'!$A$3:$A$22),0)</f>
        <v>0</v>
      </c>
      <c r="I210" s="16">
        <f>NETWORKDAYS($J$123,F210,'Festivos Colombia'!$A$3:$A$22)</f>
        <v>4</v>
      </c>
      <c r="J210" s="46">
        <f t="shared" si="79"/>
        <v>0</v>
      </c>
      <c r="K210" s="58"/>
      <c r="S210" s="27"/>
    </row>
    <row r="211" spans="1:21" s="16" customFormat="1" outlineLevel="1">
      <c r="A211" s="16" t="str">
        <f t="shared" si="77"/>
        <v>Cancelado</v>
      </c>
      <c r="B211" s="16">
        <f t="shared" si="78"/>
        <v>2</v>
      </c>
      <c r="C211" s="56">
        <v>8</v>
      </c>
      <c r="D211" s="9" t="s">
        <v>107</v>
      </c>
      <c r="E211" s="350">
        <f>3100000</f>
        <v>3100000</v>
      </c>
      <c r="F211" s="353">
        <v>46058</v>
      </c>
      <c r="G211" s="16" t="s">
        <v>20</v>
      </c>
      <c r="H211" s="16">
        <f>IF(OR(G211="Sin pagar",G211="Pagar"),NETWORKDAYS($J$123,F211,'Festivos Colombia'!$A$3:$A$22),0)</f>
        <v>0</v>
      </c>
      <c r="I211" s="16">
        <f>NETWORKDAYS($J$123,F211,'Festivos Colombia'!$A$3:$A$22)</f>
        <v>4</v>
      </c>
      <c r="J211" s="46">
        <f t="shared" si="79"/>
        <v>0</v>
      </c>
      <c r="K211" s="58"/>
      <c r="M211" s="25"/>
    </row>
    <row r="212" spans="1:21" s="16" customFormat="1" outlineLevel="1">
      <c r="A212" s="16" t="str">
        <f t="shared" si="77"/>
        <v>Cancelado</v>
      </c>
      <c r="B212" s="16">
        <f t="shared" si="78"/>
        <v>2</v>
      </c>
      <c r="C212" s="24" t="s">
        <v>847</v>
      </c>
      <c r="D212" s="9" t="s">
        <v>49</v>
      </c>
      <c r="E212" s="350">
        <v>798238</v>
      </c>
      <c r="F212" s="353">
        <v>46058</v>
      </c>
      <c r="G212" s="16" t="s">
        <v>20</v>
      </c>
      <c r="H212" s="16">
        <f>IF(OR(G212="Sin pagar",G212="Pagar"),NETWORKDAYS($J$123,F212,'Festivos Colombia'!$A$3:$A$22),0)</f>
        <v>0</v>
      </c>
      <c r="I212" s="16">
        <f>NETWORKDAYS($J$123,F212,'Festivos Colombia'!$A$3:$A$22)</f>
        <v>4</v>
      </c>
      <c r="J212" s="46">
        <f t="shared" si="79"/>
        <v>0</v>
      </c>
      <c r="K212" s="58"/>
      <c r="S212" s="27"/>
    </row>
    <row r="213" spans="1:21" s="16" customFormat="1" outlineLevel="1">
      <c r="A213" s="16" t="str">
        <f t="shared" si="77"/>
        <v>Cancelado</v>
      </c>
      <c r="B213" s="16">
        <f t="shared" si="78"/>
        <v>2</v>
      </c>
      <c r="C213" s="24" t="s">
        <v>1042</v>
      </c>
      <c r="D213" s="9" t="s">
        <v>56</v>
      </c>
      <c r="E213" s="8">
        <f>4065250</f>
        <v>4065250</v>
      </c>
      <c r="F213" s="353">
        <v>46058</v>
      </c>
      <c r="G213" s="16" t="s">
        <v>20</v>
      </c>
      <c r="H213" s="16">
        <f>IF(OR(G213="Sin pagar",G213="Pagar"),NETWORKDAYS($J$123,F213,'Festivos Colombia'!$A$3:$A$22),0)</f>
        <v>0</v>
      </c>
      <c r="I213" s="16">
        <f>NETWORKDAYS($J$123,F213,'Festivos Colombia'!$A$3:$A$22)</f>
        <v>4</v>
      </c>
      <c r="J213" s="46">
        <f t="shared" si="79"/>
        <v>0</v>
      </c>
      <c r="K213" s="58"/>
    </row>
    <row r="214" spans="1:21" s="16" customFormat="1" outlineLevel="1">
      <c r="A214" s="16" t="str">
        <f t="shared" si="77"/>
        <v>Cancelado</v>
      </c>
      <c r="B214" s="16">
        <f t="shared" si="78"/>
        <v>2</v>
      </c>
      <c r="C214" s="24" t="s">
        <v>850</v>
      </c>
      <c r="D214" s="9" t="s">
        <v>49</v>
      </c>
      <c r="E214" s="350">
        <v>1186677.7159</v>
      </c>
      <c r="F214" s="353">
        <v>46058</v>
      </c>
      <c r="G214" s="16" t="s">
        <v>20</v>
      </c>
      <c r="H214" s="16">
        <f>IF(OR(G214="Sin pagar",G214="Pagar"),NETWORKDAYS($J$123,F214,'Festivos Colombia'!$A$3:$A$22),0)</f>
        <v>0</v>
      </c>
      <c r="I214" s="16">
        <f>NETWORKDAYS($J$123,F214,'Festivos Colombia'!$A$3:$A$22)</f>
        <v>4</v>
      </c>
      <c r="J214" s="46">
        <f t="shared" si="79"/>
        <v>0</v>
      </c>
      <c r="K214" s="58"/>
      <c r="S214" s="27"/>
    </row>
    <row r="215" spans="1:21" s="16" customFormat="1" outlineLevel="1">
      <c r="A215" s="16" t="str">
        <f t="shared" ref="A215" si="80">G215</f>
        <v>Cancelado</v>
      </c>
      <c r="B215" s="16">
        <f t="shared" ref="B215" si="81">IF(I215&lt;=-1,1,IF(I215&lt;=5,2,IF(I215&lt;=15,3,IF(H215&lt;=60,4))))</f>
        <v>3</v>
      </c>
      <c r="C215" s="24">
        <v>1</v>
      </c>
      <c r="D215" s="9" t="s">
        <v>1129</v>
      </c>
      <c r="E215" s="8">
        <v>595404</v>
      </c>
      <c r="F215" s="353">
        <v>46072</v>
      </c>
      <c r="G215" s="16" t="s">
        <v>20</v>
      </c>
      <c r="H215" s="16">
        <f>IF(OR(G215="Sin pagar",G215="Pagar"),NETWORKDAYS($J$123,F215,'Festivos Colombia'!$A$3:$A$22),0)</f>
        <v>0</v>
      </c>
      <c r="I215" s="16">
        <f>NETWORKDAYS($J$123,F215,'Festivos Colombia'!$A$3:$A$22)</f>
        <v>14</v>
      </c>
      <c r="J215" s="46">
        <f t="shared" ref="J215" si="82">H215</f>
        <v>0</v>
      </c>
      <c r="K215" s="58"/>
    </row>
    <row r="216" spans="1:21" s="16" customFormat="1" outlineLevel="1">
      <c r="A216" s="16" t="str">
        <f t="shared" si="77"/>
        <v>Cancelado</v>
      </c>
      <c r="B216" s="16">
        <f t="shared" si="78"/>
        <v>3</v>
      </c>
      <c r="C216" s="24" t="s">
        <v>1127</v>
      </c>
      <c r="D216" s="9" t="s">
        <v>1128</v>
      </c>
      <c r="E216" s="8">
        <v>3665694</v>
      </c>
      <c r="F216" s="465">
        <v>46072</v>
      </c>
      <c r="G216" s="16" t="s">
        <v>20</v>
      </c>
      <c r="H216" s="16">
        <f>IF(OR(G216="Sin pagar",G216="Pagar"),NETWORKDAYS($J$123,F216,'Festivos Colombia'!$A$3:$A$22),0)</f>
        <v>0</v>
      </c>
      <c r="I216" s="16">
        <f>NETWORKDAYS($J$123,F216,'Festivos Colombia'!$A$3:$A$22)</f>
        <v>14</v>
      </c>
      <c r="J216" s="46">
        <f t="shared" si="79"/>
        <v>0</v>
      </c>
      <c r="K216" s="58"/>
    </row>
    <row r="217" spans="1:21" s="16" customFormat="1" ht="13.5" customHeight="1" outlineLevel="1">
      <c r="A217" s="16" t="str">
        <f t="shared" ref="A217" si="83">G217</f>
        <v>Cancelado</v>
      </c>
      <c r="B217" s="16">
        <f t="shared" ref="B217" si="84">IF(I217&lt;=-1,1,IF(I217&lt;=5,2,IF(I217&lt;=15,3,IF(H217&lt;=60,4))))</f>
        <v>3</v>
      </c>
      <c r="C217" s="56" t="s">
        <v>851</v>
      </c>
      <c r="D217" s="9" t="s">
        <v>50</v>
      </c>
      <c r="E217" s="350">
        <f>1723309.31</f>
        <v>1723309.31</v>
      </c>
      <c r="F217" s="353">
        <v>46073</v>
      </c>
      <c r="G217" s="16" t="s">
        <v>20</v>
      </c>
      <c r="H217" s="16">
        <f>IF(OR(G217="Sin pagar",G217="Pagar"),NETWORKDAYS($J$123,F217,'Festivos Colombia'!$A$3:$A$22),0)</f>
        <v>0</v>
      </c>
      <c r="I217" s="16">
        <f>NETWORKDAYS($J$123,F217,'Festivos Colombia'!$A$3:$A$22)</f>
        <v>15</v>
      </c>
      <c r="J217" s="46">
        <f t="shared" si="79"/>
        <v>0</v>
      </c>
      <c r="K217" s="58"/>
      <c r="M217" s="25"/>
    </row>
    <row r="218" spans="1:21" s="150" customFormat="1" ht="16.5" customHeight="1" outlineLevel="1">
      <c r="A218" s="355" t="str">
        <f t="shared" ref="A218:A220" si="85">G218</f>
        <v>Cancelado</v>
      </c>
      <c r="B218" s="355">
        <f t="shared" ref="B218:B220" si="86">IF(I218&lt;=-1,1,IF(I218&lt;=5,2,IF(I218&lt;=15,3,IF(H218&lt;=60,4))))</f>
        <v>4</v>
      </c>
      <c r="C218" s="234" t="s">
        <v>1266</v>
      </c>
      <c r="D218" s="320" t="s">
        <v>822</v>
      </c>
      <c r="E218" s="350">
        <f>600*0</f>
        <v>0</v>
      </c>
      <c r="F218" s="353">
        <v>46080</v>
      </c>
      <c r="G218" s="16" t="s">
        <v>20</v>
      </c>
      <c r="H218" s="16">
        <f>IF(OR(G218="Sin pagar",G218="Pagar"),NETWORKDAYS($J$123,F218,'Festivos Colombia'!$A$3:$A$22),0)</f>
        <v>0</v>
      </c>
      <c r="I218" s="16">
        <f>NETWORKDAYS($J$123,F218,'Festivos Colombia'!$A$3:$A$22)</f>
        <v>20</v>
      </c>
      <c r="J218" s="46">
        <f t="shared" ref="J218:J223" si="87">H218</f>
        <v>0</v>
      </c>
      <c r="K218" s="58"/>
      <c r="L218" s="355"/>
      <c r="M218" s="355"/>
      <c r="N218" s="355"/>
      <c r="O218" s="355"/>
      <c r="P218" s="355"/>
      <c r="Q218" s="355"/>
      <c r="R218" s="355"/>
      <c r="S218" s="355"/>
      <c r="T218" s="355"/>
      <c r="U218" s="355"/>
    </row>
    <row r="219" spans="1:21" s="16" customFormat="1" ht="14.25" customHeight="1" outlineLevel="1">
      <c r="A219" s="16" t="str">
        <f>G219</f>
        <v>Cancelado</v>
      </c>
      <c r="B219" s="16">
        <f>IF(I219&lt;=-1,1,IF(I219&lt;=5,2,IF(I219&lt;=15,3,IF(H219&lt;=60,4))))</f>
        <v>3</v>
      </c>
      <c r="C219" s="24">
        <v>9</v>
      </c>
      <c r="D219" s="9" t="s">
        <v>106</v>
      </c>
      <c r="E219" s="8">
        <v>340000.55777999997</v>
      </c>
      <c r="F219" s="353">
        <v>46073</v>
      </c>
      <c r="G219" s="16" t="s">
        <v>20</v>
      </c>
      <c r="H219" s="16">
        <f>IF(OR(G219="Sin pagar",G219="Pagar"),NETWORKDAYS($J$123,F219,'Festivos Colombia'!$A$3:$A$22),0)</f>
        <v>0</v>
      </c>
      <c r="I219" s="16">
        <f>NETWORKDAYS($J$123,F219,'Festivos Colombia'!$A$3:$A$22)</f>
        <v>15</v>
      </c>
      <c r="J219" s="46">
        <f t="shared" si="87"/>
        <v>0</v>
      </c>
      <c r="K219" s="58"/>
    </row>
    <row r="220" spans="1:21" s="16" customFormat="1" outlineLevel="1">
      <c r="A220" s="16" t="str">
        <f t="shared" si="85"/>
        <v>Cancelado</v>
      </c>
      <c r="B220" s="16">
        <f t="shared" si="86"/>
        <v>3</v>
      </c>
      <c r="C220" s="56" t="s">
        <v>1094</v>
      </c>
      <c r="D220" s="9" t="s">
        <v>55</v>
      </c>
      <c r="E220" s="8">
        <v>77395</v>
      </c>
      <c r="F220" s="353">
        <v>46073</v>
      </c>
      <c r="G220" s="16" t="s">
        <v>20</v>
      </c>
      <c r="H220" s="16">
        <f>IF(OR(G220="Sin pagar",G220="Pagar"),NETWORKDAYS($J$123,F220,'Festivos Colombia'!$A$3:$A$22),0)</f>
        <v>0</v>
      </c>
      <c r="I220" s="16">
        <f>NETWORKDAYS($J$123,F220,'Festivos Colombia'!$A$3:$A$22)</f>
        <v>15</v>
      </c>
      <c r="J220" s="46">
        <f t="shared" si="87"/>
        <v>0</v>
      </c>
      <c r="K220" s="58"/>
    </row>
    <row r="221" spans="1:21" s="16" customFormat="1" outlineLevel="1">
      <c r="A221" s="16" t="str">
        <f>G221</f>
        <v>Cancelado</v>
      </c>
      <c r="B221" s="16">
        <f>IF(I221&lt;=-1,1,IF(I221&lt;=5,2,IF(I221&lt;=15,3,IF(H221&lt;=60,4))))</f>
        <v>3</v>
      </c>
      <c r="C221" s="56">
        <v>260201</v>
      </c>
      <c r="D221" s="347" t="s">
        <v>53</v>
      </c>
      <c r="E221" s="8">
        <v>475363.2</v>
      </c>
      <c r="F221" s="353">
        <v>46073</v>
      </c>
      <c r="G221" s="16" t="s">
        <v>20</v>
      </c>
      <c r="H221" s="16">
        <f>IF(OR(G221="Sin pagar",G221="Pagar"),NETWORKDAYS($J$123,F221,'Festivos Colombia'!$A$3:$A$22),0)</f>
        <v>0</v>
      </c>
      <c r="I221" s="16">
        <f>NETWORKDAYS($J$123,F221,'Festivos Colombia'!$A$3:$A$22)</f>
        <v>15</v>
      </c>
      <c r="J221" s="46">
        <f t="shared" si="87"/>
        <v>0</v>
      </c>
      <c r="K221" s="58"/>
    </row>
    <row r="222" spans="1:21" s="16" customFormat="1" outlineLevel="1">
      <c r="A222" s="16" t="str">
        <f t="shared" ref="A222:A223" si="88">G222</f>
        <v>Cancelado</v>
      </c>
      <c r="B222" s="16">
        <f t="shared" ref="B222:B223" si="89">IF(I222&lt;=-1,1,IF(I222&lt;=5,2,IF(I222&lt;=15,3,IF(H222&lt;=60,4))))</f>
        <v>3</v>
      </c>
      <c r="C222" s="534">
        <v>24</v>
      </c>
      <c r="D222" s="347" t="s">
        <v>52</v>
      </c>
      <c r="E222" s="535">
        <v>1489471.36</v>
      </c>
      <c r="F222" s="353">
        <v>46072</v>
      </c>
      <c r="G222" s="16" t="s">
        <v>20</v>
      </c>
      <c r="H222" s="16">
        <f>IF(OR(G222="Sin pagar",G222="Pagar"),NETWORKDAYS($J$123,F222,'Festivos Colombia'!$A$3:$A$22),0)</f>
        <v>0</v>
      </c>
      <c r="I222" s="16">
        <f>NETWORKDAYS($J$123,F222,'Festivos Colombia'!$A$3:$A$22)</f>
        <v>14</v>
      </c>
      <c r="J222" s="46">
        <f t="shared" si="87"/>
        <v>0</v>
      </c>
      <c r="K222" s="58"/>
      <c r="M222" s="25"/>
    </row>
    <row r="223" spans="1:21" s="16" customFormat="1" outlineLevel="1">
      <c r="A223" s="16" t="str">
        <f t="shared" si="88"/>
        <v>Cancelado</v>
      </c>
      <c r="B223" s="16">
        <f t="shared" si="89"/>
        <v>3</v>
      </c>
      <c r="C223" s="534">
        <v>16</v>
      </c>
      <c r="D223" s="347" t="s">
        <v>113</v>
      </c>
      <c r="E223" s="535">
        <v>1489471.36</v>
      </c>
      <c r="F223" s="353">
        <v>46072</v>
      </c>
      <c r="G223" s="16" t="s">
        <v>20</v>
      </c>
      <c r="H223" s="16">
        <f>IF(OR(G223="Sin pagar",G223="Pagar"),NETWORKDAYS($J$123,F223,'Festivos Colombia'!$A$3:$A$22),0)</f>
        <v>0</v>
      </c>
      <c r="I223" s="16">
        <f>NETWORKDAYS($J$123,F223,'Festivos Colombia'!$A$3:$A$22)</f>
        <v>14</v>
      </c>
      <c r="J223" s="46">
        <f t="shared" si="87"/>
        <v>0</v>
      </c>
      <c r="K223" s="58"/>
      <c r="M223" s="25"/>
    </row>
    <row r="224" spans="1:21" s="16" customFormat="1" outlineLevel="1">
      <c r="A224" s="16" t="str">
        <f>G224</f>
        <v>Cancelado</v>
      </c>
      <c r="B224" s="16">
        <f>IF(I224&lt;=-1,1,IF(I224&lt;=5,2,IF(I224&lt;=15,3,IF(H224&lt;=60,4))))</f>
        <v>4</v>
      </c>
      <c r="C224" s="56">
        <v>9</v>
      </c>
      <c r="D224" s="9" t="s">
        <v>1265</v>
      </c>
      <c r="E224" s="8">
        <v>496170</v>
      </c>
      <c r="F224" s="7">
        <v>46078</v>
      </c>
      <c r="G224" s="16" t="s">
        <v>20</v>
      </c>
      <c r="H224" s="16">
        <f>IF(OR(G224="Sin pagar",G224="Pagar"),NETWORKDAYS($J$123,F224,'Festivos Colombia'!$A$3:$A$22),0)</f>
        <v>0</v>
      </c>
      <c r="I224" s="16">
        <f>NETWORKDAYS($J$123,F224,'Festivos Colombia'!$A$3:$A$22)</f>
        <v>18</v>
      </c>
      <c r="J224" s="46">
        <f>H224</f>
        <v>0</v>
      </c>
      <c r="K224" s="58"/>
      <c r="M224" s="25"/>
    </row>
    <row r="225" spans="1:19" s="16" customFormat="1" outlineLevel="1">
      <c r="A225" s="16" t="str">
        <f>G225</f>
        <v>Cancelado</v>
      </c>
      <c r="B225" s="16">
        <f>IF(I225&lt;=-1,1,IF(I225&lt;=5,2,IF(I225&lt;=15,3,IF(H225&lt;=60,4))))</f>
        <v>4</v>
      </c>
      <c r="C225" s="56" t="s">
        <v>1317</v>
      </c>
      <c r="D225" s="9" t="s">
        <v>96</v>
      </c>
      <c r="E225" s="8">
        <v>1438893</v>
      </c>
      <c r="F225" s="7">
        <v>46080</v>
      </c>
      <c r="G225" s="16" t="s">
        <v>20</v>
      </c>
      <c r="H225" s="16">
        <f>IF(OR(G225="Sin pagar",G225="Pagar"),NETWORKDAYS($J$123,F225,'Festivos Colombia'!$A$3:$A$22),0)</f>
        <v>0</v>
      </c>
      <c r="I225" s="16">
        <f>NETWORKDAYS($J$123,F225,'Festivos Colombia'!$A$3:$A$22)</f>
        <v>20</v>
      </c>
      <c r="J225" s="46">
        <f>H225</f>
        <v>0</v>
      </c>
      <c r="K225" s="58"/>
      <c r="M225" s="25"/>
    </row>
    <row r="226" spans="1:19" s="16" customFormat="1" outlineLevel="1">
      <c r="A226" s="16" t="str">
        <f t="shared" ref="A226" si="90">G226</f>
        <v>Cancelado</v>
      </c>
      <c r="B226" s="16">
        <f t="shared" ref="B226" si="91">IF(I226&lt;=-1,1,IF(I226&lt;=5,2,IF(I226&lt;=15,3,IF(H226&lt;=60,4))))</f>
        <v>4</v>
      </c>
      <c r="C226" s="24" t="s">
        <v>1319</v>
      </c>
      <c r="D226" s="9" t="s">
        <v>1318</v>
      </c>
      <c r="E226" s="8">
        <v>4065250</v>
      </c>
      <c r="F226" s="7">
        <v>46080</v>
      </c>
      <c r="G226" s="16" t="s">
        <v>20</v>
      </c>
      <c r="H226" s="16">
        <f>IF(OR(G226="Sin pagar",G226="Pagar"),NETWORKDAYS($J$123,F226,'Festivos Colombia'!$A$3:$A$22),0)</f>
        <v>0</v>
      </c>
      <c r="I226" s="16">
        <f>NETWORKDAYS($J$123,F226,'Festivos Colombia'!$A$3:$A$22)</f>
        <v>20</v>
      </c>
      <c r="J226" s="46">
        <f t="shared" ref="J226" si="92">H226</f>
        <v>0</v>
      </c>
      <c r="K226" s="58"/>
    </row>
    <row r="227" spans="1:19" s="16" customFormat="1" outlineLevel="1">
      <c r="A227" s="16" t="str">
        <f t="shared" ref="A227" si="93">G227</f>
        <v>Cancelado</v>
      </c>
      <c r="B227" s="16">
        <f t="shared" ref="B227" si="94">IF(I227&lt;=-1,1,IF(I227&lt;=5,2,IF(I227&lt;=15,3,IF(H227&lt;=60,4))))</f>
        <v>4</v>
      </c>
      <c r="C227" s="24" t="s">
        <v>1319</v>
      </c>
      <c r="D227" s="9" t="s">
        <v>1320</v>
      </c>
      <c r="E227" s="8">
        <v>3665694</v>
      </c>
      <c r="F227" s="7">
        <v>46080</v>
      </c>
      <c r="G227" s="16" t="s">
        <v>20</v>
      </c>
      <c r="H227" s="16">
        <f>IF(OR(G227="Sin pagar",G227="Pagar"),NETWORKDAYS($J$123,F227,'Festivos Colombia'!$A$3:$A$22),0)</f>
        <v>0</v>
      </c>
      <c r="I227" s="16">
        <f>NETWORKDAYS($J$123,F227,'Festivos Colombia'!$A$3:$A$22)</f>
        <v>20</v>
      </c>
      <c r="J227" s="46">
        <f t="shared" ref="J227" si="95">H227</f>
        <v>0</v>
      </c>
      <c r="K227" s="58"/>
    </row>
    <row r="228" spans="1:19" s="16" customFormat="1" outlineLevel="1">
      <c r="A228" s="16" t="str">
        <f t="shared" ref="A228" si="96">G228</f>
        <v>Sin Pagar</v>
      </c>
      <c r="B228" s="16">
        <f t="shared" ref="B228" si="97">IF(I228&lt;=-1,1,IF(I228&lt;=5,2,IF(I228&lt;=15,3,IF(H228&lt;=60,4))))</f>
        <v>4</v>
      </c>
      <c r="C228" s="24" t="s">
        <v>1099</v>
      </c>
      <c r="D228" s="9" t="s">
        <v>1098</v>
      </c>
      <c r="E228" s="350">
        <f>1219000*0</f>
        <v>0</v>
      </c>
      <c r="F228" s="353">
        <v>46085</v>
      </c>
      <c r="G228" s="16" t="s">
        <v>5</v>
      </c>
      <c r="H228" s="16">
        <f>IF(OR(G228="Sin pagar",G228="Pagar"),NETWORKDAYS($J$123,F228,'Festivos Colombia'!$A$3:$A$22),0)</f>
        <v>23</v>
      </c>
      <c r="I228" s="16">
        <f>NETWORKDAYS($J$123,F228,'Festivos Colombia'!$A$3:$A$22)</f>
        <v>23</v>
      </c>
      <c r="J228" s="46">
        <f t="shared" ref="J228" si="98">H228</f>
        <v>23</v>
      </c>
      <c r="K228" s="58"/>
      <c r="S228" s="27"/>
    </row>
    <row r="229" spans="1:19" s="16" customFormat="1" ht="13.5" customHeight="1" outlineLevel="1">
      <c r="A229" s="16" t="str">
        <f t="shared" ref="A229:A237" si="99">G229</f>
        <v>Sin Pagar</v>
      </c>
      <c r="B229" s="16">
        <f t="shared" ref="B229:B237" si="100">IF(I229&lt;=-1,1,IF(I229&lt;=5,2,IF(I229&lt;=15,3,IF(H229&lt;=60,4))))</f>
        <v>4</v>
      </c>
      <c r="C229" s="56" t="s">
        <v>1095</v>
      </c>
      <c r="D229" s="9" t="s">
        <v>50</v>
      </c>
      <c r="E229" s="350">
        <f>1723309.31*0</f>
        <v>0</v>
      </c>
      <c r="F229" s="353">
        <v>46087</v>
      </c>
      <c r="G229" s="16" t="s">
        <v>5</v>
      </c>
      <c r="H229" s="16">
        <f>IF(OR(G229="Sin pagar",G229="Pagar"),NETWORKDAYS($J$123,F229,'Festivos Colombia'!$A$3:$A$22),0)</f>
        <v>25</v>
      </c>
      <c r="I229" s="16">
        <f>NETWORKDAYS($J$123,F229,'Festivos Colombia'!$A$3:$A$22)</f>
        <v>25</v>
      </c>
      <c r="J229" s="46">
        <f t="shared" ref="J229:J233" si="101">H229</f>
        <v>25</v>
      </c>
      <c r="K229" s="353"/>
      <c r="M229" s="25"/>
    </row>
    <row r="230" spans="1:19" s="16" customFormat="1" ht="14.25" customHeight="1" outlineLevel="1">
      <c r="A230" s="16" t="str">
        <f>G230</f>
        <v>Sin Pagar</v>
      </c>
      <c r="B230" s="16">
        <f>IF(I230&lt;=-1,1,IF(I230&lt;=5,2,IF(I230&lt;=15,3,IF(H230&lt;=60,4))))</f>
        <v>4</v>
      </c>
      <c r="C230" s="669" t="s">
        <v>1342</v>
      </c>
      <c r="D230" s="9" t="s">
        <v>54</v>
      </c>
      <c r="E230" s="8">
        <f>774025.2*0</f>
        <v>0</v>
      </c>
      <c r="F230" s="353">
        <v>46087</v>
      </c>
      <c r="G230" s="16" t="s">
        <v>5</v>
      </c>
      <c r="H230" s="16">
        <f>IF(OR(G230="Sin pagar",G230="Pagar"),NETWORKDAYS($J$123,F230,'Festivos Colombia'!$A$3:$A$22),0)</f>
        <v>25</v>
      </c>
      <c r="I230" s="16">
        <f>NETWORKDAYS($J$123,F230,'Festivos Colombia'!$A$3:$A$22)</f>
        <v>25</v>
      </c>
      <c r="J230" s="46">
        <f>H230</f>
        <v>25</v>
      </c>
      <c r="K230" s="58"/>
    </row>
    <row r="231" spans="1:19" s="16" customFormat="1" outlineLevel="1">
      <c r="A231" s="16" t="str">
        <f t="shared" ref="A231" si="102">G231</f>
        <v>Sin Pagar</v>
      </c>
      <c r="B231" s="16">
        <f t="shared" ref="B231" si="103">IF(I231&lt;=-1,1,IF(I231&lt;=5,2,IF(I231&lt;=15,3,IF(H231&lt;=60,4))))</f>
        <v>4</v>
      </c>
      <c r="C231" s="24" t="s">
        <v>1370</v>
      </c>
      <c r="D231" s="9" t="s">
        <v>49</v>
      </c>
      <c r="E231" s="350">
        <f>1364315*0</f>
        <v>0</v>
      </c>
      <c r="F231" s="353">
        <v>46087</v>
      </c>
      <c r="G231" s="16" t="s">
        <v>5</v>
      </c>
      <c r="H231" s="16">
        <f>IF(OR(G231="Sin pagar",G231="Pagar"),NETWORKDAYS($J$123,F231,'Festivos Colombia'!$A$3:$A$22),0)</f>
        <v>25</v>
      </c>
      <c r="I231" s="16">
        <f>NETWORKDAYS($J$123,F231,'Festivos Colombia'!$A$3:$A$22)</f>
        <v>25</v>
      </c>
      <c r="J231" s="46">
        <f t="shared" ref="J231" si="104">H231</f>
        <v>25</v>
      </c>
      <c r="K231" s="58"/>
      <c r="S231" s="27"/>
    </row>
    <row r="232" spans="1:19" s="16" customFormat="1" outlineLevel="1">
      <c r="A232" s="16" t="str">
        <f t="shared" ref="A232:A233" si="105">G232</f>
        <v>Sin Pagar</v>
      </c>
      <c r="B232" s="16">
        <f t="shared" ref="B232:B233" si="106">IF(I232&lt;=-1,1,IF(I232&lt;=5,2,IF(I232&lt;=15,3,IF(H232&lt;=60,4))))</f>
        <v>4</v>
      </c>
      <c r="C232" s="24" t="s">
        <v>1096</v>
      </c>
      <c r="D232" s="9" t="s">
        <v>49</v>
      </c>
      <c r="E232" s="350">
        <f>833000*0</f>
        <v>0</v>
      </c>
      <c r="F232" s="353">
        <v>46087</v>
      </c>
      <c r="G232" s="16" t="s">
        <v>5</v>
      </c>
      <c r="H232" s="16">
        <f>IF(OR(G232="Sin pagar",G232="Pagar"),NETWORKDAYS($J$123,F232,'Festivos Colombia'!$A$3:$A$22),0)</f>
        <v>25</v>
      </c>
      <c r="I232" s="16">
        <f>NETWORKDAYS($J$123,F232,'Festivos Colombia'!$A$3:$A$22)</f>
        <v>25</v>
      </c>
      <c r="J232" s="46">
        <f t="shared" si="101"/>
        <v>25</v>
      </c>
      <c r="K232" s="58"/>
      <c r="S232" s="27"/>
    </row>
    <row r="233" spans="1:19" s="16" customFormat="1" outlineLevel="1">
      <c r="A233" s="16" t="str">
        <f t="shared" si="105"/>
        <v>Sin Pagar</v>
      </c>
      <c r="B233" s="16">
        <f t="shared" si="106"/>
        <v>4</v>
      </c>
      <c r="C233" s="24" t="s">
        <v>1367</v>
      </c>
      <c r="D233" s="9" t="s">
        <v>1368</v>
      </c>
      <c r="E233" s="350">
        <f>1785000*0</f>
        <v>0</v>
      </c>
      <c r="F233" s="353">
        <v>46087</v>
      </c>
      <c r="G233" s="16" t="s">
        <v>5</v>
      </c>
      <c r="H233" s="16">
        <f>IF(OR(G233="Sin pagar",G233="Pagar"),NETWORKDAYS($J$123,F233,'Festivos Colombia'!$A$3:$A$22),0)</f>
        <v>25</v>
      </c>
      <c r="I233" s="16">
        <f>NETWORKDAYS($J$123,F233,'Festivos Colombia'!$A$3:$A$22)</f>
        <v>25</v>
      </c>
      <c r="J233" s="46">
        <f t="shared" si="101"/>
        <v>25</v>
      </c>
      <c r="K233" s="58"/>
      <c r="S233" s="27"/>
    </row>
    <row r="234" spans="1:19" s="16" customFormat="1" outlineLevel="1">
      <c r="A234" s="16" t="str">
        <f t="shared" ref="A234" si="107">G234</f>
        <v>Sin Pagar</v>
      </c>
      <c r="B234" s="16">
        <f t="shared" ref="B234" si="108">IF(I234&lt;=-1,1,IF(I234&lt;=5,2,IF(I234&lt;=15,3,IF(H234&lt;=60,4))))</f>
        <v>4</v>
      </c>
      <c r="C234" s="24" t="s">
        <v>1358</v>
      </c>
      <c r="D234" s="9" t="s">
        <v>1359</v>
      </c>
      <c r="E234" s="350">
        <f>1785000*0</f>
        <v>0</v>
      </c>
      <c r="F234" s="353">
        <v>46087</v>
      </c>
      <c r="G234" s="16" t="s">
        <v>5</v>
      </c>
      <c r="H234" s="16">
        <f>IF(OR(G234="Sin pagar",G234="Pagar"),NETWORKDAYS($J$123,F234,'Festivos Colombia'!$A$3:$A$22),0)</f>
        <v>25</v>
      </c>
      <c r="I234" s="16">
        <f>NETWORKDAYS($J$123,F234,'Festivos Colombia'!$A$3:$A$22)</f>
        <v>25</v>
      </c>
      <c r="J234" s="46">
        <f t="shared" ref="J234" si="109">H234</f>
        <v>25</v>
      </c>
      <c r="K234" s="58"/>
      <c r="S234" s="27"/>
    </row>
    <row r="235" spans="1:19" s="16" customFormat="1" outlineLevel="1">
      <c r="A235" s="16" t="str">
        <f t="shared" si="99"/>
        <v>Sin Pagar</v>
      </c>
      <c r="B235" s="16">
        <f t="shared" si="100"/>
        <v>4</v>
      </c>
      <c r="C235" s="24" t="s">
        <v>1096</v>
      </c>
      <c r="D235" s="9" t="s">
        <v>1097</v>
      </c>
      <c r="E235" s="350">
        <f>833000*0</f>
        <v>0</v>
      </c>
      <c r="F235" s="353">
        <v>46087</v>
      </c>
      <c r="G235" s="16" t="s">
        <v>5</v>
      </c>
      <c r="H235" s="16">
        <f>IF(OR(G235="Sin pagar",G235="Pagar"),NETWORKDAYS($J$123,F235,'Festivos Colombia'!$A$3:$A$22),0)</f>
        <v>25</v>
      </c>
      <c r="I235" s="16">
        <f>NETWORKDAYS($J$123,F235,'Festivos Colombia'!$A$3:$A$22)</f>
        <v>25</v>
      </c>
      <c r="J235" s="46">
        <f t="shared" ref="J235:J238" si="110">H235</f>
        <v>25</v>
      </c>
      <c r="K235" s="58"/>
      <c r="S235" s="27"/>
    </row>
    <row r="236" spans="1:19" s="16" customFormat="1" outlineLevel="1">
      <c r="A236" s="16" t="str">
        <f>G236</f>
        <v>Sin Pagar</v>
      </c>
      <c r="B236" s="16">
        <f>IF(I236&lt;=-1,1,IF(I236&lt;=5,2,IF(I236&lt;=15,3,IF(H236&lt;=60,4))))</f>
        <v>4</v>
      </c>
      <c r="C236" s="56" t="s">
        <v>1343</v>
      </c>
      <c r="D236" s="9" t="s">
        <v>55</v>
      </c>
      <c r="E236" s="8">
        <f>77395*0</f>
        <v>0</v>
      </c>
      <c r="F236" s="671">
        <v>46101</v>
      </c>
      <c r="G236" s="16" t="s">
        <v>5</v>
      </c>
      <c r="H236" s="16">
        <f>IF(OR(G236="Sin pagar",G236="Pagar"),NETWORKDAYS($J$123,F236,'Festivos Colombia'!$A$3:$A$22),0)</f>
        <v>35</v>
      </c>
      <c r="I236" s="16">
        <f>NETWORKDAYS($J$123,F236,'Festivos Colombia'!$A$3:$A$22)</f>
        <v>35</v>
      </c>
      <c r="J236" s="46">
        <f>H236</f>
        <v>35</v>
      </c>
      <c r="K236" s="58"/>
    </row>
    <row r="237" spans="1:19" s="16" customFormat="1" outlineLevel="1">
      <c r="A237" s="16" t="str">
        <f t="shared" si="99"/>
        <v>Sin Pagar</v>
      </c>
      <c r="B237" s="16">
        <f t="shared" si="100"/>
        <v>4</v>
      </c>
      <c r="C237" s="24" t="s">
        <v>1340</v>
      </c>
      <c r="D237" s="9" t="s">
        <v>49</v>
      </c>
      <c r="E237" s="350">
        <f>1301175*0</f>
        <v>0</v>
      </c>
      <c r="F237" s="353">
        <v>46113</v>
      </c>
      <c r="G237" s="16" t="s">
        <v>5</v>
      </c>
      <c r="H237" s="16">
        <f>IF(OR(G237="Sin pagar",G237="Pagar"),NETWORKDAYS($J$123,F237,'Festivos Colombia'!$A$3:$A$22),0)</f>
        <v>42</v>
      </c>
      <c r="I237" s="16">
        <f>NETWORKDAYS($J$123,F237,'Festivos Colombia'!$A$3:$A$22)</f>
        <v>42</v>
      </c>
      <c r="J237" s="46">
        <f t="shared" si="110"/>
        <v>42</v>
      </c>
      <c r="K237" s="58"/>
      <c r="S237" s="27"/>
    </row>
    <row r="238" spans="1:19" s="16" customFormat="1" ht="13.5" customHeight="1" outlineLevel="1" thickBot="1">
      <c r="A238" s="16" t="str">
        <f t="shared" ref="A238" si="111">G238</f>
        <v>Sin Pagar</v>
      </c>
      <c r="B238" s="16">
        <f t="shared" ref="B238" si="112">IF(I238&lt;=-1,1,IF(I238&lt;=5,2,IF(I238&lt;=15,3,IF(H238&lt;=60,4))))</f>
        <v>4</v>
      </c>
      <c r="C238" s="56" t="s">
        <v>1371</v>
      </c>
      <c r="D238" s="9" t="s">
        <v>50</v>
      </c>
      <c r="E238" s="350">
        <f>1723309.31*0</f>
        <v>0</v>
      </c>
      <c r="F238" s="353">
        <v>46115</v>
      </c>
      <c r="G238" s="16" t="s">
        <v>5</v>
      </c>
      <c r="H238" s="16">
        <f>IF(OR(G238="Sin pagar",G238="Pagar"),NETWORKDAYS($J$123,F238,'Festivos Colombia'!$A$3:$A$22),0)</f>
        <v>42</v>
      </c>
      <c r="I238" s="16">
        <f>NETWORKDAYS($J$123,F238,'Festivos Colombia'!$A$3:$A$22)</f>
        <v>42</v>
      </c>
      <c r="J238" s="46">
        <f t="shared" si="110"/>
        <v>42</v>
      </c>
      <c r="K238" s="353"/>
      <c r="M238" s="25"/>
    </row>
    <row r="239" spans="1:19" s="16" customFormat="1" ht="15.75" customHeight="1" thickBot="1">
      <c r="D239" s="351" t="s">
        <v>57</v>
      </c>
      <c r="E239" s="352">
        <f>SUBTOTAL(9,E240:E240)</f>
        <v>14000788.683820101</v>
      </c>
      <c r="J239" s="46"/>
    </row>
    <row r="240" spans="1:19" s="16" customFormat="1" ht="15.75" outlineLevel="1" thickBot="1">
      <c r="A240" s="16" t="str">
        <f>G240</f>
        <v>Cancelado</v>
      </c>
      <c r="B240" s="16">
        <f>IF(I240&lt;=-1,1,IF(I240&lt;=5,2,IF(I240&lt;=15,3,IF(H240&lt;=60,4))))</f>
        <v>4</v>
      </c>
      <c r="C240" s="24"/>
      <c r="D240" s="9" t="s">
        <v>58</v>
      </c>
      <c r="E240" s="578">
        <f>11269229.6838201+2731559</f>
        <v>14000788.683820101</v>
      </c>
      <c r="F240" s="7">
        <v>46080</v>
      </c>
      <c r="G240" s="16" t="s">
        <v>20</v>
      </c>
      <c r="H240" s="16">
        <f>IF(OR(G240="Sin pagar",G240="Pagar"),NETWORKDAYS($J$123,F240,'Festivos Colombia'!$A$3:$A$22),0)</f>
        <v>0</v>
      </c>
      <c r="I240" s="16">
        <f>NETWORKDAYS($J$123,F240,'Festivos Colombia'!$A$3:$A$22)</f>
        <v>20</v>
      </c>
      <c r="J240" s="46">
        <f>H240</f>
        <v>0</v>
      </c>
      <c r="K240" s="58"/>
    </row>
    <row r="241" spans="1:17" s="16" customFormat="1" ht="16.5" thickBot="1">
      <c r="C241" s="24"/>
      <c r="D241" s="351" t="s">
        <v>59</v>
      </c>
      <c r="E241" s="352">
        <f>SUBTOTAL(9,E242:E243)</f>
        <v>3859984</v>
      </c>
      <c r="J241" s="46"/>
    </row>
    <row r="242" spans="1:17" s="16" customFormat="1" outlineLevel="1">
      <c r="A242" s="16" t="str">
        <f>G242</f>
        <v>Cancelado</v>
      </c>
      <c r="B242" s="16">
        <f>IF(I242&lt;=-1,1,IF(I242&lt;=5,2,IF(I242&lt;=15,3,IF(H242&lt;=60,4))))</f>
        <v>4</v>
      </c>
      <c r="C242" s="24"/>
      <c r="D242" s="9" t="s">
        <v>60</v>
      </c>
      <c r="E242" s="350">
        <v>3321161</v>
      </c>
      <c r="F242" s="7">
        <v>46080</v>
      </c>
      <c r="G242" s="16" t="s">
        <v>20</v>
      </c>
      <c r="H242" s="16">
        <f>IF(OR(G242="Sin pagar",G242="Pagar"),NETWORKDAYS($J$123,F242,'Festivos Colombia'!$A$3:$A$22),0)</f>
        <v>0</v>
      </c>
      <c r="I242" s="16">
        <f>NETWORKDAYS($J$123,F242,'Festivos Colombia'!$A$3:$A$22)</f>
        <v>20</v>
      </c>
      <c r="J242" s="46">
        <f>H242</f>
        <v>0</v>
      </c>
      <c r="K242" s="58"/>
    </row>
    <row r="243" spans="1:17" s="16" customFormat="1" ht="15.75" outlineLevel="1" thickBot="1">
      <c r="A243" s="16" t="str">
        <f>G243</f>
        <v>Cancelado</v>
      </c>
      <c r="B243" s="16">
        <f>IF(I243&lt;=-1,1,IF(I243&lt;=5,2,IF(I243&lt;=15,3,IF(H243&lt;=60,4))))</f>
        <v>4</v>
      </c>
      <c r="C243" s="24"/>
      <c r="D243" s="9" t="s">
        <v>1087</v>
      </c>
      <c r="E243" s="350">
        <v>538823</v>
      </c>
      <c r="F243" s="7">
        <v>46079</v>
      </c>
      <c r="G243" s="16" t="s">
        <v>20</v>
      </c>
      <c r="H243" s="16">
        <f>IF(OR(G243="Sin pagar",G243="Pagar"),NETWORKDAYS($J$123,F243,'Festivos Colombia'!$A$3:$A$22),0)</f>
        <v>0</v>
      </c>
      <c r="I243" s="16">
        <f>NETWORKDAYS($J$123,F243,'Festivos Colombia'!$A$3:$A$22)</f>
        <v>19</v>
      </c>
      <c r="J243" s="46">
        <f>H243</f>
        <v>0</v>
      </c>
      <c r="K243" s="58"/>
    </row>
    <row r="244" spans="1:17" s="16" customFormat="1" ht="16.5" thickBot="1">
      <c r="C244" s="24"/>
      <c r="D244" s="351" t="s">
        <v>61</v>
      </c>
      <c r="E244" s="352">
        <f>SUBTOTAL(9,E245:E247)</f>
        <v>12409133.507999999</v>
      </c>
      <c r="J244" s="46"/>
      <c r="M244" s="8"/>
    </row>
    <row r="245" spans="1:17" s="16" customFormat="1" outlineLevel="1">
      <c r="A245" s="16" t="str">
        <f>G245</f>
        <v>Cancelado</v>
      </c>
      <c r="B245" s="16">
        <f>IF(I245&lt;=-1,1,IF(I245&lt;=5,2,IF(I245&lt;=15,3,IF(H245&lt;=60,4))))</f>
        <v>2</v>
      </c>
      <c r="C245" s="97"/>
      <c r="D245" s="9" t="s">
        <v>98</v>
      </c>
      <c r="E245" s="419">
        <f>((152*3628.16)+15929.84)*0</f>
        <v>0</v>
      </c>
      <c r="F245" s="7">
        <v>46058</v>
      </c>
      <c r="G245" s="16" t="s">
        <v>20</v>
      </c>
      <c r="H245" s="16">
        <f>IF(OR(G245="Sin pagar",G245="Pagar"),NETWORKDAYS($J$123,F245,'Festivos Colombia'!$A$3:$A$22),0)</f>
        <v>0</v>
      </c>
      <c r="I245" s="16">
        <f>NETWORKDAYS($J$123,F245,'Festivos Colombia'!$A$3:$A$22)</f>
        <v>4</v>
      </c>
      <c r="J245" s="46">
        <f>H245</f>
        <v>0</v>
      </c>
      <c r="K245" s="8"/>
      <c r="L245" s="350"/>
      <c r="M245" s="8"/>
      <c r="O245" s="33"/>
      <c r="P245" s="25"/>
      <c r="Q245" s="33"/>
    </row>
    <row r="246" spans="1:17" s="16" customFormat="1" outlineLevel="1">
      <c r="A246" s="16" t="str">
        <f t="shared" ref="A246" si="113">G246</f>
        <v>Cancelado</v>
      </c>
      <c r="B246" s="16">
        <f t="shared" ref="B246" si="114">IF(I246&lt;=-1,1,IF(I246&lt;=5,2,IF(I246&lt;=15,3,IF(H246&lt;=60,4))))</f>
        <v>3</v>
      </c>
      <c r="C246" s="97"/>
      <c r="D246" s="9" t="s">
        <v>62</v>
      </c>
      <c r="E246" s="350">
        <v>10269027</v>
      </c>
      <c r="F246" s="7">
        <v>46069</v>
      </c>
      <c r="G246" s="16" t="s">
        <v>20</v>
      </c>
      <c r="H246" s="16">
        <f>IF(OR(G246="Sin pagar",G246="Pagar"),NETWORKDAYS($J$123,F246,'Festivos Colombia'!$A$3:$A$22),0)</f>
        <v>0</v>
      </c>
      <c r="I246" s="16">
        <f>NETWORKDAYS($J$123,F246,'Festivos Colombia'!$A$3:$A$22)</f>
        <v>11</v>
      </c>
      <c r="J246" s="46">
        <f t="shared" ref="J246" si="115">H246</f>
        <v>0</v>
      </c>
      <c r="K246" s="8"/>
      <c r="L246" s="8"/>
      <c r="M246" s="8"/>
      <c r="O246" s="33"/>
      <c r="P246" s="25"/>
      <c r="Q246" s="33"/>
    </row>
    <row r="247" spans="1:17" s="16" customFormat="1" ht="15.75" outlineLevel="1" thickBot="1">
      <c r="A247" s="16" t="str">
        <f>G247</f>
        <v>Cancelado</v>
      </c>
      <c r="B247" s="16">
        <f>IF(I247&lt;=-1,1,IF(I247&lt;=5,2,IF(I247&lt;=15,3,IF(H247&lt;=60,4))))</f>
        <v>4</v>
      </c>
      <c r="C247" s="97"/>
      <c r="D247" s="9" t="s">
        <v>98</v>
      </c>
      <c r="E247" s="670">
        <f>2098827.86+(10.96*3766.3)</f>
        <v>2140106.5079999999</v>
      </c>
      <c r="F247" s="7">
        <v>46086</v>
      </c>
      <c r="G247" s="16" t="s">
        <v>20</v>
      </c>
      <c r="H247" s="16">
        <f>IF(OR(G247="Sin pagar",G247="Pagar"),NETWORKDAYS($J$123,F247,'Festivos Colombia'!$A$3:$A$22),0)</f>
        <v>0</v>
      </c>
      <c r="I247" s="16">
        <f>NETWORKDAYS($J$123,F247,'Festivos Colombia'!$A$3:$A$22)</f>
        <v>24</v>
      </c>
      <c r="J247" s="46">
        <f>H247</f>
        <v>0</v>
      </c>
      <c r="K247" s="8"/>
      <c r="L247" s="350"/>
      <c r="M247" s="8"/>
      <c r="O247" s="33"/>
      <c r="P247" s="25"/>
      <c r="Q247" s="33"/>
    </row>
    <row r="248" spans="1:17" s="16" customFormat="1" ht="16.5" thickBot="1">
      <c r="D248" s="351" t="s">
        <v>63</v>
      </c>
      <c r="E248" s="352">
        <f>SUBTOTAL(9,E249:E262)</f>
        <v>2269000</v>
      </c>
      <c r="J248" s="46"/>
      <c r="K248" s="8"/>
    </row>
    <row r="249" spans="1:17" s="16" customFormat="1" ht="15.75" customHeight="1" outlineLevel="1">
      <c r="A249" s="16" t="str">
        <f t="shared" ref="A249:A261" si="116">G249</f>
        <v>Cancelado</v>
      </c>
      <c r="B249" s="16">
        <f t="shared" ref="B249:B261" si="117">IF(I249&lt;=-1,1,IF(I249&lt;=5,2,IF(I249&lt;=15,3,IF(H249&lt;=60,4))))</f>
        <v>3</v>
      </c>
      <c r="C249" s="24">
        <v>6871</v>
      </c>
      <c r="D249" s="9" t="s">
        <v>64</v>
      </c>
      <c r="E249" s="8">
        <f>1158000</f>
        <v>1158000</v>
      </c>
      <c r="F249" s="353">
        <v>46073</v>
      </c>
      <c r="G249" s="16" t="s">
        <v>20</v>
      </c>
      <c r="H249" s="16">
        <f>IF(OR(G249="Sin pagar",G249="Pagar"),NETWORKDAYS($J$123,F249,'Festivos Colombia'!$A$3:$A$22),0)</f>
        <v>0</v>
      </c>
      <c r="I249" s="16">
        <f>NETWORKDAYS($J$123,F249,'Festivos Colombia'!$A$3:$A$22)</f>
        <v>15</v>
      </c>
      <c r="J249" s="46">
        <f t="shared" ref="J249:J254" si="118">H249</f>
        <v>0</v>
      </c>
      <c r="K249" s="58" t="s">
        <v>1090</v>
      </c>
    </row>
    <row r="250" spans="1:17" s="16" customFormat="1" ht="15.75" customHeight="1" outlineLevel="1">
      <c r="A250" s="16" t="str">
        <f t="shared" si="116"/>
        <v>Cancelado</v>
      </c>
      <c r="B250" s="16">
        <f t="shared" si="117"/>
        <v>3</v>
      </c>
      <c r="C250" s="24">
        <v>6882</v>
      </c>
      <c r="D250" s="9" t="s">
        <v>64</v>
      </c>
      <c r="E250" s="8">
        <f>102500</f>
        <v>102500</v>
      </c>
      <c r="F250" s="353">
        <v>46073</v>
      </c>
      <c r="G250" s="16" t="s">
        <v>20</v>
      </c>
      <c r="H250" s="16">
        <f>IF(OR(G250="Sin pagar",G250="Pagar"),NETWORKDAYS($J$123,F250,'Festivos Colombia'!$A$3:$A$22),0)</f>
        <v>0</v>
      </c>
      <c r="I250" s="16">
        <f>NETWORKDAYS($J$123,F250,'Festivos Colombia'!$A$3:$A$22)</f>
        <v>15</v>
      </c>
      <c r="J250" s="46">
        <f t="shared" si="118"/>
        <v>0</v>
      </c>
      <c r="K250" s="58" t="s">
        <v>1091</v>
      </c>
    </row>
    <row r="251" spans="1:17" s="16" customFormat="1" ht="15.75" customHeight="1" outlineLevel="1">
      <c r="A251" s="16" t="str">
        <f t="shared" si="116"/>
        <v>Cancelado</v>
      </c>
      <c r="B251" s="16">
        <f t="shared" si="117"/>
        <v>3</v>
      </c>
      <c r="C251" s="24">
        <v>6895</v>
      </c>
      <c r="D251" s="9" t="s">
        <v>64</v>
      </c>
      <c r="E251" s="8">
        <f>102500</f>
        <v>102500</v>
      </c>
      <c r="F251" s="353">
        <v>46073</v>
      </c>
      <c r="G251" s="16" t="s">
        <v>20</v>
      </c>
      <c r="H251" s="16">
        <f>IF(OR(G251="Sin pagar",G251="Pagar"),NETWORKDAYS($J$123,F251,'Festivos Colombia'!$A$3:$A$22),0)</f>
        <v>0</v>
      </c>
      <c r="I251" s="16">
        <f>NETWORKDAYS($J$123,F251,'Festivos Colombia'!$A$3:$A$22)</f>
        <v>15</v>
      </c>
      <c r="J251" s="46">
        <f t="shared" si="118"/>
        <v>0</v>
      </c>
      <c r="K251" s="58" t="s">
        <v>1091</v>
      </c>
    </row>
    <row r="252" spans="1:17" s="16" customFormat="1" ht="15.75" customHeight="1" outlineLevel="1">
      <c r="A252" s="16" t="str">
        <f t="shared" si="116"/>
        <v>Cancelado</v>
      </c>
      <c r="B252" s="16">
        <f t="shared" si="117"/>
        <v>3</v>
      </c>
      <c r="C252" s="24">
        <v>6900</v>
      </c>
      <c r="D252" s="9" t="s">
        <v>64</v>
      </c>
      <c r="E252" s="8">
        <f>313500</f>
        <v>313500</v>
      </c>
      <c r="F252" s="353">
        <v>46073</v>
      </c>
      <c r="G252" s="16" t="s">
        <v>20</v>
      </c>
      <c r="H252" s="16">
        <f>IF(OR(G252="Sin pagar",G252="Pagar"),NETWORKDAYS($J$123,F252,'Festivos Colombia'!$A$3:$A$22),0)</f>
        <v>0</v>
      </c>
      <c r="I252" s="16">
        <f>NETWORKDAYS($J$123,F252,'Festivos Colombia'!$A$3:$A$22)</f>
        <v>15</v>
      </c>
      <c r="J252" s="46">
        <f t="shared" si="118"/>
        <v>0</v>
      </c>
      <c r="K252" s="58"/>
    </row>
    <row r="253" spans="1:17" s="16" customFormat="1" ht="15.75" customHeight="1" outlineLevel="1">
      <c r="A253" s="16" t="str">
        <f t="shared" si="116"/>
        <v>Cancelado</v>
      </c>
      <c r="B253" s="16">
        <f t="shared" si="117"/>
        <v>3</v>
      </c>
      <c r="C253" s="24">
        <v>6903</v>
      </c>
      <c r="D253" s="9" t="s">
        <v>64</v>
      </c>
      <c r="E253" s="8">
        <f>592500</f>
        <v>592500</v>
      </c>
      <c r="F253" s="353">
        <v>46073</v>
      </c>
      <c r="G253" s="16" t="s">
        <v>20</v>
      </c>
      <c r="H253" s="16">
        <f>IF(OR(G253="Sin pagar",G253="Pagar"),NETWORKDAYS($J$123,F253,'Festivos Colombia'!$A$3:$A$22),0)</f>
        <v>0</v>
      </c>
      <c r="I253" s="16">
        <f>NETWORKDAYS($J$123,F253,'Festivos Colombia'!$A$3:$A$22)</f>
        <v>15</v>
      </c>
      <c r="J253" s="46">
        <f t="shared" si="118"/>
        <v>0</v>
      </c>
      <c r="K253" s="58"/>
    </row>
    <row r="254" spans="1:17" s="16" customFormat="1" ht="15.75" customHeight="1" outlineLevel="1">
      <c r="A254" s="16" t="str">
        <f t="shared" si="116"/>
        <v>Sin Pagar</v>
      </c>
      <c r="B254" s="16">
        <f t="shared" si="117"/>
        <v>4</v>
      </c>
      <c r="C254" s="24">
        <v>6910</v>
      </c>
      <c r="D254" s="9" t="s">
        <v>64</v>
      </c>
      <c r="E254" s="8">
        <f>3410000*0</f>
        <v>0</v>
      </c>
      <c r="F254" s="7">
        <v>46084</v>
      </c>
      <c r="G254" s="16" t="s">
        <v>5</v>
      </c>
      <c r="H254" s="16">
        <f>IF(OR(G254="Sin pagar",G254="Pagar"),NETWORKDAYS($J$123,F254,'Festivos Colombia'!$A$3:$A$22),0)</f>
        <v>22</v>
      </c>
      <c r="I254" s="16">
        <f>NETWORKDAYS($J$123,F254,'Festivos Colombia'!$A$3:$A$22)</f>
        <v>22</v>
      </c>
      <c r="J254" s="46">
        <f t="shared" si="118"/>
        <v>22</v>
      </c>
      <c r="K254" s="58"/>
    </row>
    <row r="255" spans="1:17" s="16" customFormat="1" ht="15.75" customHeight="1" outlineLevel="1">
      <c r="A255" s="16" t="str">
        <f t="shared" ref="A255" si="119">G255</f>
        <v>Sin Pagar</v>
      </c>
      <c r="B255" s="16">
        <f t="shared" ref="B255" si="120">IF(I255&lt;=-1,1,IF(I255&lt;=5,2,IF(I255&lt;=15,3,IF(H255&lt;=60,4))))</f>
        <v>4</v>
      </c>
      <c r="C255" s="24">
        <v>6914</v>
      </c>
      <c r="D255" s="9" t="s">
        <v>64</v>
      </c>
      <c r="E255" s="8">
        <f>509500*0</f>
        <v>0</v>
      </c>
      <c r="F255" s="7">
        <v>46086</v>
      </c>
      <c r="G255" s="16" t="s">
        <v>5</v>
      </c>
      <c r="H255" s="16">
        <f>IF(OR(G255="Sin pagar",G255="Pagar"),NETWORKDAYS($J$123,F255,'Festivos Colombia'!$A$3:$A$22),0)</f>
        <v>24</v>
      </c>
      <c r="I255" s="16">
        <f>NETWORKDAYS($J$123,F255,'Festivos Colombia'!$A$3:$A$22)</f>
        <v>24</v>
      </c>
      <c r="J255" s="46">
        <f t="shared" ref="J255" si="121">H255</f>
        <v>24</v>
      </c>
      <c r="K255" s="58"/>
    </row>
    <row r="256" spans="1:17" s="16" customFormat="1" ht="15.75" customHeight="1" outlineLevel="1">
      <c r="A256" s="16" t="str">
        <f t="shared" ref="A256" si="122">G256</f>
        <v>Sin Pagar</v>
      </c>
      <c r="B256" s="16">
        <f t="shared" ref="B256" si="123">IF(I256&lt;=-1,1,IF(I256&lt;=5,2,IF(I256&lt;=15,3,IF(H256&lt;=60,4))))</f>
        <v>4</v>
      </c>
      <c r="C256" s="24">
        <v>6917</v>
      </c>
      <c r="D256" s="9" t="s">
        <v>64</v>
      </c>
      <c r="E256" s="8">
        <f>205000*0</f>
        <v>0</v>
      </c>
      <c r="F256" s="7">
        <v>46091</v>
      </c>
      <c r="G256" s="16" t="s">
        <v>5</v>
      </c>
      <c r="H256" s="16">
        <f>IF(OR(G256="Sin pagar",G256="Pagar"),NETWORKDAYS($J$123,F256,'Festivos Colombia'!$A$3:$A$22),0)</f>
        <v>27</v>
      </c>
      <c r="I256" s="16">
        <f>NETWORKDAYS($J$123,F256,'Festivos Colombia'!$A$3:$A$22)</f>
        <v>27</v>
      </c>
      <c r="J256" s="46">
        <f t="shared" ref="J256" si="124">H256</f>
        <v>27</v>
      </c>
      <c r="K256" s="58"/>
    </row>
    <row r="257" spans="1:24" s="16" customFormat="1" ht="15.75" customHeight="1" outlineLevel="1">
      <c r="A257" s="16" t="str">
        <f t="shared" ref="A257" si="125">G257</f>
        <v>Sin Pagar</v>
      </c>
      <c r="B257" s="16">
        <f t="shared" ref="B257" si="126">IF(I257&lt;=-1,1,IF(I257&lt;=5,2,IF(I257&lt;=15,3,IF(H257&lt;=60,4))))</f>
        <v>4</v>
      </c>
      <c r="C257" s="24">
        <v>6929</v>
      </c>
      <c r="D257" s="9" t="s">
        <v>64</v>
      </c>
      <c r="E257" s="8">
        <f>567500*0</f>
        <v>0</v>
      </c>
      <c r="F257" s="7">
        <v>46093</v>
      </c>
      <c r="G257" s="16" t="s">
        <v>5</v>
      </c>
      <c r="H257" s="16">
        <f>IF(OR(G257="Sin pagar",G257="Pagar"),NETWORKDAYS($J$123,F257,'Festivos Colombia'!$A$3:$A$22),0)</f>
        <v>29</v>
      </c>
      <c r="I257" s="16">
        <f>NETWORKDAYS($J$123,F257,'Festivos Colombia'!$A$3:$A$22)</f>
        <v>29</v>
      </c>
      <c r="J257" s="46">
        <f t="shared" ref="J257" si="127">H257</f>
        <v>29</v>
      </c>
      <c r="K257" s="58"/>
    </row>
    <row r="258" spans="1:24" s="16" customFormat="1" ht="15.75" customHeight="1" outlineLevel="1">
      <c r="A258" s="16" t="str">
        <f t="shared" ref="A258" si="128">G258</f>
        <v>Sin Pagar</v>
      </c>
      <c r="B258" s="16">
        <f t="shared" ref="B258" si="129">IF(I258&lt;=-1,1,IF(I258&lt;=5,2,IF(I258&lt;=15,3,IF(H258&lt;=60,4))))</f>
        <v>4</v>
      </c>
      <c r="C258" s="24">
        <v>6932</v>
      </c>
      <c r="D258" s="9" t="s">
        <v>64</v>
      </c>
      <c r="E258" s="8">
        <f>2250000*0</f>
        <v>0</v>
      </c>
      <c r="F258" s="7">
        <v>46098</v>
      </c>
      <c r="G258" s="16" t="s">
        <v>5</v>
      </c>
      <c r="H258" s="16">
        <f>IF(OR(G258="Sin pagar",G258="Pagar"),NETWORKDAYS($J$123,F258,'Festivos Colombia'!$A$3:$A$22),0)</f>
        <v>32</v>
      </c>
      <c r="I258" s="16">
        <f>NETWORKDAYS($J$123,F258,'Festivos Colombia'!$A$3:$A$22)</f>
        <v>32</v>
      </c>
      <c r="J258" s="46">
        <f t="shared" ref="J258" si="130">H258</f>
        <v>32</v>
      </c>
      <c r="K258" s="58"/>
    </row>
    <row r="259" spans="1:24" s="16" customFormat="1" ht="15.75" customHeight="1" outlineLevel="1">
      <c r="A259" s="16" t="str">
        <f t="shared" ref="A259" si="131">G259</f>
        <v>Sin Pagar</v>
      </c>
      <c r="B259" s="16">
        <f t="shared" ref="B259" si="132">IF(I259&lt;=-1,1,IF(I259&lt;=5,2,IF(I259&lt;=15,3,IF(H259&lt;=60,4))))</f>
        <v>4</v>
      </c>
      <c r="C259" s="24">
        <v>6940</v>
      </c>
      <c r="D259" s="9" t="s">
        <v>64</v>
      </c>
      <c r="E259" s="8">
        <f>807500*0</f>
        <v>0</v>
      </c>
      <c r="F259" s="7">
        <v>46105</v>
      </c>
      <c r="G259" s="16" t="s">
        <v>5</v>
      </c>
      <c r="H259" s="16">
        <f>IF(OR(G259="Sin pagar",G259="Pagar"),NETWORKDAYS($J$123,F259,'Festivos Colombia'!$A$3:$A$22),0)</f>
        <v>36</v>
      </c>
      <c r="I259" s="16">
        <f>NETWORKDAYS($J$123,F259,'Festivos Colombia'!$A$3:$A$22)</f>
        <v>36</v>
      </c>
      <c r="J259" s="46">
        <f t="shared" ref="J259" si="133">H259</f>
        <v>36</v>
      </c>
      <c r="K259" s="58"/>
    </row>
    <row r="260" spans="1:24" s="16" customFormat="1" ht="15.75" customHeight="1" outlineLevel="1">
      <c r="A260" s="16" t="str">
        <f t="shared" ref="A260" si="134">G260</f>
        <v>Sin Pagar</v>
      </c>
      <c r="B260" s="16">
        <f t="shared" ref="B260" si="135">IF(I260&lt;=-1,1,IF(I260&lt;=5,2,IF(I260&lt;=15,3,IF(H260&lt;=60,4))))</f>
        <v>4</v>
      </c>
      <c r="C260" s="24">
        <v>6950</v>
      </c>
      <c r="D260" s="9" t="s">
        <v>64</v>
      </c>
      <c r="E260" s="8">
        <f>342500*0</f>
        <v>0</v>
      </c>
      <c r="F260" s="7">
        <v>46108</v>
      </c>
      <c r="G260" s="16" t="s">
        <v>5</v>
      </c>
      <c r="H260" s="16">
        <f>IF(OR(G260="Sin pagar",G260="Pagar"),NETWORKDAYS($J$123,F260,'Festivos Colombia'!$A$3:$A$22),0)</f>
        <v>39</v>
      </c>
      <c r="I260" s="16">
        <f>NETWORKDAYS($J$123,F260,'Festivos Colombia'!$A$3:$A$22)</f>
        <v>39</v>
      </c>
      <c r="J260" s="46">
        <f t="shared" ref="J260" si="136">H260</f>
        <v>39</v>
      </c>
      <c r="K260" s="58"/>
    </row>
    <row r="261" spans="1:24" s="16" customFormat="1" outlineLevel="1">
      <c r="A261" s="16" t="str">
        <f t="shared" si="116"/>
        <v>Sin Pagar</v>
      </c>
      <c r="B261" s="16">
        <f t="shared" si="117"/>
        <v>4</v>
      </c>
      <c r="C261" s="24">
        <v>3195</v>
      </c>
      <c r="D261" s="9" t="s">
        <v>99</v>
      </c>
      <c r="E261" s="8">
        <f>384004.68*0</f>
        <v>0</v>
      </c>
      <c r="F261" s="522">
        <v>46108</v>
      </c>
      <c r="G261" s="16" t="s">
        <v>5</v>
      </c>
      <c r="H261" s="16">
        <f>IF(OR(G261="Sin pagar",G261="Pagar"),NETWORKDAYS($J$123,F261,'Festivos Colombia'!$A$3:$A$22),0)</f>
        <v>39</v>
      </c>
      <c r="I261" s="16">
        <f>NETWORKDAYS($J$123,F261,'Festivos Colombia'!$A$3:$A$22)</f>
        <v>39</v>
      </c>
      <c r="J261" s="46">
        <f t="shared" ref="J261" si="137">H261</f>
        <v>39</v>
      </c>
      <c r="K261" s="58"/>
    </row>
    <row r="262" spans="1:24" s="16" customFormat="1" ht="15.75" outlineLevel="1" thickBot="1">
      <c r="A262" s="16" t="str">
        <f t="shared" ref="A262" si="138">G262</f>
        <v>Sin Pagar</v>
      </c>
      <c r="B262" s="16">
        <f t="shared" ref="B262" si="139">IF(I262&lt;=-1,1,IF(I262&lt;=5,2,IF(I262&lt;=15,3,IF(H262&lt;=60,4))))</f>
        <v>4</v>
      </c>
      <c r="C262" s="24">
        <v>3196</v>
      </c>
      <c r="D262" s="9" t="s">
        <v>99</v>
      </c>
      <c r="E262" s="8">
        <f>190681.38*0</f>
        <v>0</v>
      </c>
      <c r="F262" s="522">
        <v>46108</v>
      </c>
      <c r="G262" s="16" t="s">
        <v>5</v>
      </c>
      <c r="H262" s="16">
        <f>IF(OR(G262="Sin pagar",G262="Pagar"),NETWORKDAYS($J$123,F262,'Festivos Colombia'!$A$3:$A$22),0)</f>
        <v>39</v>
      </c>
      <c r="I262" s="16">
        <f>NETWORKDAYS($J$123,F262,'Festivos Colombia'!$A$3:$A$22)</f>
        <v>39</v>
      </c>
      <c r="J262" s="46">
        <f t="shared" ref="J262" si="140">H262</f>
        <v>39</v>
      </c>
      <c r="K262" s="58"/>
    </row>
    <row r="263" spans="1:24" s="16" customFormat="1" ht="16.5" thickBot="1">
      <c r="D263" s="351" t="s">
        <v>65</v>
      </c>
      <c r="E263" s="352">
        <f>SUBTOTAL(9,E264:E268)</f>
        <v>13818521.539999999</v>
      </c>
      <c r="J263" s="46"/>
    </row>
    <row r="264" spans="1:24" s="16" customFormat="1" outlineLevel="1">
      <c r="A264" s="420" t="str">
        <f t="shared" ref="A264" si="141">G264</f>
        <v>Sin Pagar</v>
      </c>
      <c r="B264" s="420">
        <f t="shared" ref="B264" si="142">IF(I264&lt;=-1,1,IF(I264&lt;=5,2,IF(I264&lt;=15,3,IF(H264&lt;=60,4))))</f>
        <v>4</v>
      </c>
      <c r="C264" s="356" t="s">
        <v>1130</v>
      </c>
      <c r="D264" s="357" t="s">
        <v>1131</v>
      </c>
      <c r="E264" s="375">
        <f>1568092*0</f>
        <v>0</v>
      </c>
      <c r="F264" s="7">
        <v>46094</v>
      </c>
      <c r="G264" s="16" t="s">
        <v>5</v>
      </c>
      <c r="H264" s="16">
        <f>IF(OR(G264="Sin pagar",G264="Pagar"),NETWORKDAYS($J$123,F264,'Festivos Colombia'!$A$3:$A$22),0)</f>
        <v>30</v>
      </c>
      <c r="I264" s="16">
        <f>NETWORKDAYS($J$123,F264,'Festivos Colombia'!$A$3:$A$22)</f>
        <v>30</v>
      </c>
      <c r="J264" s="46">
        <f t="shared" ref="J264" si="143">H264</f>
        <v>30</v>
      </c>
      <c r="K264" s="359"/>
      <c r="L264" s="96"/>
      <c r="M264" s="310"/>
      <c r="N264" s="310"/>
      <c r="O264" s="310"/>
      <c r="P264" s="310"/>
      <c r="Q264" s="310"/>
      <c r="R264" s="310"/>
      <c r="S264" s="310"/>
      <c r="T264" s="310"/>
      <c r="U264" s="310"/>
      <c r="V264" s="310"/>
      <c r="W264" s="310"/>
      <c r="X264" s="310"/>
    </row>
    <row r="265" spans="1:24" s="16" customFormat="1" outlineLevel="1">
      <c r="A265" s="420" t="str">
        <f t="shared" ref="A265" si="144">G265</f>
        <v>Sin Pagar</v>
      </c>
      <c r="B265" s="420">
        <f t="shared" ref="B265" si="145">IF(I265&lt;=-1,1,IF(I265&lt;=5,2,IF(I265&lt;=15,3,IF(H265&lt;=60,4))))</f>
        <v>4</v>
      </c>
      <c r="C265" s="356" t="s">
        <v>1132</v>
      </c>
      <c r="D265" s="357" t="s">
        <v>1133</v>
      </c>
      <c r="E265" s="375">
        <f>251233*0</f>
        <v>0</v>
      </c>
      <c r="F265" s="7">
        <v>46094</v>
      </c>
      <c r="G265" s="16" t="s">
        <v>5</v>
      </c>
      <c r="H265" s="16">
        <f>IF(OR(G265="Sin pagar",G265="Pagar"),NETWORKDAYS($J$123,F265,'Festivos Colombia'!$A$3:$A$22),0)</f>
        <v>30</v>
      </c>
      <c r="I265" s="16">
        <f>NETWORKDAYS($J$123,F265,'Festivos Colombia'!$A$3:$A$22)</f>
        <v>30</v>
      </c>
      <c r="J265" s="46">
        <f t="shared" ref="J265" si="146">H265</f>
        <v>30</v>
      </c>
      <c r="K265" s="359"/>
      <c r="L265" s="96"/>
      <c r="M265" s="310"/>
      <c r="N265" s="310"/>
      <c r="O265" s="310"/>
      <c r="P265" s="310"/>
      <c r="Q265" s="310"/>
      <c r="R265" s="310"/>
      <c r="S265" s="310"/>
      <c r="T265" s="310"/>
      <c r="U265" s="310"/>
      <c r="V265" s="310"/>
      <c r="W265" s="310"/>
      <c r="X265" s="310"/>
    </row>
    <row r="266" spans="1:24" s="16" customFormat="1" ht="30" outlineLevel="1">
      <c r="A266" s="420" t="str">
        <f t="shared" ref="A266:A267" si="147">G266</f>
        <v>Cancelado</v>
      </c>
      <c r="B266" s="420">
        <f t="shared" ref="B266:B267" si="148">IF(I266&lt;=-1,1,IF(I266&lt;=5,2,IF(I266&lt;=15,3,IF(H266&lt;=60,4))))</f>
        <v>4</v>
      </c>
      <c r="C266" s="356" t="s">
        <v>973</v>
      </c>
      <c r="D266" s="357" t="s">
        <v>974</v>
      </c>
      <c r="E266" s="375">
        <f>8312384.54</f>
        <v>8312384.54</v>
      </c>
      <c r="F266" s="7">
        <v>46078</v>
      </c>
      <c r="G266" s="16" t="s">
        <v>20</v>
      </c>
      <c r="H266" s="16">
        <f>IF(OR(G266="Sin pagar",G266="Pagar"),NETWORKDAYS($J$123,F266,'Festivos Colombia'!$A$3:$A$22),0)</f>
        <v>0</v>
      </c>
      <c r="I266" s="16">
        <f>NETWORKDAYS($J$123,F266,'Festivos Colombia'!$A$3:$A$22)</f>
        <v>18</v>
      </c>
      <c r="J266" s="46">
        <f t="shared" ref="J266:J267" si="149">H266</f>
        <v>0</v>
      </c>
      <c r="K266" s="359"/>
      <c r="L266" s="96"/>
      <c r="M266" s="310"/>
      <c r="N266" s="310"/>
      <c r="O266" s="310"/>
      <c r="P266" s="310"/>
      <c r="Q266" s="310"/>
      <c r="R266" s="310"/>
      <c r="S266" s="310"/>
      <c r="T266" s="310"/>
      <c r="U266" s="310"/>
      <c r="V266" s="310"/>
      <c r="W266" s="310"/>
      <c r="X266" s="310"/>
    </row>
    <row r="267" spans="1:24" s="16" customFormat="1" outlineLevel="1">
      <c r="A267" s="310" t="str">
        <f t="shared" si="147"/>
        <v>Cancelado</v>
      </c>
      <c r="B267" s="310">
        <f t="shared" si="148"/>
        <v>4</v>
      </c>
      <c r="C267" s="356" t="s">
        <v>1012</v>
      </c>
      <c r="D267" s="357" t="s">
        <v>1013</v>
      </c>
      <c r="E267" s="358">
        <f>5506137</f>
        <v>5506137</v>
      </c>
      <c r="F267" s="7">
        <v>46078</v>
      </c>
      <c r="G267" s="16" t="s">
        <v>20</v>
      </c>
      <c r="H267" s="16">
        <f>IF(OR(G267="Sin pagar",G267="Pagar"),NETWORKDAYS($J$123,F267,'Festivos Colombia'!$A$3:$A$22),0)</f>
        <v>0</v>
      </c>
      <c r="I267" s="16">
        <f>NETWORKDAYS($J$123,F267,'Festivos Colombia'!$A$3:$A$22)</f>
        <v>18</v>
      </c>
      <c r="J267" s="46">
        <f t="shared" si="149"/>
        <v>0</v>
      </c>
      <c r="K267" s="359"/>
      <c r="L267" s="96"/>
      <c r="M267" s="310"/>
      <c r="N267" s="310"/>
      <c r="O267" s="310"/>
      <c r="P267" s="310"/>
      <c r="Q267" s="310"/>
      <c r="R267" s="310"/>
      <c r="S267" s="310"/>
      <c r="T267" s="310"/>
      <c r="U267" s="310"/>
      <c r="V267" s="310"/>
      <c r="W267" s="310"/>
      <c r="X267" s="310"/>
    </row>
    <row r="268" spans="1:24" s="16" customFormat="1" ht="15.75" outlineLevel="1" thickBot="1">
      <c r="A268" s="310" t="str">
        <f t="shared" ref="A268" si="150">G268</f>
        <v>Sin Pagar</v>
      </c>
      <c r="B268" s="310">
        <f t="shared" ref="B268" si="151">IF(I268&lt;=-1,1,IF(I268&lt;=5,2,IF(I268&lt;=15,3,IF(H268&lt;=60,4))))</f>
        <v>4</v>
      </c>
      <c r="C268" s="356" t="s">
        <v>1196</v>
      </c>
      <c r="D268" s="357" t="s">
        <v>1013</v>
      </c>
      <c r="E268" s="358">
        <f>5506137*0</f>
        <v>0</v>
      </c>
      <c r="F268" s="7">
        <v>46100</v>
      </c>
      <c r="G268" s="16" t="s">
        <v>5</v>
      </c>
      <c r="H268" s="16">
        <f>IF(OR(G268="Sin pagar",G268="Pagar"),NETWORKDAYS($J$123,F268,'Festivos Colombia'!$A$3:$A$22),0)</f>
        <v>34</v>
      </c>
      <c r="I268" s="16">
        <f>NETWORKDAYS($J$123,F268,'Festivos Colombia'!$A$3:$A$22)</f>
        <v>34</v>
      </c>
      <c r="J268" s="46">
        <f t="shared" ref="J268" si="152">H268</f>
        <v>34</v>
      </c>
      <c r="K268" s="359"/>
      <c r="L268" s="96"/>
      <c r="M268" s="310"/>
      <c r="N268" s="310"/>
      <c r="O268" s="310"/>
      <c r="P268" s="310"/>
      <c r="Q268" s="310"/>
      <c r="R268" s="310"/>
      <c r="S268" s="310"/>
      <c r="T268" s="310"/>
      <c r="U268" s="310"/>
      <c r="V268" s="310"/>
      <c r="W268" s="310"/>
      <c r="X268" s="310"/>
    </row>
    <row r="269" spans="1:24" s="16" customFormat="1" ht="16.5" thickBot="1">
      <c r="D269" s="351" t="s">
        <v>67</v>
      </c>
      <c r="E269" s="352">
        <f>SUBTOTAL(9,E270:E298)</f>
        <v>2480310920</v>
      </c>
      <c r="J269" s="46"/>
      <c r="L269" s="25"/>
      <c r="M269" s="84"/>
      <c r="O269" s="25"/>
    </row>
    <row r="270" spans="1:24" s="16" customFormat="1" outlineLevel="1">
      <c r="C270" s="60"/>
      <c r="D270" s="9" t="s">
        <v>200</v>
      </c>
      <c r="E270" s="8">
        <v>128604519</v>
      </c>
      <c r="F270" s="7">
        <v>46066</v>
      </c>
      <c r="G270" s="16" t="s">
        <v>20</v>
      </c>
      <c r="H270" s="16">
        <f>IF(OR(G270="Sin pagar",G270="Pagar"),NETWORKDAYS($J$123,F270,'Festivos Colombia'!$A$3:$A$22),0)</f>
        <v>0</v>
      </c>
      <c r="I270" s="16">
        <f>NETWORKDAYS($J$123,F270,'Festivos Colombia'!$A$3:$A$22)</f>
        <v>10</v>
      </c>
      <c r="J270" s="46">
        <f>H270</f>
        <v>0</v>
      </c>
      <c r="K270" s="58"/>
      <c r="L270" s="8"/>
      <c r="M270" s="8"/>
      <c r="N270" s="53"/>
    </row>
    <row r="271" spans="1:24" s="16" customFormat="1" outlineLevel="1">
      <c r="C271" s="60"/>
      <c r="D271" s="9" t="s">
        <v>198</v>
      </c>
      <c r="E271" s="8">
        <v>709922123</v>
      </c>
      <c r="F271" s="7">
        <v>46066</v>
      </c>
      <c r="G271" s="16" t="s">
        <v>20</v>
      </c>
      <c r="H271" s="16">
        <f>IF(OR(G271="Sin pagar",G271="Pagar"),NETWORKDAYS($J$123,F271,'Festivos Colombia'!$A$3:$A$22),0)</f>
        <v>0</v>
      </c>
      <c r="I271" s="16">
        <f>NETWORKDAYS($J$123,F271,'Festivos Colombia'!$A$3:$A$22)</f>
        <v>10</v>
      </c>
      <c r="J271" s="46">
        <f>H271</f>
        <v>0</v>
      </c>
      <c r="K271" s="58"/>
      <c r="L271" s="8"/>
      <c r="M271" s="8"/>
      <c r="N271" s="53"/>
    </row>
    <row r="272" spans="1:24" s="16" customFormat="1" outlineLevel="1">
      <c r="C272" s="60"/>
      <c r="D272" s="9" t="s">
        <v>1125</v>
      </c>
      <c r="E272" s="8">
        <v>5781050</v>
      </c>
      <c r="F272" s="7">
        <v>46066</v>
      </c>
      <c r="G272" s="16" t="s">
        <v>20</v>
      </c>
      <c r="H272" s="16">
        <f>IF(OR(G272="Sin pagar",G272="Pagar"),NETWORKDAYS($J$123,F272,'Festivos Colombia'!$A$3:$A$22),0)</f>
        <v>0</v>
      </c>
      <c r="I272" s="16">
        <f>NETWORKDAYS($J$123,F272,'Festivos Colombia'!$A$3:$A$22)</f>
        <v>10</v>
      </c>
      <c r="J272" s="46">
        <f>H272</f>
        <v>0</v>
      </c>
      <c r="K272" s="58"/>
      <c r="L272" s="8"/>
      <c r="M272" s="8"/>
      <c r="N272" s="53"/>
    </row>
    <row r="273" spans="1:14" s="16" customFormat="1" outlineLevel="1">
      <c r="A273" s="16" t="str">
        <f>G273</f>
        <v>Cancelado</v>
      </c>
      <c r="B273" s="16">
        <f>IF(I273&lt;=-1,1,IF(I273&lt;=5,2,IF(I273&lt;=15,3,IF(H273&lt;=60,4))))</f>
        <v>3</v>
      </c>
      <c r="C273" s="56" t="s">
        <v>1137</v>
      </c>
      <c r="D273" s="9" t="s">
        <v>1136</v>
      </c>
      <c r="E273" s="8">
        <v>4572284</v>
      </c>
      <c r="F273" s="7">
        <v>46066</v>
      </c>
      <c r="G273" s="16" t="s">
        <v>20</v>
      </c>
      <c r="H273" s="16">
        <f>IF(OR(G273="Sin pagar",G273="Pagar"),NETWORKDAYS($J$123,F273,'Festivos Colombia'!$A$3:$A$22),0)</f>
        <v>0</v>
      </c>
      <c r="I273" s="16">
        <f>NETWORKDAYS($J$123,F273,'Festivos Colombia'!$A$3:$A$22)</f>
        <v>10</v>
      </c>
      <c r="J273" s="46">
        <f t="shared" ref="J273" si="153">H273</f>
        <v>0</v>
      </c>
      <c r="K273" s="58"/>
      <c r="M273" s="25"/>
    </row>
    <row r="274" spans="1:14" s="16" customFormat="1" outlineLevel="1">
      <c r="A274" s="16" t="str">
        <f>G274</f>
        <v>Cancelado</v>
      </c>
      <c r="B274" s="16">
        <f>IF(I274&lt;=-1,1,IF(I274&lt;=5,2,IF(I274&lt;=15,3,IF(H274&lt;=60,4))))</f>
        <v>4</v>
      </c>
      <c r="C274" s="56" t="s">
        <v>1242</v>
      </c>
      <c r="D274" s="9" t="s">
        <v>1241</v>
      </c>
      <c r="E274" s="8">
        <v>2055840</v>
      </c>
      <c r="F274" s="7">
        <v>46076</v>
      </c>
      <c r="G274" s="16" t="s">
        <v>20</v>
      </c>
      <c r="H274" s="16">
        <f>IF(OR(G274="Sin pagar",G274="Pagar"),NETWORKDAYS($J$123,F274,'Festivos Colombia'!$A$3:$A$22),0)</f>
        <v>0</v>
      </c>
      <c r="I274" s="16">
        <f>NETWORKDAYS($J$123,F274,'Festivos Colombia'!$A$3:$A$22)</f>
        <v>16</v>
      </c>
      <c r="J274" s="46">
        <f t="shared" ref="J274:J275" si="154">H274</f>
        <v>0</v>
      </c>
      <c r="K274" s="58"/>
      <c r="M274" s="25"/>
    </row>
    <row r="275" spans="1:14" s="16" customFormat="1" outlineLevel="1">
      <c r="A275" s="16" t="str">
        <f t="shared" ref="A275" si="155">G275</f>
        <v>Cancelado</v>
      </c>
      <c r="B275" s="16">
        <f t="shared" ref="B275" si="156">IF(I275&lt;=-1,1,IF(I275&lt;=5,2,IF(I275&lt;=15,3,IF(H275&lt;=60,4))))</f>
        <v>4</v>
      </c>
      <c r="C275" s="60" t="s">
        <v>114</v>
      </c>
      <c r="D275" s="651" t="s">
        <v>1254</v>
      </c>
      <c r="E275" s="508">
        <v>500000</v>
      </c>
      <c r="F275" s="7">
        <v>46077</v>
      </c>
      <c r="G275" s="16" t="s">
        <v>20</v>
      </c>
      <c r="H275" s="16">
        <f>IF(OR(G275="Sin pagar",G275="Pagar"),NETWORKDAYS($J$123,F275,'Festivos Colombia'!$A$3:$A$22),0)</f>
        <v>0</v>
      </c>
      <c r="I275" s="16">
        <f>NETWORKDAYS($J$123,F275,'Festivos Colombia'!$A$3:$A$22)</f>
        <v>17</v>
      </c>
      <c r="J275" s="46">
        <f t="shared" si="154"/>
        <v>0</v>
      </c>
      <c r="K275" s="58"/>
      <c r="L275" s="8"/>
      <c r="M275" s="8"/>
      <c r="N275" s="53"/>
    </row>
    <row r="276" spans="1:14" s="16" customFormat="1" outlineLevel="1">
      <c r="A276" s="16" t="str">
        <f t="shared" ref="A276" si="157">G276</f>
        <v>Cancelado</v>
      </c>
      <c r="B276" s="16">
        <f t="shared" ref="B276" si="158">IF(I276&lt;=-1,1,IF(I276&lt;=5,2,IF(I276&lt;=15,3,IF(H276&lt;=60,4))))</f>
        <v>4</v>
      </c>
      <c r="C276" s="60" t="s">
        <v>1330</v>
      </c>
      <c r="D276" s="507" t="s">
        <v>68</v>
      </c>
      <c r="E276" s="508">
        <v>196596244</v>
      </c>
      <c r="F276" s="7">
        <v>46080</v>
      </c>
      <c r="G276" s="16" t="s">
        <v>20</v>
      </c>
      <c r="H276" s="16">
        <f>IF(OR(G276="Sin pagar",G276="Pagar"),NETWORKDAYS($J$123,F276,'Festivos Colombia'!$A$3:$A$22),0)</f>
        <v>0</v>
      </c>
      <c r="I276" s="16">
        <f>NETWORKDAYS($J$123,F276,'Festivos Colombia'!$A$3:$A$22)</f>
        <v>20</v>
      </c>
      <c r="J276" s="46">
        <f t="shared" ref="J276:J277" si="159">H276</f>
        <v>0</v>
      </c>
      <c r="K276" s="58"/>
      <c r="L276" s="8"/>
      <c r="M276" s="8"/>
      <c r="N276" s="53"/>
    </row>
    <row r="277" spans="1:14" s="16" customFormat="1" outlineLevel="1">
      <c r="C277" s="60"/>
      <c r="D277" s="579" t="s">
        <v>1285</v>
      </c>
      <c r="E277" s="658">
        <v>3662400</v>
      </c>
      <c r="F277" s="7">
        <v>46080</v>
      </c>
      <c r="G277" s="16" t="s">
        <v>20</v>
      </c>
      <c r="H277" s="16">
        <f>IF(OR(G277="Sin pagar",G277="Pagar"),NETWORKDAYS($J$123,F277,'Festivos Colombia'!$A$3:$A$22),0)</f>
        <v>0</v>
      </c>
      <c r="I277" s="16">
        <f>NETWORKDAYS($J$123,F277,'Festivos Colombia'!$A$3:$A$22)</f>
        <v>20</v>
      </c>
      <c r="J277" s="46">
        <f t="shared" si="159"/>
        <v>0</v>
      </c>
      <c r="K277" s="58"/>
      <c r="L277" s="8"/>
      <c r="M277" s="8"/>
      <c r="N277" s="53"/>
    </row>
    <row r="278" spans="1:14" s="16" customFormat="1" outlineLevel="1">
      <c r="C278" s="60"/>
      <c r="D278" s="579" t="s">
        <v>1286</v>
      </c>
      <c r="E278" s="658">
        <v>3125295</v>
      </c>
      <c r="F278" s="7">
        <v>46080</v>
      </c>
      <c r="G278" s="16" t="s">
        <v>20</v>
      </c>
      <c r="H278" s="16">
        <f>IF(OR(G278="Sin pagar",G278="Pagar"),NETWORKDAYS($J$123,F278,'Festivos Colombia'!$A$3:$A$22),0)</f>
        <v>0</v>
      </c>
      <c r="I278" s="16">
        <f>NETWORKDAYS($J$123,F278,'Festivos Colombia'!$A$3:$A$22)</f>
        <v>20</v>
      </c>
      <c r="J278" s="46">
        <f t="shared" ref="J278:J295" si="160">H278</f>
        <v>0</v>
      </c>
      <c r="K278" s="58"/>
      <c r="L278" s="8"/>
      <c r="M278" s="8"/>
      <c r="N278" s="53"/>
    </row>
    <row r="279" spans="1:14" s="16" customFormat="1" outlineLevel="1">
      <c r="C279" s="60"/>
      <c r="D279" s="579" t="s">
        <v>1287</v>
      </c>
      <c r="E279" s="658">
        <v>19151707</v>
      </c>
      <c r="F279" s="7">
        <v>46080</v>
      </c>
      <c r="G279" s="16" t="s">
        <v>20</v>
      </c>
      <c r="H279" s="16">
        <f>IF(OR(G279="Sin pagar",G279="Pagar"),NETWORKDAYS($J$123,F279,'Festivos Colombia'!$A$3:$A$22),0)</f>
        <v>0</v>
      </c>
      <c r="I279" s="16">
        <f>NETWORKDAYS($J$123,F279,'Festivos Colombia'!$A$3:$A$22)</f>
        <v>20</v>
      </c>
      <c r="J279" s="46">
        <f t="shared" si="160"/>
        <v>0</v>
      </c>
      <c r="K279" s="58"/>
      <c r="L279" s="8"/>
      <c r="M279" s="8"/>
      <c r="N279" s="53"/>
    </row>
    <row r="280" spans="1:14" s="16" customFormat="1" outlineLevel="1">
      <c r="C280" s="60"/>
      <c r="D280" s="579" t="s">
        <v>1288</v>
      </c>
      <c r="E280" s="658">
        <v>6424920</v>
      </c>
      <c r="F280" s="7">
        <v>46080</v>
      </c>
      <c r="G280" s="16" t="s">
        <v>20</v>
      </c>
      <c r="H280" s="16">
        <f>IF(OR(G280="Sin pagar",G280="Pagar"),NETWORKDAYS($J$123,F280,'Festivos Colombia'!$A$3:$A$22),0)</f>
        <v>0</v>
      </c>
      <c r="I280" s="16">
        <f>NETWORKDAYS($J$123,F280,'Festivos Colombia'!$A$3:$A$22)</f>
        <v>20</v>
      </c>
      <c r="J280" s="46">
        <f t="shared" si="160"/>
        <v>0</v>
      </c>
      <c r="K280" s="58"/>
      <c r="L280" s="8"/>
      <c r="M280" s="8"/>
      <c r="N280" s="53"/>
    </row>
    <row r="281" spans="1:14" s="16" customFormat="1" outlineLevel="1">
      <c r="C281" s="60"/>
      <c r="D281" s="579" t="s">
        <v>1289</v>
      </c>
      <c r="E281" s="658">
        <v>31643846</v>
      </c>
      <c r="F281" s="7">
        <v>46080</v>
      </c>
      <c r="G281" s="16" t="s">
        <v>20</v>
      </c>
      <c r="H281" s="16">
        <f>IF(OR(G281="Sin pagar",G281="Pagar"),NETWORKDAYS($J$123,F281,'Festivos Colombia'!$A$3:$A$22),0)</f>
        <v>0</v>
      </c>
      <c r="I281" s="16">
        <f>NETWORKDAYS($J$123,F281,'Festivos Colombia'!$A$3:$A$22)</f>
        <v>20</v>
      </c>
      <c r="J281" s="46">
        <f t="shared" si="160"/>
        <v>0</v>
      </c>
      <c r="K281" s="58"/>
      <c r="L281" s="8"/>
      <c r="M281" s="8"/>
      <c r="N281" s="53"/>
    </row>
    <row r="282" spans="1:14" s="16" customFormat="1" outlineLevel="1">
      <c r="C282" s="60"/>
      <c r="D282" s="579" t="s">
        <v>1290</v>
      </c>
      <c r="E282" s="658">
        <v>6939751</v>
      </c>
      <c r="F282" s="7">
        <v>46080</v>
      </c>
      <c r="G282" s="16" t="s">
        <v>20</v>
      </c>
      <c r="H282" s="16">
        <f>IF(OR(G282="Sin pagar",G282="Pagar"),NETWORKDAYS($J$123,F282,'Festivos Colombia'!$A$3:$A$22),0)</f>
        <v>0</v>
      </c>
      <c r="I282" s="16">
        <f>NETWORKDAYS($J$123,F282,'Festivos Colombia'!$A$3:$A$22)</f>
        <v>20</v>
      </c>
      <c r="J282" s="46">
        <f t="shared" si="160"/>
        <v>0</v>
      </c>
      <c r="K282" s="58"/>
      <c r="L282" s="8"/>
      <c r="M282" s="8"/>
      <c r="N282" s="53"/>
    </row>
    <row r="283" spans="1:14" s="16" customFormat="1" outlineLevel="1">
      <c r="C283" s="60"/>
      <c r="D283" s="579" t="s">
        <v>1291</v>
      </c>
      <c r="E283" s="658">
        <v>3840000</v>
      </c>
      <c r="F283" s="7">
        <v>46080</v>
      </c>
      <c r="G283" s="16" t="s">
        <v>20</v>
      </c>
      <c r="H283" s="16">
        <f>IF(OR(G283="Sin pagar",G283="Pagar"),NETWORKDAYS($J$123,F283,'Festivos Colombia'!$A$3:$A$22),0)</f>
        <v>0</v>
      </c>
      <c r="I283" s="16">
        <f>NETWORKDAYS($J$123,F283,'Festivos Colombia'!$A$3:$A$22)</f>
        <v>20</v>
      </c>
      <c r="J283" s="46">
        <f t="shared" si="160"/>
        <v>0</v>
      </c>
      <c r="K283" s="58"/>
      <c r="L283" s="8"/>
      <c r="M283" s="8"/>
      <c r="N283" s="53"/>
    </row>
    <row r="284" spans="1:14" s="16" customFormat="1" outlineLevel="1">
      <c r="C284" s="60"/>
      <c r="D284" s="579" t="s">
        <v>1292</v>
      </c>
      <c r="E284" s="658">
        <v>10023248</v>
      </c>
      <c r="F284" s="7">
        <v>46080</v>
      </c>
      <c r="G284" s="16" t="s">
        <v>20</v>
      </c>
      <c r="H284" s="16">
        <f>IF(OR(G284="Sin pagar",G284="Pagar"),NETWORKDAYS($J$123,F284,'Festivos Colombia'!$A$3:$A$22),0)</f>
        <v>0</v>
      </c>
      <c r="I284" s="16">
        <f>NETWORKDAYS($J$123,F284,'Festivos Colombia'!$A$3:$A$22)</f>
        <v>20</v>
      </c>
      <c r="J284" s="46">
        <f t="shared" si="160"/>
        <v>0</v>
      </c>
      <c r="K284" s="58"/>
      <c r="L284" s="8"/>
      <c r="M284" s="8"/>
      <c r="N284" s="53"/>
    </row>
    <row r="285" spans="1:14" s="16" customFormat="1" outlineLevel="1">
      <c r="C285" s="60"/>
      <c r="D285" s="579" t="s">
        <v>1293</v>
      </c>
      <c r="E285" s="657">
        <v>425237656</v>
      </c>
      <c r="F285" s="7">
        <v>46080</v>
      </c>
      <c r="G285" s="16" t="s">
        <v>20</v>
      </c>
      <c r="H285" s="16">
        <f>IF(OR(G285="Sin pagar",G285="Pagar"),NETWORKDAYS($J$123,F285,'Festivos Colombia'!$A$3:$A$22),0)</f>
        <v>0</v>
      </c>
      <c r="I285" s="16">
        <f>NETWORKDAYS($J$123,F285,'Festivos Colombia'!$A$3:$A$22)</f>
        <v>20</v>
      </c>
      <c r="J285" s="46">
        <f t="shared" si="160"/>
        <v>0</v>
      </c>
      <c r="K285" s="58"/>
      <c r="L285" s="8"/>
      <c r="M285" s="8"/>
      <c r="N285" s="53"/>
    </row>
    <row r="286" spans="1:14" s="16" customFormat="1" outlineLevel="1">
      <c r="C286" s="60"/>
      <c r="D286" s="579" t="s">
        <v>1294</v>
      </c>
      <c r="E286" s="658">
        <v>2842696</v>
      </c>
      <c r="F286" s="7">
        <v>46080</v>
      </c>
      <c r="G286" s="16" t="s">
        <v>20</v>
      </c>
      <c r="H286" s="16">
        <f>IF(OR(G286="Sin pagar",G286="Pagar"),NETWORKDAYS($J$123,F286,'Festivos Colombia'!$A$3:$A$22),0)</f>
        <v>0</v>
      </c>
      <c r="I286" s="16">
        <f>NETWORKDAYS($J$123,F286,'Festivos Colombia'!$A$3:$A$22)</f>
        <v>20</v>
      </c>
      <c r="J286" s="46">
        <f t="shared" si="160"/>
        <v>0</v>
      </c>
      <c r="K286" s="58"/>
      <c r="L286" s="8"/>
      <c r="M286" s="8"/>
      <c r="N286" s="53"/>
    </row>
    <row r="287" spans="1:14" s="16" customFormat="1" outlineLevel="1">
      <c r="C287" s="60"/>
      <c r="D287" s="579" t="s">
        <v>1295</v>
      </c>
      <c r="E287" s="658">
        <v>47661695</v>
      </c>
      <c r="F287" s="7">
        <v>46080</v>
      </c>
      <c r="G287" s="16" t="s">
        <v>20</v>
      </c>
      <c r="H287" s="16">
        <f>IF(OR(G287="Sin pagar",G287="Pagar"),NETWORKDAYS($J$123,F287,'Festivos Colombia'!$A$3:$A$22),0)</f>
        <v>0</v>
      </c>
      <c r="I287" s="16">
        <f>NETWORKDAYS($J$123,F287,'Festivos Colombia'!$A$3:$A$22)</f>
        <v>20</v>
      </c>
      <c r="J287" s="46">
        <f t="shared" si="160"/>
        <v>0</v>
      </c>
      <c r="K287" s="58"/>
      <c r="L287" s="8"/>
      <c r="M287" s="8"/>
      <c r="N287" s="53"/>
    </row>
    <row r="288" spans="1:14" s="16" customFormat="1" outlineLevel="1">
      <c r="C288" s="60"/>
      <c r="D288" s="579" t="s">
        <v>1296</v>
      </c>
      <c r="E288" s="658">
        <v>28736036</v>
      </c>
      <c r="F288" s="7">
        <v>46080</v>
      </c>
      <c r="G288" s="16" t="s">
        <v>20</v>
      </c>
      <c r="H288" s="16">
        <f>IF(OR(G288="Sin pagar",G288="Pagar"),NETWORKDAYS($J$123,F288,'Festivos Colombia'!$A$3:$A$22),0)</f>
        <v>0</v>
      </c>
      <c r="I288" s="16">
        <f>NETWORKDAYS($J$123,F288,'Festivos Colombia'!$A$3:$A$22)</f>
        <v>20</v>
      </c>
      <c r="J288" s="46">
        <f t="shared" si="160"/>
        <v>0</v>
      </c>
      <c r="K288" s="58"/>
      <c r="L288" s="8"/>
      <c r="M288" s="8"/>
      <c r="N288" s="53"/>
    </row>
    <row r="289" spans="1:14" s="16" customFormat="1" outlineLevel="1">
      <c r="C289" s="60"/>
      <c r="D289" s="579" t="s">
        <v>1297</v>
      </c>
      <c r="E289" s="658">
        <v>9259167</v>
      </c>
      <c r="F289" s="7">
        <v>46080</v>
      </c>
      <c r="G289" s="16" t="s">
        <v>20</v>
      </c>
      <c r="H289" s="16">
        <f>IF(OR(G289="Sin pagar",G289="Pagar"),NETWORKDAYS($J$123,F289,'Festivos Colombia'!$A$3:$A$22),0)</f>
        <v>0</v>
      </c>
      <c r="I289" s="16">
        <f>NETWORKDAYS($J$123,F289,'Festivos Colombia'!$A$3:$A$22)</f>
        <v>20</v>
      </c>
      <c r="J289" s="46">
        <f t="shared" si="160"/>
        <v>0</v>
      </c>
      <c r="K289" s="58"/>
      <c r="L289" s="8"/>
      <c r="M289" s="8"/>
      <c r="N289" s="53"/>
    </row>
    <row r="290" spans="1:14" s="16" customFormat="1" outlineLevel="1">
      <c r="C290" s="60"/>
      <c r="D290" s="579" t="s">
        <v>1298</v>
      </c>
      <c r="E290" s="658">
        <v>5892637</v>
      </c>
      <c r="F290" s="7">
        <v>46080</v>
      </c>
      <c r="G290" s="16" t="s">
        <v>20</v>
      </c>
      <c r="H290" s="16">
        <f>IF(OR(G290="Sin pagar",G290="Pagar"),NETWORKDAYS($J$123,F290,'Festivos Colombia'!$A$3:$A$22),0)</f>
        <v>0</v>
      </c>
      <c r="I290" s="16">
        <f>NETWORKDAYS($J$123,F290,'Festivos Colombia'!$A$3:$A$22)</f>
        <v>20</v>
      </c>
      <c r="J290" s="46">
        <f t="shared" si="160"/>
        <v>0</v>
      </c>
      <c r="K290" s="58"/>
      <c r="L290" s="8"/>
      <c r="M290" s="8"/>
      <c r="N290" s="53"/>
    </row>
    <row r="291" spans="1:14" s="16" customFormat="1" outlineLevel="1">
      <c r="C291" s="60"/>
      <c r="D291" s="579" t="s">
        <v>1299</v>
      </c>
      <c r="E291" s="658">
        <v>720397379</v>
      </c>
      <c r="F291" s="7">
        <v>46080</v>
      </c>
      <c r="G291" s="16" t="s">
        <v>20</v>
      </c>
      <c r="H291" s="16">
        <f>IF(OR(G291="Sin pagar",G291="Pagar"),NETWORKDAYS($J$123,F291,'Festivos Colombia'!$A$3:$A$22),0)</f>
        <v>0</v>
      </c>
      <c r="I291" s="16">
        <f>NETWORKDAYS($J$123,F291,'Festivos Colombia'!$A$3:$A$22)</f>
        <v>20</v>
      </c>
      <c r="J291" s="46">
        <f t="shared" si="160"/>
        <v>0</v>
      </c>
      <c r="K291" s="58"/>
      <c r="L291" s="8"/>
      <c r="M291" s="8"/>
      <c r="N291" s="53"/>
    </row>
    <row r="292" spans="1:14" s="16" customFormat="1" outlineLevel="1">
      <c r="C292" s="60"/>
      <c r="D292" s="579" t="s">
        <v>1300</v>
      </c>
      <c r="E292" s="658">
        <v>44310885</v>
      </c>
      <c r="F292" s="7">
        <v>46080</v>
      </c>
      <c r="G292" s="16" t="s">
        <v>20</v>
      </c>
      <c r="H292" s="16">
        <f>IF(OR(G292="Sin pagar",G292="Pagar"),NETWORKDAYS($J$123,F292,'Festivos Colombia'!$A$3:$A$22),0)</f>
        <v>0</v>
      </c>
      <c r="I292" s="16">
        <f>NETWORKDAYS($J$123,F292,'Festivos Colombia'!$A$3:$A$22)</f>
        <v>20</v>
      </c>
      <c r="J292" s="46">
        <f t="shared" si="160"/>
        <v>0</v>
      </c>
      <c r="K292" s="58"/>
      <c r="L292" s="8"/>
      <c r="M292" s="8"/>
      <c r="N292" s="53"/>
    </row>
    <row r="293" spans="1:14" s="16" customFormat="1" outlineLevel="1">
      <c r="C293" s="60"/>
      <c r="D293" s="579" t="s">
        <v>1301</v>
      </c>
      <c r="E293" s="658">
        <v>13247564</v>
      </c>
      <c r="F293" s="7">
        <v>46080</v>
      </c>
      <c r="G293" s="16" t="s">
        <v>20</v>
      </c>
      <c r="H293" s="16">
        <f>IF(OR(G293="Sin pagar",G293="Pagar"),NETWORKDAYS($J$123,F293,'Festivos Colombia'!$A$3:$A$22),0)</f>
        <v>0</v>
      </c>
      <c r="I293" s="16">
        <f>NETWORKDAYS($J$123,F293,'Festivos Colombia'!$A$3:$A$22)</f>
        <v>20</v>
      </c>
      <c r="J293" s="46">
        <f t="shared" si="160"/>
        <v>0</v>
      </c>
      <c r="K293" s="58"/>
      <c r="L293" s="8"/>
      <c r="M293" s="8"/>
      <c r="N293" s="53"/>
    </row>
    <row r="294" spans="1:14" s="16" customFormat="1" outlineLevel="1">
      <c r="C294" s="60"/>
      <c r="D294" s="579" t="s">
        <v>1302</v>
      </c>
      <c r="E294" s="659">
        <v>5158133</v>
      </c>
      <c r="F294" s="7">
        <v>46080</v>
      </c>
      <c r="G294" s="16" t="s">
        <v>20</v>
      </c>
      <c r="H294" s="16">
        <f>IF(OR(G294="Sin pagar",G294="Pagar"),NETWORKDAYS($J$123,F294,'Festivos Colombia'!$A$3:$A$22),0)</f>
        <v>0</v>
      </c>
      <c r="I294" s="16">
        <f>NETWORKDAYS($J$123,F294,'Festivos Colombia'!$A$3:$A$22)</f>
        <v>20</v>
      </c>
      <c r="J294" s="46">
        <f t="shared" si="160"/>
        <v>0</v>
      </c>
      <c r="K294" s="58"/>
      <c r="L294" s="8"/>
      <c r="M294" s="8"/>
      <c r="N294" s="53"/>
    </row>
    <row r="295" spans="1:14" s="16" customFormat="1" outlineLevel="1">
      <c r="C295" s="60"/>
      <c r="D295" s="579" t="s">
        <v>1303</v>
      </c>
      <c r="E295" s="658">
        <v>27362189</v>
      </c>
      <c r="F295" s="7">
        <v>46080</v>
      </c>
      <c r="G295" s="16" t="s">
        <v>20</v>
      </c>
      <c r="H295" s="16">
        <f>IF(OR(G295="Sin pagar",G295="Pagar"),NETWORKDAYS($J$123,F295,'Festivos Colombia'!$A$3:$A$22),0)</f>
        <v>0</v>
      </c>
      <c r="I295" s="16">
        <f>NETWORKDAYS($J$123,F295,'Festivos Colombia'!$A$3:$A$22)</f>
        <v>20</v>
      </c>
      <c r="J295" s="46">
        <f t="shared" si="160"/>
        <v>0</v>
      </c>
      <c r="K295" s="58"/>
      <c r="L295" s="8"/>
      <c r="M295" s="8"/>
      <c r="N295" s="53"/>
    </row>
    <row r="296" spans="1:14" s="16" customFormat="1" ht="14.25" customHeight="1" outlineLevel="1">
      <c r="A296" s="16" t="str">
        <f>G296</f>
        <v>Cancelado</v>
      </c>
      <c r="B296" s="16">
        <f>IF(I296&lt;=-1,1,IF(I296&lt;=5,2,IF(I296&lt;=15,3,IF(H296&lt;=60,4))))</f>
        <v>4</v>
      </c>
      <c r="C296" s="60" t="s">
        <v>114</v>
      </c>
      <c r="D296" s="9" t="s">
        <v>123</v>
      </c>
      <c r="E296" s="8">
        <v>1111938</v>
      </c>
      <c r="F296" s="7">
        <v>46079</v>
      </c>
      <c r="G296" s="16" t="s">
        <v>20</v>
      </c>
      <c r="H296" s="16">
        <f>IF(OR(G296="Sin pagar",G296="Pagar"),NETWORKDAYS($J$123,F296,'Festivos Colombia'!$A$3:$A$22),0)</f>
        <v>0</v>
      </c>
      <c r="I296" s="16">
        <f>NETWORKDAYS($J$123,F296,'Festivos Colombia'!$A$3:$A$22)</f>
        <v>19</v>
      </c>
      <c r="J296" s="46">
        <f t="shared" ref="J296:J298" si="161">H296</f>
        <v>0</v>
      </c>
      <c r="K296" s="58"/>
      <c r="M296" s="25"/>
    </row>
    <row r="297" spans="1:14" s="16" customFormat="1" outlineLevel="1">
      <c r="A297" s="16" t="str">
        <f>G297</f>
        <v>Cancelado</v>
      </c>
      <c r="B297" s="16">
        <f>IF(I297&lt;=-1,1,IF(I297&lt;=5,2,IF(I297&lt;=15,3,IF(H297&lt;=60,4))))</f>
        <v>4</v>
      </c>
      <c r="C297" s="56" t="s">
        <v>1331</v>
      </c>
      <c r="D297" s="9" t="s">
        <v>1304</v>
      </c>
      <c r="E297" s="8">
        <v>13761013</v>
      </c>
      <c r="F297" s="7">
        <v>46079</v>
      </c>
      <c r="G297" s="16" t="s">
        <v>20</v>
      </c>
      <c r="H297" s="16">
        <f>IF(OR(G297="Sin pagar",G297="Pagar"),NETWORKDAYS($J$123,F297,'Festivos Colombia'!$A$3:$A$22),0)</f>
        <v>0</v>
      </c>
      <c r="I297" s="16">
        <f>NETWORKDAYS($J$123,F297,'Festivos Colombia'!$A$3:$A$22)</f>
        <v>19</v>
      </c>
      <c r="J297" s="46">
        <f t="shared" si="161"/>
        <v>0</v>
      </c>
      <c r="K297" s="58"/>
      <c r="M297" s="25"/>
    </row>
    <row r="298" spans="1:14" s="16" customFormat="1" ht="15.75" outlineLevel="1" thickBot="1">
      <c r="A298" s="16" t="str">
        <f>G298</f>
        <v>Cancelado</v>
      </c>
      <c r="B298" s="16">
        <f>IF(I298&lt;=-1,1,IF(I298&lt;=5,2,IF(I298&lt;=15,3,IF(H298&lt;=60,4))))</f>
        <v>4</v>
      </c>
      <c r="C298" s="56"/>
      <c r="D298" s="9" t="s">
        <v>1338</v>
      </c>
      <c r="E298" s="8">
        <v>2488705</v>
      </c>
      <c r="F298" s="7">
        <v>46084</v>
      </c>
      <c r="G298" s="16" t="s">
        <v>20</v>
      </c>
      <c r="H298" s="16">
        <f>IF(OR(G298="Sin pagar",G298="Pagar"),NETWORKDAYS($J$123,F298,'Festivos Colombia'!$A$3:$A$22),0)</f>
        <v>0</v>
      </c>
      <c r="I298" s="16">
        <f>NETWORKDAYS($J$123,F298,'Festivos Colombia'!$A$3:$A$22)</f>
        <v>22</v>
      </c>
      <c r="J298" s="46">
        <f t="shared" si="161"/>
        <v>0</v>
      </c>
      <c r="K298" s="58"/>
      <c r="M298" s="25"/>
    </row>
    <row r="299" spans="1:14" s="16" customFormat="1" ht="16.5" thickBot="1">
      <c r="C299" s="24"/>
      <c r="D299" s="351" t="s">
        <v>71</v>
      </c>
      <c r="E299" s="352">
        <f>SUBTOTAL(9,E300:E306)</f>
        <v>24285307</v>
      </c>
      <c r="J299" s="46"/>
      <c r="K299" s="25"/>
    </row>
    <row r="300" spans="1:14" s="16" customFormat="1" outlineLevel="1">
      <c r="A300" s="16" t="e">
        <f>#REF!</f>
        <v>#REF!</v>
      </c>
      <c r="B300" s="16">
        <f t="shared" ref="B300:B301" si="162">IF(I300&lt;=-1,1,IF(I300&lt;=5,2,IF(I300&lt;=15,3,IF(H300&lt;=60,4))))</f>
        <v>3</v>
      </c>
      <c r="C300" s="24"/>
      <c r="D300" s="9" t="s">
        <v>1316</v>
      </c>
      <c r="E300" s="8">
        <v>89120</v>
      </c>
      <c r="F300" s="7">
        <v>46063</v>
      </c>
      <c r="G300" s="16" t="s">
        <v>20</v>
      </c>
      <c r="H300" s="16">
        <f>IF(OR(G300="Sin pagar",G300="Pagar"),NETWORKDAYS($J$123,F300,'Festivos Colombia'!$A$3:$A$22),0)</f>
        <v>0</v>
      </c>
      <c r="I300" s="16">
        <f>NETWORKDAYS($J$123,F300,'Festivos Colombia'!$A$3:$A$22)</f>
        <v>7</v>
      </c>
      <c r="J300" s="46">
        <f t="shared" ref="J300:J301" si="163">H300</f>
        <v>0</v>
      </c>
      <c r="K300" s="58"/>
      <c r="L300" s="25"/>
      <c r="M300" s="41"/>
    </row>
    <row r="301" spans="1:14" s="16" customFormat="1" outlineLevel="1">
      <c r="A301" s="16" t="e">
        <f>#REF!</f>
        <v>#REF!</v>
      </c>
      <c r="B301" s="16">
        <f t="shared" si="162"/>
        <v>3</v>
      </c>
      <c r="C301" s="24"/>
      <c r="D301" s="9" t="s">
        <v>1221</v>
      </c>
      <c r="E301" s="8">
        <v>4967450</v>
      </c>
      <c r="F301" s="7">
        <v>46072</v>
      </c>
      <c r="G301" s="16" t="s">
        <v>20</v>
      </c>
      <c r="H301" s="16">
        <f>IF(OR(G301="Sin pagar",G301="Pagar"),NETWORKDAYS($J$123,F301,'Festivos Colombia'!$A$3:$A$22),0)</f>
        <v>0</v>
      </c>
      <c r="I301" s="16">
        <f>NETWORKDAYS($J$123,F301,'Festivos Colombia'!$A$3:$A$22)</f>
        <v>14</v>
      </c>
      <c r="J301" s="46">
        <f t="shared" si="163"/>
        <v>0</v>
      </c>
      <c r="K301" s="58"/>
      <c r="L301" s="25"/>
      <c r="M301" s="41"/>
    </row>
    <row r="302" spans="1:14" s="16" customFormat="1" outlineLevel="1">
      <c r="A302" s="16" t="e">
        <f>#REF!</f>
        <v>#REF!</v>
      </c>
      <c r="B302" s="16">
        <f t="shared" ref="B302" si="164">IF(I302&lt;=-1,1,IF(I302&lt;=5,2,IF(I302&lt;=15,3,IF(H302&lt;=60,4))))</f>
        <v>4</v>
      </c>
      <c r="C302" s="24"/>
      <c r="D302" s="9" t="s">
        <v>1329</v>
      </c>
      <c r="E302" s="8">
        <v>7699445</v>
      </c>
      <c r="F302" s="7">
        <v>46080</v>
      </c>
      <c r="G302" s="16" t="s">
        <v>20</v>
      </c>
      <c r="H302" s="16">
        <f>IF(OR(G302="Sin pagar",G302="Pagar"),NETWORKDAYS($J$123,F302,'Festivos Colombia'!$A$3:$A$22),0)</f>
        <v>0</v>
      </c>
      <c r="I302" s="16">
        <f>NETWORKDAYS($J$123,F302,'Festivos Colombia'!$A$3:$A$22)</f>
        <v>20</v>
      </c>
      <c r="J302" s="46">
        <f t="shared" ref="J302" si="165">H302</f>
        <v>0</v>
      </c>
      <c r="K302" s="58"/>
      <c r="L302" s="25"/>
      <c r="M302" s="41"/>
    </row>
    <row r="303" spans="1:14" s="16" customFormat="1" outlineLevel="1">
      <c r="A303" s="16" t="e">
        <f>#REF!</f>
        <v>#REF!</v>
      </c>
      <c r="B303" s="16">
        <f t="shared" ref="B303" si="166">IF(I303&lt;=-1,1,IF(I303&lt;=5,2,IF(I303&lt;=15,3,IF(H303&lt;=60,4))))</f>
        <v>4</v>
      </c>
      <c r="C303" s="24"/>
      <c r="D303" s="9" t="s">
        <v>1334</v>
      </c>
      <c r="E303" s="344">
        <v>678147</v>
      </c>
      <c r="F303" s="7">
        <v>46084</v>
      </c>
      <c r="G303" s="16" t="s">
        <v>20</v>
      </c>
      <c r="H303" s="16">
        <f>IF(OR(G303="Sin pagar",G303="Pagar"),NETWORKDAYS($J$123,F303,'Festivos Colombia'!$A$3:$A$22),0)</f>
        <v>0</v>
      </c>
      <c r="I303" s="16">
        <f>NETWORKDAYS($J$123,F303,'Festivos Colombia'!$A$3:$A$22)</f>
        <v>22</v>
      </c>
      <c r="J303" s="46">
        <f t="shared" ref="J303" si="167">H303</f>
        <v>0</v>
      </c>
      <c r="K303" s="58"/>
      <c r="L303" s="25"/>
      <c r="M303" s="41"/>
    </row>
    <row r="304" spans="1:14" s="16" customFormat="1" outlineLevel="1">
      <c r="A304" s="16" t="e">
        <f>#REF!</f>
        <v>#REF!</v>
      </c>
      <c r="B304" s="16">
        <f t="shared" ref="B304" si="168">IF(I304&lt;=-1,1,IF(I304&lt;=5,2,IF(I304&lt;=15,3,IF(H304&lt;=60,4))))</f>
        <v>4</v>
      </c>
      <c r="C304" s="24"/>
      <c r="D304" s="9" t="s">
        <v>1335</v>
      </c>
      <c r="E304" s="344">
        <v>305230</v>
      </c>
      <c r="F304" s="7">
        <v>46084</v>
      </c>
      <c r="G304" s="16" t="s">
        <v>20</v>
      </c>
      <c r="H304" s="16">
        <f>IF(OR(G304="Sin pagar",G304="Pagar"),NETWORKDAYS($J$123,F304,'Festivos Colombia'!$A$3:$A$22),0)</f>
        <v>0</v>
      </c>
      <c r="I304" s="16">
        <f>NETWORKDAYS($J$123,F304,'Festivos Colombia'!$A$3:$A$22)</f>
        <v>22</v>
      </c>
      <c r="J304" s="46">
        <f t="shared" ref="J304" si="169">H304</f>
        <v>0</v>
      </c>
      <c r="K304" s="58"/>
      <c r="L304" s="25"/>
      <c r="M304" s="41"/>
    </row>
    <row r="305" spans="1:24" s="16" customFormat="1" outlineLevel="1">
      <c r="A305" s="16" t="e">
        <f>#REF!</f>
        <v>#REF!</v>
      </c>
      <c r="B305" s="16">
        <f t="shared" ref="B305" si="170">IF(I305&lt;=-1,1,IF(I305&lt;=5,2,IF(I305&lt;=15,3,IF(H305&lt;=60,4))))</f>
        <v>4</v>
      </c>
      <c r="C305" s="24"/>
      <c r="D305" s="9" t="s">
        <v>1336</v>
      </c>
      <c r="E305" s="344">
        <v>204151</v>
      </c>
      <c r="F305" s="7">
        <v>46084</v>
      </c>
      <c r="G305" s="16" t="s">
        <v>20</v>
      </c>
      <c r="H305" s="16">
        <f>IF(OR(G305="Sin pagar",G305="Pagar"),NETWORKDAYS($J$123,F305,'Festivos Colombia'!$A$3:$A$22),0)</f>
        <v>0</v>
      </c>
      <c r="I305" s="16">
        <f>NETWORKDAYS($J$123,F305,'Festivos Colombia'!$A$3:$A$22)</f>
        <v>22</v>
      </c>
      <c r="J305" s="46">
        <f t="shared" ref="J305" si="171">H305</f>
        <v>0</v>
      </c>
      <c r="K305" s="58"/>
      <c r="L305" s="25"/>
      <c r="M305" s="41"/>
    </row>
    <row r="306" spans="1:24" s="16" customFormat="1" ht="15.75" outlineLevel="1" thickBot="1">
      <c r="A306" s="16" t="e">
        <f>#REF!</f>
        <v>#REF!</v>
      </c>
      <c r="B306" s="16">
        <f t="shared" ref="B306" si="172">IF(I306&lt;=-1,1,IF(I306&lt;=5,2,IF(I306&lt;=15,3,IF(H306&lt;=60,4))))</f>
        <v>4</v>
      </c>
      <c r="C306" s="24"/>
      <c r="D306" s="9" t="s">
        <v>1337</v>
      </c>
      <c r="E306" s="344">
        <v>10341764</v>
      </c>
      <c r="F306" s="7">
        <v>46084</v>
      </c>
      <c r="G306" s="16" t="s">
        <v>20</v>
      </c>
      <c r="H306" s="16">
        <f>IF(OR(G306="Sin pagar",G306="Pagar"),NETWORKDAYS($J$123,F306,'Festivos Colombia'!$A$3:$A$22),0)</f>
        <v>0</v>
      </c>
      <c r="I306" s="16">
        <f>NETWORKDAYS($J$123,F306,'Festivos Colombia'!$A$3:$A$22)</f>
        <v>22</v>
      </c>
      <c r="J306" s="46">
        <f t="shared" ref="J306" si="173">H306</f>
        <v>0</v>
      </c>
      <c r="K306" s="58"/>
      <c r="L306" s="25"/>
      <c r="M306" s="41"/>
    </row>
    <row r="307" spans="1:24" s="16" customFormat="1" ht="16.5" thickBot="1">
      <c r="C307" s="36"/>
      <c r="D307" s="351" t="s">
        <v>72</v>
      </c>
      <c r="E307" s="352">
        <f>SUBTOTAL(9,E308:E327)</f>
        <v>74044145.370000005</v>
      </c>
      <c r="J307" s="46"/>
      <c r="K307" s="25"/>
      <c r="M307" s="25"/>
    </row>
    <row r="308" spans="1:24" s="16" customFormat="1" ht="15" customHeight="1" outlineLevel="1">
      <c r="A308" s="310" t="str">
        <f t="shared" ref="A308" si="174">G308</f>
        <v>Cancelado</v>
      </c>
      <c r="B308" s="310">
        <f t="shared" ref="B308" si="175">IF(I308&lt;=-1,1,IF(I308&lt;=5,2,IF(I308&lt;=15,3,IF(H308&lt;=60,4))))</f>
        <v>2</v>
      </c>
      <c r="C308" s="325" t="s">
        <v>1007</v>
      </c>
      <c r="D308" s="520" t="s">
        <v>819</v>
      </c>
      <c r="E308" s="350">
        <v>12100</v>
      </c>
      <c r="F308" s="7">
        <v>46058</v>
      </c>
      <c r="G308" s="16" t="s">
        <v>20</v>
      </c>
      <c r="H308" s="16">
        <f>IF(OR(G308="Sin pagar",G308="Pagar"),NETWORKDAYS($J$123,F308,'Festivos Colombia'!$A$3:$A$22),0)</f>
        <v>0</v>
      </c>
      <c r="I308" s="16">
        <f>NETWORKDAYS($J$123,F308,'Festivos Colombia'!$A$3:$A$22)</f>
        <v>4</v>
      </c>
      <c r="J308" s="46">
        <f t="shared" ref="J308" si="176">H308</f>
        <v>0</v>
      </c>
      <c r="K308" s="312"/>
      <c r="L308" s="310"/>
      <c r="M308" s="313"/>
      <c r="N308" s="310"/>
      <c r="O308" s="310"/>
      <c r="P308" s="310"/>
      <c r="Q308" s="310"/>
      <c r="R308" s="310"/>
      <c r="S308" s="310"/>
      <c r="T308" s="310"/>
      <c r="U308" s="310"/>
      <c r="V308" s="310"/>
      <c r="W308" s="310"/>
      <c r="X308" s="310"/>
    </row>
    <row r="309" spans="1:24" s="16" customFormat="1" ht="15" customHeight="1" outlineLevel="1">
      <c r="A309" s="310" t="str">
        <f t="shared" ref="A309" si="177">G309</f>
        <v>Cancelado</v>
      </c>
      <c r="B309" s="310">
        <f t="shared" ref="B309" si="178">IF(I309&lt;=-1,1,IF(I309&lt;=5,2,IF(I309&lt;=15,3,IF(H309&lt;=60,4))))</f>
        <v>3</v>
      </c>
      <c r="C309" s="325" t="s">
        <v>1107</v>
      </c>
      <c r="D309" s="591" t="s">
        <v>1106</v>
      </c>
      <c r="E309" s="350">
        <v>799000</v>
      </c>
      <c r="F309" s="7">
        <v>46062</v>
      </c>
      <c r="G309" s="16" t="s">
        <v>20</v>
      </c>
      <c r="H309" s="16">
        <f>IF(OR(G309="Sin pagar",G309="Pagar"),NETWORKDAYS($J$123,F309,'Festivos Colombia'!$A$3:$A$22),0)</f>
        <v>0</v>
      </c>
      <c r="I309" s="16">
        <f>NETWORKDAYS($J$123,F309,'Festivos Colombia'!$A$3:$A$22)</f>
        <v>6</v>
      </c>
      <c r="J309" s="46">
        <f t="shared" ref="J309" si="179">H309</f>
        <v>0</v>
      </c>
      <c r="K309" s="312"/>
      <c r="L309" s="310"/>
      <c r="M309" s="313"/>
      <c r="N309" s="310"/>
      <c r="O309" s="310"/>
      <c r="P309" s="310"/>
      <c r="Q309" s="310"/>
      <c r="R309" s="310"/>
      <c r="S309" s="310"/>
      <c r="T309" s="310"/>
      <c r="U309" s="310"/>
      <c r="V309" s="310"/>
      <c r="W309" s="310"/>
      <c r="X309" s="310"/>
    </row>
    <row r="310" spans="1:24" s="16" customFormat="1" ht="15" customHeight="1" outlineLevel="1">
      <c r="A310" s="310" t="str">
        <f t="shared" ref="A310" si="180">G310</f>
        <v>Cancelado</v>
      </c>
      <c r="B310" s="310">
        <f t="shared" ref="B310" si="181">IF(I310&lt;=-1,1,IF(I310&lt;=5,2,IF(I310&lt;=15,3,IF(H310&lt;=60,4))))</f>
        <v>3</v>
      </c>
      <c r="C310" s="325" t="s">
        <v>1107</v>
      </c>
      <c r="D310" s="594" t="s">
        <v>1108</v>
      </c>
      <c r="E310" s="350">
        <v>141191</v>
      </c>
      <c r="F310" s="7">
        <v>46064</v>
      </c>
      <c r="G310" s="16" t="s">
        <v>20</v>
      </c>
      <c r="H310" s="16">
        <f>IF(OR(G310="Sin pagar",G310="Pagar"),NETWORKDAYS($J$123,F310,'Festivos Colombia'!$A$3:$A$22),0)</f>
        <v>0</v>
      </c>
      <c r="I310" s="16">
        <f>NETWORKDAYS($J$123,F310,'Festivos Colombia'!$A$3:$A$22)</f>
        <v>8</v>
      </c>
      <c r="J310" s="46">
        <f t="shared" ref="J310" si="182">H310</f>
        <v>0</v>
      </c>
      <c r="K310" s="312"/>
      <c r="L310" s="310"/>
      <c r="M310" s="313"/>
      <c r="N310" s="310"/>
      <c r="O310" s="310"/>
      <c r="P310" s="310"/>
      <c r="Q310" s="310"/>
      <c r="R310" s="310"/>
      <c r="S310" s="310"/>
      <c r="T310" s="310"/>
      <c r="U310" s="310"/>
      <c r="V310" s="310"/>
      <c r="W310" s="310"/>
      <c r="X310" s="310"/>
    </row>
    <row r="311" spans="1:24" s="16" customFormat="1" ht="14.25" customHeight="1" outlineLevel="1">
      <c r="A311" s="310" t="str">
        <f t="shared" ref="A311" si="183">G311</f>
        <v>Cancelado</v>
      </c>
      <c r="B311" s="310">
        <f t="shared" ref="B311" si="184">IF(I311&lt;=-1,1,IF(I311&lt;=5,2,IF(I311&lt;=15,3,IF(H311&lt;=60,4))))</f>
        <v>3</v>
      </c>
      <c r="C311" s="325" t="s">
        <v>1190</v>
      </c>
      <c r="D311" s="629" t="s">
        <v>1212</v>
      </c>
      <c r="E311" s="350">
        <v>11781</v>
      </c>
      <c r="F311" s="7">
        <v>46070</v>
      </c>
      <c r="G311" s="16" t="s">
        <v>20</v>
      </c>
      <c r="H311" s="16">
        <f>IF(OR(G311="Sin pagar",G311="Pagar"),NETWORKDAYS($J$123,F311,'Festivos Colombia'!$A$3:$A$22),0)</f>
        <v>0</v>
      </c>
      <c r="I311" s="16">
        <f>NETWORKDAYS($J$123,F311,'Festivos Colombia'!$A$3:$A$22)</f>
        <v>12</v>
      </c>
      <c r="J311" s="46">
        <f t="shared" ref="J311" si="185">H311</f>
        <v>0</v>
      </c>
      <c r="K311" s="312"/>
      <c r="L311" s="310"/>
      <c r="M311" s="313"/>
      <c r="N311" s="310"/>
      <c r="O311" s="310"/>
      <c r="P311" s="310"/>
      <c r="Q311" s="310"/>
      <c r="R311" s="310"/>
      <c r="S311" s="310"/>
      <c r="T311" s="310"/>
      <c r="U311" s="310"/>
      <c r="V311" s="310"/>
      <c r="W311" s="310"/>
      <c r="X311" s="310"/>
    </row>
    <row r="312" spans="1:24" s="16" customFormat="1" ht="14.25" customHeight="1" outlineLevel="1">
      <c r="A312" s="310" t="str">
        <f t="shared" ref="A312" si="186">G312</f>
        <v>Cancelado</v>
      </c>
      <c r="B312" s="310">
        <f t="shared" ref="B312" si="187">IF(I312&lt;=-1,1,IF(I312&lt;=5,2,IF(I312&lt;=15,3,IF(H312&lt;=60,4))))</f>
        <v>3</v>
      </c>
      <c r="C312" s="325" t="s">
        <v>38</v>
      </c>
      <c r="D312" s="628" t="s">
        <v>1191</v>
      </c>
      <c r="E312" s="350">
        <v>530860</v>
      </c>
      <c r="F312" s="7">
        <v>46070</v>
      </c>
      <c r="G312" s="16" t="s">
        <v>20</v>
      </c>
      <c r="H312" s="16">
        <f>IF(OR(G312="Sin pagar",G312="Pagar"),NETWORKDAYS($J$123,F312,'Festivos Colombia'!$A$3:$A$22),0)</f>
        <v>0</v>
      </c>
      <c r="I312" s="16">
        <f>NETWORKDAYS($J$123,F312,'Festivos Colombia'!$A$3:$A$22)</f>
        <v>12</v>
      </c>
      <c r="J312" s="46">
        <f t="shared" ref="J312" si="188">H312</f>
        <v>0</v>
      </c>
      <c r="K312" s="312"/>
      <c r="L312" s="310"/>
      <c r="M312" s="313"/>
      <c r="N312" s="310"/>
      <c r="O312" s="310"/>
      <c r="P312" s="310"/>
      <c r="Q312" s="310"/>
      <c r="R312" s="310"/>
      <c r="S312" s="310"/>
      <c r="T312" s="310"/>
      <c r="U312" s="310"/>
      <c r="V312" s="310"/>
      <c r="W312" s="310"/>
      <c r="X312" s="310"/>
    </row>
    <row r="313" spans="1:24" s="16" customFormat="1" ht="14.25" customHeight="1" outlineLevel="1">
      <c r="A313" s="310" t="str">
        <f t="shared" ref="A313" si="189">G313</f>
        <v>Cancelado</v>
      </c>
      <c r="B313" s="310">
        <f t="shared" ref="B313" si="190">IF(I313&lt;=-1,1,IF(I313&lt;=5,2,IF(I313&lt;=15,3,IF(H313&lt;=60,4))))</f>
        <v>3</v>
      </c>
      <c r="C313" s="325" t="s">
        <v>1223</v>
      </c>
      <c r="D313" s="642" t="s">
        <v>1222</v>
      </c>
      <c r="E313" s="350">
        <v>23562</v>
      </c>
      <c r="F313" s="7">
        <v>46072</v>
      </c>
      <c r="G313" s="16" t="s">
        <v>20</v>
      </c>
      <c r="H313" s="16">
        <f>IF(OR(G313="Sin pagar",G313="Pagar"),NETWORKDAYS($J$123,F313,'Festivos Colombia'!$A$3:$A$22),0)</f>
        <v>0</v>
      </c>
      <c r="I313" s="16">
        <f>NETWORKDAYS($J$123,F313,'Festivos Colombia'!$A$3:$A$22)</f>
        <v>14</v>
      </c>
      <c r="J313" s="46">
        <f t="shared" ref="J313" si="191">H313</f>
        <v>0</v>
      </c>
      <c r="K313" s="312"/>
      <c r="L313" s="310"/>
      <c r="M313" s="313"/>
      <c r="N313" s="310"/>
      <c r="O313" s="310"/>
      <c r="P313" s="310"/>
      <c r="Q313" s="310"/>
      <c r="R313" s="310"/>
      <c r="S313" s="310"/>
      <c r="T313" s="310"/>
      <c r="U313" s="310"/>
      <c r="V313" s="310"/>
      <c r="W313" s="310"/>
      <c r="X313" s="310"/>
    </row>
    <row r="314" spans="1:24" s="16" customFormat="1" ht="14.25" customHeight="1" outlineLevel="1">
      <c r="A314" s="310" t="str">
        <f t="shared" ref="A314:A315" si="192">G314</f>
        <v>Cancelado</v>
      </c>
      <c r="B314" s="310">
        <f t="shared" ref="B314:B315" si="193">IF(I314&lt;=-1,1,IF(I314&lt;=5,2,IF(I314&lt;=15,3,IF(H314&lt;=60,4))))</f>
        <v>3</v>
      </c>
      <c r="C314" s="325" t="s">
        <v>38</v>
      </c>
      <c r="D314" s="642" t="s">
        <v>1224</v>
      </c>
      <c r="E314" s="350">
        <v>4899901</v>
      </c>
      <c r="F314" s="7">
        <v>46072</v>
      </c>
      <c r="G314" s="16" t="s">
        <v>20</v>
      </c>
      <c r="H314" s="16">
        <f>IF(OR(G314="Sin pagar",G314="Pagar"),NETWORKDAYS($J$123,F314,'Festivos Colombia'!$A$3:$A$22),0)</f>
        <v>0</v>
      </c>
      <c r="I314" s="16">
        <f>NETWORKDAYS($J$123,F314,'Festivos Colombia'!$A$3:$A$22)</f>
        <v>14</v>
      </c>
      <c r="J314" s="46">
        <f t="shared" ref="J314:J315" si="194">H314</f>
        <v>0</v>
      </c>
      <c r="K314" s="312"/>
      <c r="L314" s="310"/>
      <c r="M314" s="313"/>
      <c r="N314" s="310"/>
      <c r="O314" s="310"/>
      <c r="P314" s="310"/>
      <c r="Q314" s="310"/>
      <c r="R314" s="310"/>
      <c r="S314" s="310"/>
      <c r="T314" s="310"/>
      <c r="U314" s="310"/>
      <c r="V314" s="310"/>
      <c r="W314" s="310"/>
      <c r="X314" s="310"/>
    </row>
    <row r="315" spans="1:24" s="16" customFormat="1" ht="14.25" customHeight="1" outlineLevel="1">
      <c r="A315" s="310" t="str">
        <f t="shared" si="192"/>
        <v>Cancelado</v>
      </c>
      <c r="B315" s="310">
        <f t="shared" si="193"/>
        <v>3</v>
      </c>
      <c r="C315" s="325" t="s">
        <v>38</v>
      </c>
      <c r="D315" s="644" t="s">
        <v>1235</v>
      </c>
      <c r="E315" s="350">
        <v>525570</v>
      </c>
      <c r="F315" s="7">
        <v>46072</v>
      </c>
      <c r="G315" s="16" t="s">
        <v>20</v>
      </c>
      <c r="H315" s="16">
        <f>IF(OR(G315="Sin pagar",G315="Pagar"),NETWORKDAYS($J$123,F315,'Festivos Colombia'!$A$3:$A$22),0)</f>
        <v>0</v>
      </c>
      <c r="I315" s="16">
        <f>NETWORKDAYS($J$123,F315,'Festivos Colombia'!$A$3:$A$22)</f>
        <v>14</v>
      </c>
      <c r="J315" s="46">
        <f t="shared" si="194"/>
        <v>0</v>
      </c>
      <c r="K315" s="312"/>
      <c r="L315" s="310"/>
      <c r="M315" s="313"/>
      <c r="N315" s="310"/>
      <c r="O315" s="310"/>
      <c r="P315" s="310"/>
      <c r="Q315" s="310"/>
      <c r="R315" s="310"/>
      <c r="S315" s="310"/>
      <c r="T315" s="310"/>
      <c r="U315" s="310"/>
      <c r="V315" s="310"/>
      <c r="W315" s="310"/>
      <c r="X315" s="310"/>
    </row>
    <row r="316" spans="1:24" s="16" customFormat="1" ht="14.25" customHeight="1" outlineLevel="1">
      <c r="A316" s="310" t="str">
        <f t="shared" ref="A316:A318" si="195">G316</f>
        <v>Cancelado</v>
      </c>
      <c r="B316" s="310">
        <f t="shared" ref="B316:B318" si="196">IF(I316&lt;=-1,1,IF(I316&lt;=5,2,IF(I316&lt;=15,3,IF(H316&lt;=60,4))))</f>
        <v>3</v>
      </c>
      <c r="C316" s="325" t="s">
        <v>1233</v>
      </c>
      <c r="D316" s="643" t="s">
        <v>1234</v>
      </c>
      <c r="E316" s="8">
        <v>1319000</v>
      </c>
      <c r="F316" s="7">
        <v>46072</v>
      </c>
      <c r="G316" s="16" t="s">
        <v>20</v>
      </c>
      <c r="H316" s="16">
        <f>IF(OR(G316="Sin pagar",G316="Pagar"),NETWORKDAYS($J$123,F316,'Festivos Colombia'!$A$3:$A$22),0)</f>
        <v>0</v>
      </c>
      <c r="I316" s="16">
        <f>NETWORKDAYS($J$123,F316,'Festivos Colombia'!$A$3:$A$22)</f>
        <v>14</v>
      </c>
      <c r="J316" s="46">
        <f t="shared" ref="J316:J318" si="197">H316</f>
        <v>0</v>
      </c>
      <c r="K316" s="312"/>
      <c r="L316" s="310"/>
      <c r="M316" s="313"/>
      <c r="N316" s="310"/>
      <c r="O316" s="310"/>
      <c r="P316" s="310"/>
      <c r="Q316" s="310"/>
      <c r="R316" s="310"/>
      <c r="S316" s="310"/>
      <c r="T316" s="310"/>
      <c r="U316" s="310"/>
      <c r="V316" s="310"/>
      <c r="W316" s="310"/>
      <c r="X316" s="310"/>
    </row>
    <row r="317" spans="1:24" s="16" customFormat="1" ht="32.25" customHeight="1" outlineLevel="1">
      <c r="A317" s="310" t="str">
        <f t="shared" ref="A317" si="198">G317</f>
        <v>Cancelado</v>
      </c>
      <c r="B317" s="310">
        <f t="shared" ref="B317" si="199">IF(I317&lt;=-1,1,IF(I317&lt;=5,2,IF(I317&lt;=15,3,IF(H317&lt;=60,4))))</f>
        <v>3</v>
      </c>
      <c r="C317" s="325" t="s">
        <v>1236</v>
      </c>
      <c r="D317" s="646" t="s">
        <v>1237</v>
      </c>
      <c r="E317" s="647">
        <v>24781</v>
      </c>
      <c r="F317" s="7">
        <v>46073</v>
      </c>
      <c r="G317" s="16" t="s">
        <v>20</v>
      </c>
      <c r="H317" s="16">
        <f>IF(OR(G317="Sin pagar",G317="Pagar"),NETWORKDAYS($J$123,F317,'Festivos Colombia'!$A$3:$A$22),0)</f>
        <v>0</v>
      </c>
      <c r="I317" s="16">
        <f>NETWORKDAYS($J$123,F317,'Festivos Colombia'!$A$3:$A$22)</f>
        <v>15</v>
      </c>
      <c r="J317" s="46">
        <f t="shared" ref="J317" si="200">H317</f>
        <v>0</v>
      </c>
      <c r="K317" s="312"/>
      <c r="L317" s="310"/>
      <c r="M317" s="313"/>
      <c r="N317" s="310"/>
      <c r="O317" s="310"/>
      <c r="P317" s="310"/>
      <c r="Q317" s="310"/>
      <c r="R317" s="310"/>
      <c r="S317" s="310"/>
      <c r="T317" s="310"/>
      <c r="U317" s="310"/>
      <c r="V317" s="310"/>
      <c r="W317" s="310"/>
      <c r="X317" s="310"/>
    </row>
    <row r="318" spans="1:24" s="16" customFormat="1" ht="16.5" customHeight="1" outlineLevel="1">
      <c r="A318" s="310" t="str">
        <f t="shared" si="195"/>
        <v>Cancelado</v>
      </c>
      <c r="B318" s="310">
        <f t="shared" si="196"/>
        <v>3</v>
      </c>
      <c r="C318" s="325"/>
      <c r="D318" s="648" t="s">
        <v>1238</v>
      </c>
      <c r="E318" s="647">
        <v>26900</v>
      </c>
      <c r="F318" s="7">
        <v>46073</v>
      </c>
      <c r="G318" s="16" t="s">
        <v>20</v>
      </c>
      <c r="H318" s="16">
        <f>IF(OR(G318="Sin pagar",G318="Pagar"),NETWORKDAYS($J$123,F318,'Festivos Colombia'!$A$3:$A$22),0)</f>
        <v>0</v>
      </c>
      <c r="I318" s="16">
        <f>NETWORKDAYS($J$123,F318,'Festivos Colombia'!$A$3:$A$22)</f>
        <v>15</v>
      </c>
      <c r="J318" s="46">
        <f t="shared" si="197"/>
        <v>0</v>
      </c>
      <c r="K318" s="312"/>
      <c r="L318" s="310"/>
      <c r="M318" s="313"/>
      <c r="N318" s="310"/>
      <c r="O318" s="310"/>
      <c r="P318" s="310"/>
      <c r="Q318" s="310"/>
      <c r="R318" s="310"/>
      <c r="S318" s="310"/>
      <c r="T318" s="310"/>
      <c r="U318" s="310"/>
      <c r="V318" s="310"/>
      <c r="W318" s="310"/>
      <c r="X318" s="310"/>
    </row>
    <row r="319" spans="1:24" s="16" customFormat="1" ht="14.25" customHeight="1" outlineLevel="1">
      <c r="A319" s="310" t="str">
        <f t="shared" ref="A319" si="201">G319</f>
        <v>Cancelado</v>
      </c>
      <c r="B319" s="310">
        <f t="shared" ref="B319" si="202">IF(I319&lt;=-1,1,IF(I319&lt;=5,2,IF(I319&lt;=15,3,IF(H319&lt;=60,4))))</f>
        <v>4</v>
      </c>
      <c r="C319" s="325" t="s">
        <v>38</v>
      </c>
      <c r="D319" s="629" t="s">
        <v>1211</v>
      </c>
      <c r="E319" s="350">
        <v>2596007</v>
      </c>
      <c r="F319" s="7">
        <v>46077</v>
      </c>
      <c r="G319" s="16" t="s">
        <v>20</v>
      </c>
      <c r="H319" s="16">
        <f>IF(OR(G319="Sin pagar",G319="Pagar"),NETWORKDAYS($J$123,F319,'Festivos Colombia'!$A$3:$A$22),0)</f>
        <v>0</v>
      </c>
      <c r="I319" s="16">
        <f>NETWORKDAYS($J$123,F319,'Festivos Colombia'!$A$3:$A$22)</f>
        <v>17</v>
      </c>
      <c r="J319" s="46">
        <f t="shared" ref="J319" si="203">H319</f>
        <v>0</v>
      </c>
      <c r="K319" s="312"/>
      <c r="L319" s="310"/>
      <c r="M319" s="313"/>
      <c r="N319" s="310"/>
      <c r="O319" s="310"/>
      <c r="P319" s="310"/>
      <c r="Q319" s="310"/>
      <c r="R319" s="310"/>
      <c r="S319" s="310"/>
      <c r="T319" s="310"/>
      <c r="U319" s="310"/>
      <c r="V319" s="310"/>
      <c r="W319" s="310"/>
      <c r="X319" s="310"/>
    </row>
    <row r="320" spans="1:24" s="16" customFormat="1" ht="15" customHeight="1" outlineLevel="1">
      <c r="A320" s="310" t="str">
        <f t="shared" ref="A320:A322" si="204">G320</f>
        <v>Cancelado</v>
      </c>
      <c r="B320" s="310">
        <f t="shared" ref="B320:B322" si="205">IF(I320&lt;=-1,1,IF(I320&lt;=5,2,IF(I320&lt;=15,3,IF(H320&lt;=60,4))))</f>
        <v>4</v>
      </c>
      <c r="C320" s="325" t="s">
        <v>1189</v>
      </c>
      <c r="D320" s="625" t="s">
        <v>1188</v>
      </c>
      <c r="E320" s="350">
        <v>400000</v>
      </c>
      <c r="F320" s="7">
        <v>46078</v>
      </c>
      <c r="G320" s="16" t="s">
        <v>20</v>
      </c>
      <c r="H320" s="16">
        <f>IF(OR(G320="Sin pagar",G320="Pagar"),NETWORKDAYS($J$123,F320,'Festivos Colombia'!$A$3:$A$22),0)</f>
        <v>0</v>
      </c>
      <c r="I320" s="16">
        <f>NETWORKDAYS($J$123,F320,'Festivos Colombia'!$A$3:$A$22)</f>
        <v>18</v>
      </c>
      <c r="J320" s="46">
        <f t="shared" ref="J320:J322" si="206">H320</f>
        <v>0</v>
      </c>
      <c r="K320" s="312"/>
      <c r="L320" s="310"/>
      <c r="M320" s="313"/>
      <c r="N320" s="310"/>
      <c r="O320" s="310"/>
      <c r="P320" s="310"/>
      <c r="Q320" s="310"/>
      <c r="R320" s="310"/>
      <c r="S320" s="310"/>
      <c r="T320" s="310"/>
      <c r="U320" s="310"/>
      <c r="V320" s="310"/>
      <c r="W320" s="310"/>
      <c r="X320" s="310"/>
    </row>
    <row r="321" spans="1:24" s="16" customFormat="1" ht="15" customHeight="1" outlineLevel="1">
      <c r="A321" s="310" t="str">
        <f t="shared" si="204"/>
        <v>Cancelado</v>
      </c>
      <c r="B321" s="310">
        <f t="shared" si="205"/>
        <v>4</v>
      </c>
      <c r="C321" s="325" t="s">
        <v>1189</v>
      </c>
      <c r="D321" s="655" t="s">
        <v>1284</v>
      </c>
      <c r="E321" s="350">
        <v>499050</v>
      </c>
      <c r="F321" s="7">
        <v>46079</v>
      </c>
      <c r="G321" s="16" t="s">
        <v>20</v>
      </c>
      <c r="H321" s="16">
        <f>IF(OR(G321="Sin pagar",G321="Pagar"),NETWORKDAYS($J$123,F321,'Festivos Colombia'!$A$3:$A$22),0)</f>
        <v>0</v>
      </c>
      <c r="I321" s="16">
        <f>NETWORKDAYS($J$123,F321,'Festivos Colombia'!$A$3:$A$22)</f>
        <v>19</v>
      </c>
      <c r="J321" s="46">
        <f t="shared" si="206"/>
        <v>0</v>
      </c>
      <c r="K321" s="312"/>
      <c r="L321" s="310"/>
      <c r="M321" s="313"/>
      <c r="N321" s="310"/>
      <c r="O321" s="310"/>
      <c r="P321" s="310"/>
      <c r="Q321" s="310"/>
      <c r="R321" s="310"/>
      <c r="S321" s="310"/>
      <c r="T321" s="310"/>
      <c r="U321" s="310"/>
      <c r="V321" s="310"/>
      <c r="W321" s="310"/>
      <c r="X321" s="310"/>
    </row>
    <row r="322" spans="1:24" s="16" customFormat="1" ht="15" customHeight="1" outlineLevel="1">
      <c r="A322" s="310" t="str">
        <f t="shared" si="204"/>
        <v>Cancelado</v>
      </c>
      <c r="B322" s="310">
        <f t="shared" si="205"/>
        <v>4</v>
      </c>
      <c r="C322" s="325" t="s">
        <v>38</v>
      </c>
      <c r="D322" s="683" t="s">
        <v>1384</v>
      </c>
      <c r="E322" s="350">
        <v>16250000</v>
      </c>
      <c r="F322" s="7">
        <v>46079</v>
      </c>
      <c r="G322" s="16" t="s">
        <v>20</v>
      </c>
      <c r="H322" s="16">
        <f>IF(OR(G322="Sin pagar",G322="Pagar"),NETWORKDAYS($J$123,F322,'Festivos Colombia'!$A$3:$A$22),0)</f>
        <v>0</v>
      </c>
      <c r="I322" s="16">
        <f>NETWORKDAYS($J$123,F322,'Festivos Colombia'!$A$3:$A$22)</f>
        <v>19</v>
      </c>
      <c r="J322" s="46">
        <f t="shared" si="206"/>
        <v>0</v>
      </c>
      <c r="K322" s="312"/>
      <c r="L322" s="310"/>
      <c r="M322" s="313"/>
      <c r="N322" s="310"/>
      <c r="O322" s="310"/>
      <c r="P322" s="310"/>
      <c r="Q322" s="310"/>
      <c r="R322" s="310"/>
      <c r="S322" s="310"/>
      <c r="T322" s="310"/>
      <c r="U322" s="310"/>
      <c r="V322" s="310"/>
      <c r="W322" s="310"/>
      <c r="X322" s="310"/>
    </row>
    <row r="323" spans="1:24" s="16" customFormat="1" ht="15" customHeight="1" outlineLevel="1">
      <c r="A323" s="310" t="str">
        <f t="shared" ref="A323" si="207">G323</f>
        <v>Cancelado</v>
      </c>
      <c r="B323" s="310">
        <f t="shared" ref="B323" si="208">IF(I323&lt;=-1,1,IF(I323&lt;=5,2,IF(I323&lt;=15,3,IF(H323&lt;=60,4))))</f>
        <v>4</v>
      </c>
      <c r="C323" s="325" t="s">
        <v>38</v>
      </c>
      <c r="D323" s="683" t="s">
        <v>1385</v>
      </c>
      <c r="E323" s="350">
        <v>19667885</v>
      </c>
      <c r="F323" s="7">
        <v>46079</v>
      </c>
      <c r="G323" s="16" t="s">
        <v>20</v>
      </c>
      <c r="H323" s="16">
        <f>IF(OR(G323="Sin pagar",G323="Pagar"),NETWORKDAYS($J$123,F323,'Festivos Colombia'!$A$3:$A$22),0)</f>
        <v>0</v>
      </c>
      <c r="I323" s="16">
        <f>NETWORKDAYS($J$123,F323,'Festivos Colombia'!$A$3:$A$22)</f>
        <v>19</v>
      </c>
      <c r="J323" s="46">
        <f t="shared" ref="J323" si="209">H323</f>
        <v>0</v>
      </c>
      <c r="K323" s="312"/>
      <c r="L323" s="310"/>
      <c r="M323" s="313"/>
      <c r="N323" s="310"/>
      <c r="O323" s="310"/>
      <c r="P323" s="310"/>
      <c r="Q323" s="310"/>
      <c r="R323" s="310"/>
      <c r="S323" s="310"/>
      <c r="T323" s="310"/>
      <c r="U323" s="310"/>
      <c r="V323" s="310"/>
      <c r="W323" s="310"/>
      <c r="X323" s="310"/>
    </row>
    <row r="324" spans="1:24" s="16" customFormat="1" ht="15" customHeight="1" outlineLevel="1">
      <c r="A324" s="310" t="str">
        <f t="shared" ref="A324" si="210">G324</f>
        <v>Cancelado</v>
      </c>
      <c r="B324" s="310">
        <f t="shared" ref="B324" si="211">IF(I324&lt;=-1,1,IF(I324&lt;=5,2,IF(I324&lt;=15,3,IF(H324&lt;=60,4))))</f>
        <v>4</v>
      </c>
      <c r="C324" s="325" t="s">
        <v>38</v>
      </c>
      <c r="D324" s="683" t="s">
        <v>1386</v>
      </c>
      <c r="E324" s="350">
        <v>23571462</v>
      </c>
      <c r="F324" s="7">
        <v>46079</v>
      </c>
      <c r="G324" s="16" t="s">
        <v>20</v>
      </c>
      <c r="H324" s="16">
        <f>IF(OR(G324="Sin pagar",G324="Pagar"),NETWORKDAYS($J$123,F324,'Festivos Colombia'!$A$3:$A$22),0)</f>
        <v>0</v>
      </c>
      <c r="I324" s="16">
        <f>NETWORKDAYS($J$123,F324,'Festivos Colombia'!$A$3:$A$22)</f>
        <v>19</v>
      </c>
      <c r="J324" s="46">
        <f t="shared" ref="J324" si="212">H324</f>
        <v>0</v>
      </c>
      <c r="K324" s="312"/>
      <c r="L324" s="310"/>
      <c r="M324" s="313"/>
      <c r="N324" s="310"/>
      <c r="O324" s="310"/>
      <c r="P324" s="310"/>
      <c r="Q324" s="310"/>
      <c r="R324" s="310"/>
      <c r="S324" s="310"/>
      <c r="T324" s="310"/>
      <c r="U324" s="310"/>
      <c r="V324" s="310"/>
      <c r="W324" s="310"/>
      <c r="X324" s="310"/>
    </row>
    <row r="325" spans="1:24" s="16" customFormat="1" ht="15" customHeight="1" outlineLevel="1">
      <c r="A325" s="310" t="str">
        <f t="shared" ref="A325" si="213">G325</f>
        <v>Cancelado</v>
      </c>
      <c r="B325" s="310">
        <f t="shared" ref="B325" si="214">IF(I325&lt;=-1,1,IF(I325&lt;=5,2,IF(I325&lt;=15,3,IF(H325&lt;=60,4))))</f>
        <v>4</v>
      </c>
      <c r="C325" s="325"/>
      <c r="D325" s="664" t="s">
        <v>1333</v>
      </c>
      <c r="E325" s="350">
        <v>195543</v>
      </c>
      <c r="F325" s="7">
        <v>46083</v>
      </c>
      <c r="G325" s="16" t="s">
        <v>20</v>
      </c>
      <c r="H325" s="16">
        <f>IF(OR(G325="Sin pagar",G325="Pagar"),NETWORKDAYS($J$123,F325,'Festivos Colombia'!$A$3:$A$22),0)</f>
        <v>0</v>
      </c>
      <c r="I325" s="16">
        <f>NETWORKDAYS($J$123,F325,'Festivos Colombia'!$A$3:$A$22)</f>
        <v>21</v>
      </c>
      <c r="J325" s="46">
        <f t="shared" ref="J325" si="215">H325</f>
        <v>0</v>
      </c>
      <c r="K325" s="312"/>
      <c r="L325" s="310"/>
      <c r="M325" s="313"/>
      <c r="N325" s="310"/>
      <c r="O325" s="310"/>
      <c r="P325" s="310"/>
      <c r="Q325" s="310"/>
      <c r="R325" s="310"/>
      <c r="S325" s="310"/>
      <c r="T325" s="310"/>
      <c r="U325" s="310"/>
      <c r="V325" s="310"/>
      <c r="W325" s="310"/>
      <c r="X325" s="310"/>
    </row>
    <row r="326" spans="1:24" s="16" customFormat="1" ht="15" customHeight="1" outlineLevel="1">
      <c r="A326" s="310" t="str">
        <f t="shared" ref="A326" si="216">G326</f>
        <v>Cancelado</v>
      </c>
      <c r="B326" s="310">
        <f t="shared" ref="B326" si="217">IF(I326&lt;=-1,1,IF(I326&lt;=5,2,IF(I326&lt;=15,3,IF(H326&lt;=60,4))))</f>
        <v>4</v>
      </c>
      <c r="C326" s="325"/>
      <c r="D326" s="672" t="s">
        <v>1344</v>
      </c>
      <c r="E326" s="350">
        <v>700000</v>
      </c>
      <c r="F326" s="7">
        <v>46084</v>
      </c>
      <c r="G326" s="16" t="s">
        <v>20</v>
      </c>
      <c r="H326" s="16">
        <f>IF(OR(G326="Sin pagar",G326="Pagar"),NETWORKDAYS($J$123,F326,'Festivos Colombia'!$A$3:$A$22),0)</f>
        <v>0</v>
      </c>
      <c r="I326" s="16">
        <f>NETWORKDAYS($J$123,F326,'Festivos Colombia'!$A$3:$A$22)</f>
        <v>22</v>
      </c>
      <c r="J326" s="46">
        <f t="shared" ref="J326" si="218">H326</f>
        <v>0</v>
      </c>
      <c r="K326" s="312"/>
      <c r="L326" s="310"/>
      <c r="M326" s="313"/>
      <c r="N326" s="310"/>
      <c r="O326" s="310"/>
      <c r="P326" s="310"/>
      <c r="Q326" s="310"/>
      <c r="R326" s="310"/>
      <c r="S326" s="310"/>
      <c r="T326" s="310"/>
      <c r="U326" s="310"/>
      <c r="V326" s="310"/>
      <c r="W326" s="310"/>
      <c r="X326" s="310"/>
    </row>
    <row r="327" spans="1:24" s="16" customFormat="1" ht="15" customHeight="1" outlineLevel="1" thickBot="1">
      <c r="A327" s="310" t="str">
        <f t="shared" ref="A327" si="219">G327</f>
        <v>Cancelado</v>
      </c>
      <c r="B327" s="310">
        <f t="shared" ref="B327" si="220">IF(I327&lt;=-1,1,IF(I327&lt;=5,2,IF(I327&lt;=15,3,IF(H327&lt;=60,4))))</f>
        <v>4</v>
      </c>
      <c r="C327" s="325"/>
      <c r="D327" s="675" t="s">
        <v>1355</v>
      </c>
      <c r="E327" s="350">
        <v>1849552.37</v>
      </c>
      <c r="F327" s="7">
        <v>46085</v>
      </c>
      <c r="G327" s="16" t="s">
        <v>20</v>
      </c>
      <c r="H327" s="16">
        <f>IF(OR(G327="Sin pagar",G327="Pagar"),NETWORKDAYS($J$123,F327,'Festivos Colombia'!$A$3:$A$22),0)</f>
        <v>0</v>
      </c>
      <c r="I327" s="16">
        <f>NETWORKDAYS($J$123,F327,'Festivos Colombia'!$A$3:$A$22)</f>
        <v>23</v>
      </c>
      <c r="J327" s="46">
        <f t="shared" ref="J327" si="221">H327</f>
        <v>0</v>
      </c>
      <c r="K327" s="312"/>
      <c r="L327" s="310"/>
      <c r="M327" s="313"/>
      <c r="N327" s="310"/>
      <c r="O327" s="310"/>
      <c r="P327" s="310"/>
      <c r="Q327" s="310"/>
      <c r="R327" s="310"/>
      <c r="S327" s="310"/>
      <c r="T327" s="310"/>
      <c r="U327" s="310"/>
      <c r="V327" s="310"/>
      <c r="W327" s="310"/>
      <c r="X327" s="310"/>
    </row>
    <row r="328" spans="1:24" s="16" customFormat="1" ht="14.25" customHeight="1">
      <c r="C328" s="24"/>
      <c r="D328" s="85" t="s">
        <v>73</v>
      </c>
      <c r="E328" s="360">
        <f>SUBTOTAL(9,E125:E327)</f>
        <v>3527238838.8585</v>
      </c>
      <c r="L328" s="69"/>
      <c r="M328" s="69"/>
      <c r="N328" s="69"/>
      <c r="O328" s="69"/>
      <c r="S328" s="69"/>
      <c r="T328" s="69"/>
      <c r="U328" s="69"/>
    </row>
    <row r="329" spans="1:24" ht="15.75">
      <c r="B329" s="16"/>
      <c r="E329" s="346"/>
      <c r="F329" s="5"/>
      <c r="G329" s="5"/>
      <c r="H329" s="5"/>
      <c r="I329" s="5"/>
      <c r="J329" s="5"/>
      <c r="K329" s="5"/>
    </row>
    <row r="330" spans="1:24" ht="15.75">
      <c r="B330" s="16"/>
      <c r="D330" s="86" t="s">
        <v>74</v>
      </c>
      <c r="E330" s="4">
        <f>E120-E328</f>
        <v>659714682.60000038</v>
      </c>
      <c r="F330" s="87"/>
      <c r="G330" s="88"/>
      <c r="J330" s="88"/>
      <c r="K330" s="88"/>
    </row>
    <row r="331" spans="1:24" s="89" customFormat="1" ht="15.75">
      <c r="B331" s="16"/>
      <c r="C331" s="90"/>
      <c r="D331" s="86" t="s">
        <v>75</v>
      </c>
      <c r="E331" s="91">
        <f>IF($E$120=0,0,E330/$E$120)</f>
        <v>0.15756436731836296</v>
      </c>
      <c r="F331" s="92"/>
      <c r="G331" s="361"/>
      <c r="J331" s="93"/>
      <c r="K331" s="88"/>
      <c r="L331" s="69"/>
      <c r="M331" s="69"/>
      <c r="N331" s="69"/>
      <c r="O331" s="69"/>
      <c r="S331" s="69"/>
      <c r="T331" s="69"/>
      <c r="U331" s="69"/>
    </row>
    <row r="332" spans="1:24" ht="15.75" thickBot="1">
      <c r="B332" s="16"/>
      <c r="E332" s="346"/>
      <c r="F332" s="92"/>
      <c r="G332" s="361"/>
      <c r="K332" s="88"/>
    </row>
    <row r="333" spans="1:24" s="16" customFormat="1" ht="15.75" thickBot="1">
      <c r="A333" s="69"/>
      <c r="C333" s="70"/>
      <c r="D333" s="173" t="s">
        <v>76</v>
      </c>
      <c r="E333" s="174"/>
      <c r="F333" s="362"/>
      <c r="G333" s="69"/>
      <c r="H333" s="69"/>
      <c r="I333" s="69"/>
      <c r="J333" s="69"/>
      <c r="K333" s="69"/>
      <c r="L333" s="69"/>
      <c r="M333" s="69"/>
      <c r="N333" s="69"/>
      <c r="O333" s="69"/>
      <c r="P333" s="69"/>
      <c r="Q333" s="69"/>
      <c r="R333" s="69"/>
      <c r="S333" s="69"/>
      <c r="T333" s="69"/>
      <c r="U333" s="69"/>
      <c r="V333" s="69"/>
      <c r="W333" s="69"/>
      <c r="X333" s="69"/>
    </row>
    <row r="334" spans="1:24">
      <c r="B334" s="16"/>
      <c r="D334" s="143" t="s">
        <v>77</v>
      </c>
      <c r="E334" s="363" t="s">
        <v>78</v>
      </c>
      <c r="F334" s="88"/>
    </row>
    <row r="335" spans="1:24">
      <c r="B335" s="16"/>
      <c r="D335" s="364" t="s">
        <v>79</v>
      </c>
      <c r="E335" s="365" t="s">
        <v>80</v>
      </c>
      <c r="F335" s="88"/>
    </row>
    <row r="336" spans="1:24">
      <c r="F336" s="596"/>
      <c r="G336" s="604"/>
      <c r="J336" s="604"/>
    </row>
    <row r="337" spans="4:14">
      <c r="D337" s="811"/>
      <c r="E337" s="812"/>
      <c r="G337" s="605"/>
      <c r="J337" s="606"/>
    </row>
    <row r="338" spans="4:14" ht="5.25" customHeight="1">
      <c r="D338" s="366"/>
      <c r="E338" s="346"/>
      <c r="K338" s="101"/>
    </row>
    <row r="339" spans="4:14">
      <c r="D339" s="653" t="s">
        <v>1276</v>
      </c>
      <c r="E339" s="346">
        <v>0</v>
      </c>
      <c r="F339" s="346"/>
      <c r="G339" s="88"/>
      <c r="J339" s="88"/>
      <c r="K339" s="101"/>
    </row>
    <row r="340" spans="4:14" ht="15.75" thickBot="1">
      <c r="D340" s="366" t="s">
        <v>89</v>
      </c>
      <c r="E340" s="376">
        <f>(E339*4)/1000</f>
        <v>0</v>
      </c>
      <c r="F340" s="346"/>
      <c r="G340" s="346"/>
      <c r="J340" s="346"/>
    </row>
    <row r="341" spans="4:14" ht="15.75" thickTop="1">
      <c r="D341" s="94" t="s">
        <v>90</v>
      </c>
      <c r="E341" s="61">
        <f>E339+E340</f>
        <v>0</v>
      </c>
      <c r="F341" s="61"/>
      <c r="G341" s="61"/>
      <c r="J341" s="61"/>
      <c r="K341" s="101"/>
    </row>
    <row r="342" spans="4:14">
      <c r="D342" s="94"/>
      <c r="E342" s="61"/>
      <c r="G342" s="88"/>
      <c r="J342" s="270"/>
      <c r="K342" s="101"/>
      <c r="L342" s="171"/>
    </row>
    <row r="343" spans="4:14">
      <c r="D343" s="366"/>
      <c r="E343" s="346"/>
      <c r="F343" s="240"/>
      <c r="G343" s="88"/>
      <c r="K343" s="101"/>
    </row>
    <row r="344" spans="4:14">
      <c r="D344" s="665" t="s">
        <v>1372</v>
      </c>
      <c r="E344" s="346">
        <v>9895132.7599999998</v>
      </c>
      <c r="F344" s="346"/>
      <c r="G344" s="88"/>
      <c r="H344" s="240"/>
      <c r="I344" s="88"/>
      <c r="J344" s="595"/>
      <c r="K344" s="284"/>
      <c r="N344" s="362"/>
    </row>
    <row r="345" spans="4:14" ht="15.75" thickBot="1">
      <c r="D345" s="667" t="s">
        <v>1373</v>
      </c>
      <c r="E345" s="376">
        <v>649819549.84000003</v>
      </c>
      <c r="F345" s="346"/>
      <c r="G345" s="88"/>
      <c r="H345" s="346"/>
      <c r="I345" s="346"/>
      <c r="J345" s="346"/>
      <c r="K345" s="101"/>
      <c r="L345" s="346"/>
      <c r="M345" s="88"/>
      <c r="N345" s="362"/>
    </row>
    <row r="346" spans="4:14" ht="15.75" thickTop="1">
      <c r="D346" s="103" t="s">
        <v>81</v>
      </c>
      <c r="E346" s="93">
        <f>SUM(E344:E345)</f>
        <v>659714682.60000002</v>
      </c>
      <c r="F346" s="346"/>
      <c r="G346" s="598"/>
      <c r="H346" s="240"/>
      <c r="I346" s="88"/>
      <c r="J346" s="595"/>
      <c r="K346" s="101"/>
      <c r="N346" s="362"/>
    </row>
    <row r="347" spans="4:14" ht="14.25" customHeight="1">
      <c r="D347" s="367"/>
      <c r="E347" s="361"/>
      <c r="F347" s="346"/>
      <c r="G347" s="598"/>
      <c r="H347" s="595"/>
      <c r="I347" s="598"/>
      <c r="J347" s="595"/>
      <c r="K347" s="101"/>
      <c r="N347" s="362"/>
    </row>
    <row r="348" spans="4:14">
      <c r="D348" s="269" t="s">
        <v>91</v>
      </c>
      <c r="E348" s="270">
        <f>E346-E341</f>
        <v>659714682.60000002</v>
      </c>
      <c r="F348" s="346"/>
      <c r="G348" s="598"/>
      <c r="H348" s="595"/>
      <c r="I348" s="598"/>
      <c r="J348" s="595"/>
      <c r="K348" s="278"/>
    </row>
    <row r="349" spans="4:14">
      <c r="D349" s="269"/>
      <c r="E349" s="270"/>
      <c r="F349" s="346"/>
      <c r="G349" s="607"/>
      <c r="H349" s="595"/>
      <c r="I349" s="598"/>
      <c r="J349" s="595"/>
      <c r="K349" s="278"/>
    </row>
    <row r="350" spans="4:14">
      <c r="G350" s="596"/>
    </row>
    <row r="351" spans="4:14">
      <c r="G351" s="596"/>
    </row>
    <row r="352" spans="4:14">
      <c r="D352" s="668" t="s">
        <v>1332</v>
      </c>
      <c r="E352" s="314">
        <v>49307.59</v>
      </c>
      <c r="F352" s="314">
        <v>2616.5500000000002</v>
      </c>
    </row>
    <row r="353" spans="3:13">
      <c r="D353" s="573" t="s">
        <v>1374</v>
      </c>
      <c r="E353" s="315">
        <v>42986747.845670037</v>
      </c>
      <c r="F353" s="369">
        <f>E353/480</f>
        <v>89555.724678479237</v>
      </c>
      <c r="G353" s="175">
        <f>F353+E354</f>
        <v>92921.171719599719</v>
      </c>
    </row>
    <row r="354" spans="3:13">
      <c r="C354" s="69"/>
      <c r="D354" s="573" t="s">
        <v>1375</v>
      </c>
      <c r="E354" s="314">
        <v>3365.4470411204775</v>
      </c>
    </row>
    <row r="355" spans="3:13">
      <c r="C355" s="69"/>
      <c r="D355" s="574" t="s">
        <v>1376</v>
      </c>
      <c r="E355" s="315">
        <v>533084.43346177775</v>
      </c>
      <c r="F355" s="370">
        <f>E355/7.46</f>
        <v>71459.039338039918</v>
      </c>
      <c r="G355" s="175">
        <f>F355+E356</f>
        <v>77729.679338039918</v>
      </c>
      <c r="L355" s="372"/>
      <c r="M355" s="372"/>
    </row>
    <row r="356" spans="3:13">
      <c r="C356" s="69"/>
      <c r="D356" s="574" t="s">
        <v>1377</v>
      </c>
      <c r="E356" s="314">
        <v>6270.6399999999994</v>
      </c>
    </row>
    <row r="357" spans="3:13">
      <c r="C357" s="69"/>
      <c r="D357" s="574" t="s">
        <v>1378</v>
      </c>
      <c r="E357" s="316">
        <v>184286.11127186328</v>
      </c>
      <c r="F357" s="377">
        <f>E357/3.52</f>
        <v>52354.008884052069</v>
      </c>
      <c r="G357" s="175">
        <f>F357+E358+F359+E360</f>
        <v>68061.921434545176</v>
      </c>
      <c r="K357" s="329"/>
      <c r="L357" s="329"/>
    </row>
    <row r="358" spans="3:13">
      <c r="C358" s="69"/>
      <c r="D358" s="574" t="s">
        <v>1379</v>
      </c>
      <c r="E358" s="314">
        <v>15216.273713283819</v>
      </c>
      <c r="F358" s="368"/>
      <c r="G358" s="341"/>
      <c r="J358" s="328"/>
    </row>
    <row r="359" spans="3:13">
      <c r="C359" s="69"/>
      <c r="D359" s="574" t="s">
        <v>1380</v>
      </c>
      <c r="E359" s="316">
        <v>1637.7799999999916</v>
      </c>
      <c r="F359" s="377">
        <f>E359/3.44</f>
        <v>476.09883720929986</v>
      </c>
      <c r="G359" s="341"/>
      <c r="J359" s="328"/>
    </row>
    <row r="360" spans="3:13">
      <c r="C360" s="69"/>
      <c r="D360" s="574" t="s">
        <v>1381</v>
      </c>
      <c r="E360" s="314">
        <v>15.540000000000061</v>
      </c>
      <c r="J360" s="328"/>
    </row>
    <row r="361" spans="3:13">
      <c r="C361" s="69"/>
      <c r="D361" s="574" t="s">
        <v>1382</v>
      </c>
      <c r="E361" s="666">
        <v>4269747.13</v>
      </c>
      <c r="F361" s="297"/>
      <c r="G361" s="171"/>
    </row>
    <row r="362" spans="3:13">
      <c r="C362" s="69"/>
      <c r="D362" s="499"/>
      <c r="E362" s="371"/>
      <c r="F362" s="371"/>
      <c r="G362" s="171"/>
    </row>
    <row r="363" spans="3:13" ht="16.5" customHeight="1">
      <c r="C363" s="69"/>
      <c r="D363" s="575" t="s">
        <v>1383</v>
      </c>
      <c r="E363" s="315">
        <f>51472.96*0</f>
        <v>0</v>
      </c>
      <c r="F363" s="119" t="s">
        <v>82</v>
      </c>
      <c r="J363" s="368"/>
      <c r="K363" s="170"/>
    </row>
    <row r="364" spans="3:13">
      <c r="C364" s="69"/>
      <c r="D364" s="243"/>
      <c r="E364" s="371"/>
      <c r="F364" s="371"/>
      <c r="G364" s="171"/>
    </row>
    <row r="366" spans="3:13">
      <c r="D366" s="366" t="s">
        <v>2</v>
      </c>
      <c r="E366" s="346">
        <v>13</v>
      </c>
    </row>
    <row r="367" spans="3:13">
      <c r="D367" s="366" t="s">
        <v>158</v>
      </c>
      <c r="E367" s="346">
        <v>17</v>
      </c>
    </row>
    <row r="368" spans="3:13">
      <c r="D368" s="366"/>
      <c r="E368" s="378"/>
    </row>
    <row r="370" spans="4:10">
      <c r="F370" s="596" t="s">
        <v>1123</v>
      </c>
      <c r="G370" s="596" t="s">
        <v>1124</v>
      </c>
      <c r="J370" s="599" t="s">
        <v>83</v>
      </c>
    </row>
    <row r="371" spans="4:10">
      <c r="D371" s="597" t="s">
        <v>1119</v>
      </c>
      <c r="E371" s="71">
        <f>189584000</f>
        <v>189584000</v>
      </c>
      <c r="F371" s="603">
        <f>(E371*F374)</f>
        <v>115938.03048292533</v>
      </c>
      <c r="G371" s="69">
        <v>5</v>
      </c>
      <c r="J371" s="603">
        <f>F371*G371</f>
        <v>579690.15241462667</v>
      </c>
    </row>
    <row r="373" spans="4:10">
      <c r="D373" s="94" t="s">
        <v>1120</v>
      </c>
      <c r="E373" s="602" t="s">
        <v>1121</v>
      </c>
      <c r="F373" s="599" t="s">
        <v>1122</v>
      </c>
    </row>
    <row r="374" spans="4:10">
      <c r="D374" s="600">
        <v>0.25</v>
      </c>
      <c r="E374" s="601">
        <f>(1+D374)^(1/12)-1</f>
        <v>1.8769265121506118E-2</v>
      </c>
      <c r="F374" s="601">
        <f>(1+D374)^(1/365)-1</f>
        <v>6.1153910922295829E-4</v>
      </c>
    </row>
    <row r="381" spans="4:10">
      <c r="F381" s="88"/>
    </row>
  </sheetData>
  <protectedRanges>
    <protectedRange sqref="E332 F120:G120 E33:E36 F36 E45:E48 E39:E42 L245 E30:F30 J97:J102 E43:F44 E17:E29 E37:F38 F46:F48 E50:E52 E49:F49 E5:F6 J68:J74 E245:E247 L247 F7:F12" name="Presupuestos"/>
    <protectedRange sqref="E124" name="Presupuestos_1"/>
    <protectedRange sqref="E31:E32" name="Presupuestos_4"/>
    <protectedRange sqref="K139" name="Presupuestos_1_1_1_1"/>
    <protectedRange sqref="K273:K274 K296:K298" name="Presupuestos_2_1"/>
    <protectedRange sqref="K240" name="Presupuestos_7"/>
    <protectedRange sqref="E133:E135" name="Presupuestos_10"/>
    <protectedRange sqref="E210:E212 E214 E140 E143:E151 E228 E237 E154:E158 E161:E162 E231:E235 E164:E165" name="Presupuestos_13_1"/>
    <protectedRange sqref="E167:E169" name="Presupuestos_14"/>
    <protectedRange sqref="E171:E176" name="Presupuestos_2_3"/>
    <protectedRange sqref="E213 E220 E218 E141:E142 E230 E215:E216 E152:E153 E226:E227 E163 E236" name="Presupuestos_16_1"/>
    <protectedRange sqref="E221 E209" name="Presupuestos_5_1_2"/>
    <protectedRange sqref="E249:E260" name="Presupuestos_18"/>
    <protectedRange sqref="E264:E268" name="Presupuestos_20"/>
    <protectedRange sqref="E273:E274 E296:E298" name="Presupuestos_5_2_1"/>
    <protectedRange sqref="E127" name="Presupuestos_6_2"/>
    <protectedRange sqref="E224:E225" name="Presupuestos_5_3_1"/>
    <protectedRange sqref="E240" name="Presupuestos_7_1_1"/>
    <protectedRange sqref="J36:J37" name="Presupuestos_2"/>
    <protectedRange sqref="E187:E188 E190:E192" name="Presupuestos_15_1"/>
    <protectedRange sqref="E194:E195" name="Presupuestos_15_3"/>
    <protectedRange sqref="E217 E229 E238" name="Presupuestos_5_3_1_1"/>
    <protectedRange sqref="E261:E262" name="Presupuestos_18_1"/>
    <protectedRange sqref="E219" name="Presupuestos_16_1_2"/>
    <protectedRange sqref="E222:E223" name="Presupuestos_16_1_3"/>
    <protectedRange sqref="E159:E160" name="Presupuestos_13_1_1"/>
  </protectedRanges>
  <autoFilter ref="C124:K327" xr:uid="{00000000-0009-0000-0000-000002000000}"/>
  <mergeCells count="1">
    <mergeCell ref="D337:E337"/>
  </mergeCells>
  <conditionalFormatting sqref="H347:H349">
    <cfRule type="cellIs" dxfId="95" priority="11" operator="lessThan">
      <formula>0</formula>
    </cfRule>
    <cfRule type="cellIs" dxfId="94" priority="12" operator="between">
      <formula>6</formula>
      <formula>15</formula>
    </cfRule>
    <cfRule type="cellIs" dxfId="93" priority="13" operator="between">
      <formula>1</formula>
      <formula>5</formula>
    </cfRule>
    <cfRule type="cellIs" dxfId="92" priority="14" operator="between">
      <formula>16</formula>
      <formula>60</formula>
    </cfRule>
  </conditionalFormatting>
  <conditionalFormatting sqref="J1:J13 J17:J336 J342:J1048576">
    <cfRule type="cellIs" dxfId="91" priority="25" operator="lessThan">
      <formula>0</formula>
    </cfRule>
  </conditionalFormatting>
  <conditionalFormatting sqref="J1:J13 J128:J336 J342:J1048576">
    <cfRule type="cellIs" dxfId="90" priority="36" operator="between">
      <formula>1</formula>
      <formula>5</formula>
    </cfRule>
    <cfRule type="cellIs" dxfId="89" priority="37" operator="between">
      <formula>16</formula>
      <formula>60</formula>
    </cfRule>
  </conditionalFormatting>
  <conditionalFormatting sqref="J17:J127 J300:J306">
    <cfRule type="cellIs" dxfId="88" priority="16" operator="between">
      <formula>6</formula>
      <formula>15</formula>
    </cfRule>
    <cfRule type="cellIs" dxfId="87" priority="17" operator="between">
      <formula>1</formula>
      <formula>5</formula>
    </cfRule>
    <cfRule type="cellIs" dxfId="86" priority="18" operator="between">
      <formula>16</formula>
      <formula>60</formula>
    </cfRule>
  </conditionalFormatting>
  <conditionalFormatting sqref="J128:J336 J1:J13 J342:J1048576">
    <cfRule type="cellIs" dxfId="85" priority="35" operator="between">
      <formula>6</formula>
      <formula>15</formula>
    </cfRule>
  </conditionalFormatting>
  <conditionalFormatting sqref="J130:J131 J167:J169 J185 J190">
    <cfRule type="cellIs" dxfId="84" priority="32" operator="between">
      <formula>6</formula>
      <formula>15</formula>
    </cfRule>
    <cfRule type="cellIs" dxfId="83" priority="33" operator="between">
      <formula>1</formula>
      <formula>5</formula>
    </cfRule>
    <cfRule type="cellIs" dxfId="82" priority="34" operator="between">
      <formula>16</formula>
      <formula>60</formula>
    </cfRule>
  </conditionalFormatting>
  <conditionalFormatting sqref="J133:J135">
    <cfRule type="cellIs" dxfId="81" priority="22" operator="between">
      <formula>6</formula>
      <formula>15</formula>
    </cfRule>
    <cfRule type="cellIs" dxfId="80" priority="23" operator="between">
      <formula>1</formula>
      <formula>5</formula>
    </cfRule>
    <cfRule type="cellIs" dxfId="79" priority="24" operator="between">
      <formula>16</formula>
      <formula>60</formula>
    </cfRule>
  </conditionalFormatting>
  <conditionalFormatting sqref="J240">
    <cfRule type="cellIs" dxfId="78" priority="29" operator="between">
      <formula>6</formula>
      <formula>15</formula>
    </cfRule>
    <cfRule type="cellIs" dxfId="77" priority="30" operator="between">
      <formula>1</formula>
      <formula>5</formula>
    </cfRule>
    <cfRule type="cellIs" dxfId="76" priority="31" operator="between">
      <formula>16</formula>
      <formula>60</formula>
    </cfRule>
  </conditionalFormatting>
  <conditionalFormatting sqref="J242:J243">
    <cfRule type="cellIs" dxfId="75" priority="26" operator="between">
      <formula>6</formula>
      <formula>15</formula>
    </cfRule>
    <cfRule type="cellIs" dxfId="74" priority="27" operator="between">
      <formula>1</formula>
      <formula>5</formula>
    </cfRule>
    <cfRule type="cellIs" dxfId="73" priority="28" operator="between">
      <formula>16</formula>
      <formula>60</formula>
    </cfRule>
  </conditionalFormatting>
  <conditionalFormatting sqref="J298">
    <cfRule type="cellIs" dxfId="72" priority="8" operator="between">
      <formula>6</formula>
      <formula>15</formula>
    </cfRule>
    <cfRule type="cellIs" dxfId="71" priority="9" operator="between">
      <formula>1</formula>
      <formula>5</formula>
    </cfRule>
    <cfRule type="cellIs" dxfId="70" priority="10" operator="between">
      <formula>16</formula>
      <formula>60</formula>
    </cfRule>
  </conditionalFormatting>
  <dataValidations count="6">
    <dataValidation type="list" allowBlank="1" showInputMessage="1" showErrorMessage="1" sqref="C14:C52 C54:C119 C6:C12" xr:uid="{B5177591-4ABD-478C-A169-73E26BA24B7C}">
      <formula1>"Pagado, Sin Pagar"</formula1>
    </dataValidation>
    <dataValidation type="list" allowBlank="1" showInputMessage="1" showErrorMessage="1" sqref="F53" xr:uid="{87DF2F7B-73B9-42CC-995A-2B0ADF50065A}">
      <formula1>"25%,50%,75%,80%,90%,95%,100%"</formula1>
    </dataValidation>
    <dataValidation type="list" allowBlank="1" showInputMessage="1" showErrorMessage="1" sqref="E123" xr:uid="{D11A48DD-0721-42B8-8690-54785174A99C}">
      <formula1>"ENERO,FEBRERO,MARZO,ABRIL,MAYO,JUNIO,JULIO,AGOSTO,SEPTIEMBRE,OCTUBRE,NOVIEMBRE,DICIEMBRE"</formula1>
    </dataValidation>
    <dataValidation type="list" allowBlank="1" showInputMessage="1" showErrorMessage="1" sqref="G333:G335 G209:G238 G242:G243 G190:G207 G270:G298 G264:G268 G137:G138 G133:G135 G240 G249:G262 G126:G131 G171:G176 G245:G247 G178:G183 G308:G327 G140:G165 G185:G188 G300:G306 G167:G169" xr:uid="{1192E91E-8BE9-48A2-BBB2-F001D9D6E7DF}">
      <formula1>"Cancelado,Pagar,Sin Pagar"</formula1>
    </dataValidation>
    <dataValidation type="list" allowBlank="1" showInputMessage="1" showErrorMessage="1" sqref="F50 F52" xr:uid="{ED08A7B5-1B89-4014-81E2-11633241B078}">
      <formula1>"10%,15%,20%,21%,22%,23%,24%,25%,26%,27%,28%,29%,30%,35%,40%,50%,100%"</formula1>
    </dataValidation>
    <dataValidation type="list" allowBlank="1" showInputMessage="1" showErrorMessage="1" sqref="G371" xr:uid="{09C2BB0D-73C6-453C-8BDA-CBA83407301B}">
      <formula1>"1,2,3,4,5,6,7,8,9,10,11,12,13,14,15,16,17,18,19,20,21,22,23,24,25,26,27,28,29,30"</formula1>
    </dataValidation>
  </dataValidations>
  <pageMargins left="0.7" right="0.7" top="0.75" bottom="0.75" header="0.3" footer="0.3"/>
  <pageSetup paperSize="9" orientation="portrait" r:id="rId1"/>
  <ignoredErrors>
    <ignoredError sqref="G36:G37 G45:G46 K25 G22:G29 J261 G54:G57 J248:J257 G113:G119 G60:G79 G82:G111 J263:J320 J126:J130 K107:K109 L108 J184:J194 J170:J182 J132:J164 J196:J246 J166:J168 J325 J321:J324 J326:J327" unlockedFormula="1"/>
    <ignoredError sqref="K112:M112" formulaRange="1"/>
    <ignoredError sqref="C320:C324"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D9658-4F03-4187-8069-A1D56A242C4F}">
  <sheetPr codeName="Hoja5"/>
  <dimension ref="A1:X347"/>
  <sheetViews>
    <sheetView showGridLines="0" topLeftCell="C2" zoomScaleNormal="100" workbookViewId="0">
      <selection activeCell="G312" sqref="G312"/>
      <extLst>
        <ext xmlns:xlsdti="http://schemas.microsoft.com/office/spreadsheetml/2023/showDataTypeIcons" uri="{77bfe23e-c014-4d31-8a63-9c772dbf06b6}">
          <xlsdti:showDataTypeIcons visible="0"/>
        </ext>
      </extLst>
    </sheetView>
  </sheetViews>
  <sheetFormatPr baseColWidth="10" defaultColWidth="11.42578125" defaultRowHeight="15" outlineLevelRow="1"/>
  <cols>
    <col min="1" max="1" width="10.140625" style="69" hidden="1" customWidth="1"/>
    <col min="2" max="2" width="6.5703125" style="69" hidden="1" customWidth="1"/>
    <col min="3" max="3" width="18.140625" style="70" customWidth="1"/>
    <col min="4" max="4" width="81.42578125" style="69" customWidth="1"/>
    <col min="5" max="5" width="24.42578125" style="71" customWidth="1"/>
    <col min="6" max="6" width="24.7109375" style="69" customWidth="1"/>
    <col min="7" max="7" width="14.7109375" style="69" customWidth="1"/>
    <col min="8" max="9" width="9.42578125" style="69" hidden="1" customWidth="1"/>
    <col min="10" max="10" width="15.85546875" style="69" customWidth="1"/>
    <col min="11" max="11" width="19.5703125" style="69" customWidth="1"/>
    <col min="12" max="12" width="21.5703125" style="69" bestFit="1" customWidth="1"/>
    <col min="13" max="13" width="15.7109375" style="69" customWidth="1"/>
    <col min="14" max="14" width="13.85546875" style="69" bestFit="1" customWidth="1"/>
    <col min="15" max="17" width="15.85546875" style="69" customWidth="1"/>
    <col min="18" max="18" width="14.5703125" style="69" bestFit="1" customWidth="1"/>
    <col min="19" max="19" width="13.140625" style="69" bestFit="1" customWidth="1"/>
    <col min="20" max="20" width="26.140625" style="69" customWidth="1"/>
    <col min="21" max="21" width="19.28515625" style="69" bestFit="1" customWidth="1"/>
    <col min="22" max="22" width="15.28515625" style="69" bestFit="1" customWidth="1"/>
    <col min="23" max="23" width="14" style="69" bestFit="1" customWidth="1"/>
    <col min="24" max="24" width="13" style="69" bestFit="1" customWidth="1"/>
    <col min="25" max="16384" width="11.42578125" style="69"/>
  </cols>
  <sheetData>
    <row r="1" spans="1:11" ht="15" hidden="1" customHeight="1">
      <c r="E1" s="346">
        <v>42400</v>
      </c>
    </row>
    <row r="2" spans="1:11">
      <c r="E2" s="23"/>
      <c r="I2" s="16">
        <v>1</v>
      </c>
    </row>
    <row r="3" spans="1:11">
      <c r="E3" s="23"/>
      <c r="I3" s="16">
        <v>2</v>
      </c>
    </row>
    <row r="4" spans="1:11" s="21" customFormat="1" ht="15.75">
      <c r="D4" s="20" t="s">
        <v>1</v>
      </c>
      <c r="E4" s="19">
        <f>SUBTOTAL(9,E5:E9)</f>
        <v>698971029.63000035</v>
      </c>
      <c r="F4" s="22"/>
      <c r="I4" s="16">
        <v>3</v>
      </c>
    </row>
    <row r="5" spans="1:11" s="16" customFormat="1" outlineLevel="1">
      <c r="C5" s="24"/>
      <c r="D5" s="9" t="s">
        <v>2</v>
      </c>
      <c r="E5" s="350">
        <f>FEBRERO!E330</f>
        <v>659714682.60000038</v>
      </c>
      <c r="F5" s="350"/>
      <c r="G5" s="350"/>
      <c r="I5" s="16">
        <v>4</v>
      </c>
    </row>
    <row r="6" spans="1:11" s="16" customFormat="1" outlineLevel="1">
      <c r="C6" s="348" t="s">
        <v>4</v>
      </c>
      <c r="D6" s="231" t="s">
        <v>1394</v>
      </c>
      <c r="E6" s="348">
        <v>59698832.18</v>
      </c>
      <c r="F6" s="350">
        <v>59489365.3627</v>
      </c>
      <c r="G6" s="350">
        <f>E6-F6</f>
        <v>209466.8172999993</v>
      </c>
    </row>
    <row r="7" spans="1:11" s="16" customFormat="1" outlineLevel="1">
      <c r="C7" s="348" t="s">
        <v>4</v>
      </c>
      <c r="D7" s="231" t="s">
        <v>1548</v>
      </c>
      <c r="E7" s="348">
        <v>311941</v>
      </c>
      <c r="F7" s="350"/>
      <c r="G7" s="350"/>
    </row>
    <row r="8" spans="1:11" s="16" customFormat="1" outlineLevel="1">
      <c r="C8" s="348"/>
      <c r="D8" s="231" t="s">
        <v>1667</v>
      </c>
      <c r="E8" s="348">
        <f>-(6145*3704.87)</f>
        <v>-22766426.149999999</v>
      </c>
      <c r="F8" s="350"/>
      <c r="G8" s="350"/>
    </row>
    <row r="9" spans="1:11" s="16" customFormat="1" outlineLevel="1">
      <c r="C9" s="348" t="s">
        <v>4</v>
      </c>
      <c r="D9" s="231" t="s">
        <v>1642</v>
      </c>
      <c r="E9" s="348">
        <v>2012000</v>
      </c>
      <c r="F9" s="350"/>
      <c r="G9" s="350"/>
    </row>
    <row r="10" spans="1:11" s="16" customFormat="1" ht="15.75">
      <c r="C10" s="24"/>
      <c r="D10" s="20" t="s">
        <v>3</v>
      </c>
      <c r="E10" s="19">
        <f>SUBTOTAL(9,E11:E45)</f>
        <v>238014911.574</v>
      </c>
      <c r="F10" s="99"/>
    </row>
    <row r="11" spans="1:11" s="16" customFormat="1" ht="14.25" customHeight="1" outlineLevel="1">
      <c r="A11" s="24"/>
      <c r="B11" s="347"/>
      <c r="C11" s="348" t="s">
        <v>4</v>
      </c>
      <c r="D11" s="717" t="s">
        <v>1462</v>
      </c>
      <c r="E11" s="773">
        <v>4870966.3600000003</v>
      </c>
      <c r="F11" s="241"/>
      <c r="G11" s="25"/>
      <c r="J11" s="25"/>
      <c r="K11" s="25"/>
    </row>
    <row r="12" spans="1:11" s="16" customFormat="1" ht="14.25" customHeight="1" outlineLevel="1">
      <c r="A12" s="24"/>
      <c r="B12" s="347"/>
      <c r="C12" s="348" t="s">
        <v>4</v>
      </c>
      <c r="D12" s="688" t="s">
        <v>1406</v>
      </c>
      <c r="E12" s="772">
        <v>34362712.649999999</v>
      </c>
      <c r="F12" s="8"/>
      <c r="G12" s="25"/>
      <c r="J12" s="25"/>
      <c r="K12" s="25"/>
    </row>
    <row r="13" spans="1:11" s="16" customFormat="1" ht="14.25" customHeight="1" outlineLevel="1">
      <c r="A13" s="24"/>
      <c r="B13" s="347"/>
      <c r="C13" s="348" t="s">
        <v>4</v>
      </c>
      <c r="D13" s="688" t="s">
        <v>1407</v>
      </c>
      <c r="E13" s="772">
        <v>2104000</v>
      </c>
      <c r="F13" s="8"/>
      <c r="G13" s="25"/>
      <c r="J13" s="25"/>
      <c r="K13" s="25"/>
    </row>
    <row r="14" spans="1:11" s="16" customFormat="1" outlineLevel="1">
      <c r="C14" s="232" t="s">
        <v>4</v>
      </c>
      <c r="D14" s="231" t="s">
        <v>1408</v>
      </c>
      <c r="E14" s="772">
        <v>2717002.88</v>
      </c>
      <c r="F14" s="8"/>
      <c r="G14" s="25"/>
      <c r="K14" s="25"/>
    </row>
    <row r="15" spans="1:11" s="16" customFormat="1" outlineLevel="1">
      <c r="C15" s="232" t="s">
        <v>4</v>
      </c>
      <c r="D15" s="231" t="s">
        <v>1566</v>
      </c>
      <c r="E15" s="772">
        <v>6766084.2000000002</v>
      </c>
      <c r="F15" s="8"/>
      <c r="G15" s="25"/>
      <c r="K15" s="25"/>
    </row>
    <row r="16" spans="1:11" s="16" customFormat="1" outlineLevel="1">
      <c r="C16" s="8" t="s">
        <v>5</v>
      </c>
      <c r="D16" s="9" t="s">
        <v>1409</v>
      </c>
      <c r="E16" s="774">
        <f>2503090.56*0</f>
        <v>0</v>
      </c>
      <c r="F16" s="8"/>
      <c r="G16" s="25"/>
      <c r="K16" s="25"/>
    </row>
    <row r="17" spans="3:11" s="16" customFormat="1" outlineLevel="1">
      <c r="C17" s="8" t="s">
        <v>5</v>
      </c>
      <c r="D17" s="9" t="s">
        <v>1410</v>
      </c>
      <c r="E17" s="774">
        <f>177905*0</f>
        <v>0</v>
      </c>
      <c r="F17" s="8"/>
      <c r="G17" s="25"/>
      <c r="K17" s="25"/>
    </row>
    <row r="18" spans="3:11" s="16" customFormat="1" outlineLevel="1">
      <c r="C18" s="232" t="s">
        <v>5</v>
      </c>
      <c r="D18" s="231" t="s">
        <v>1478</v>
      </c>
      <c r="E18" s="772">
        <v>2015276.25</v>
      </c>
      <c r="F18" s="8"/>
      <c r="G18" s="25"/>
      <c r="K18" s="25"/>
    </row>
    <row r="19" spans="3:11" s="16" customFormat="1" outlineLevel="1">
      <c r="C19" s="232" t="s">
        <v>5</v>
      </c>
      <c r="D19" s="231" t="s">
        <v>1482</v>
      </c>
      <c r="E19" s="772">
        <v>504664</v>
      </c>
      <c r="F19" s="8"/>
      <c r="G19" s="25"/>
      <c r="K19" s="25"/>
    </row>
    <row r="20" spans="3:11" s="16" customFormat="1" outlineLevel="1">
      <c r="C20" s="232" t="s">
        <v>4</v>
      </c>
      <c r="D20" s="231" t="s">
        <v>1411</v>
      </c>
      <c r="E20" s="772">
        <v>2015276.25</v>
      </c>
      <c r="F20" s="8"/>
      <c r="G20" s="25"/>
      <c r="K20" s="25"/>
    </row>
    <row r="21" spans="3:11" s="16" customFormat="1" outlineLevel="1">
      <c r="C21" s="232" t="s">
        <v>4</v>
      </c>
      <c r="D21" s="231" t="s">
        <v>1446</v>
      </c>
      <c r="E21" s="772">
        <v>42535444.279000007</v>
      </c>
      <c r="F21" s="8">
        <v>41874832.762199998</v>
      </c>
      <c r="G21" s="25">
        <f>(E21-F21)</f>
        <v>660611.51680000871</v>
      </c>
      <c r="K21" s="25"/>
    </row>
    <row r="22" spans="3:11" s="16" customFormat="1" outlineLevel="1">
      <c r="C22" s="232" t="s">
        <v>4</v>
      </c>
      <c r="D22" s="231" t="s">
        <v>1447</v>
      </c>
      <c r="E22" s="772">
        <v>39759247.835000008</v>
      </c>
      <c r="F22" s="8">
        <v>39196672.353</v>
      </c>
      <c r="G22" s="25">
        <f>(E22-F22)</f>
        <v>562575.48200000823</v>
      </c>
      <c r="K22" s="25"/>
    </row>
    <row r="23" spans="3:11" s="16" customFormat="1" outlineLevel="1">
      <c r="C23" s="350" t="s">
        <v>5</v>
      </c>
      <c r="D23" s="9" t="s">
        <v>109</v>
      </c>
      <c r="E23" s="774">
        <f>7528323*0</f>
        <v>0</v>
      </c>
      <c r="F23" s="349"/>
      <c r="G23" s="137"/>
      <c r="K23" s="25"/>
    </row>
    <row r="24" spans="3:11" s="16" customFormat="1" outlineLevel="1">
      <c r="C24" s="350" t="s">
        <v>5</v>
      </c>
      <c r="D24" s="9" t="s">
        <v>1070</v>
      </c>
      <c r="E24" s="774">
        <f>5391183.76*0</f>
        <v>0</v>
      </c>
      <c r="F24" s="136"/>
      <c r="G24" s="25"/>
      <c r="K24" s="25"/>
    </row>
    <row r="25" spans="3:11" s="16" customFormat="1" outlineLevel="1">
      <c r="C25" s="350" t="s">
        <v>5</v>
      </c>
      <c r="D25" s="9" t="s">
        <v>778</v>
      </c>
      <c r="E25" s="774">
        <f>23310882*0</f>
        <v>0</v>
      </c>
      <c r="F25" s="136"/>
      <c r="G25" s="25"/>
      <c r="K25" s="25"/>
    </row>
    <row r="26" spans="3:11" s="16" customFormat="1" outlineLevel="1">
      <c r="C26" s="348" t="s">
        <v>4</v>
      </c>
      <c r="D26" s="231" t="s">
        <v>1550</v>
      </c>
      <c r="E26" s="772">
        <v>3312381</v>
      </c>
      <c r="F26" s="97"/>
      <c r="K26" s="25"/>
    </row>
    <row r="27" spans="3:11" s="16" customFormat="1" outlineLevel="1">
      <c r="C27" s="348" t="s">
        <v>4</v>
      </c>
      <c r="D27" s="231" t="s">
        <v>1641</v>
      </c>
      <c r="E27" s="772">
        <v>560489</v>
      </c>
      <c r="F27" s="97"/>
      <c r="K27" s="25"/>
    </row>
    <row r="28" spans="3:11" s="16" customFormat="1" outlineLevel="1">
      <c r="C28" s="348" t="s">
        <v>4</v>
      </c>
      <c r="D28" s="231" t="s">
        <v>1455</v>
      </c>
      <c r="E28" s="772">
        <v>405352</v>
      </c>
      <c r="F28" s="97"/>
      <c r="K28" s="25"/>
    </row>
    <row r="29" spans="3:11" s="16" customFormat="1" outlineLevel="1">
      <c r="C29" s="765" t="s">
        <v>4</v>
      </c>
      <c r="D29" s="766" t="s">
        <v>1615</v>
      </c>
      <c r="E29" s="772">
        <v>920132.14</v>
      </c>
      <c r="F29" s="169"/>
      <c r="K29" s="25"/>
    </row>
    <row r="30" spans="3:11" s="16" customFormat="1" outlineLevel="1">
      <c r="C30" s="348" t="s">
        <v>4</v>
      </c>
      <c r="D30" s="231" t="s">
        <v>1412</v>
      </c>
      <c r="E30" s="772">
        <v>18921370.719999999</v>
      </c>
      <c r="F30" s="241"/>
      <c r="G30" s="25"/>
      <c r="K30" s="25"/>
    </row>
    <row r="31" spans="3:11" s="16" customFormat="1" ht="14.25" customHeight="1" outlineLevel="1">
      <c r="C31" s="348" t="s">
        <v>4</v>
      </c>
      <c r="D31" s="724" t="s">
        <v>1479</v>
      </c>
      <c r="E31" s="775">
        <v>30962053.219999999</v>
      </c>
      <c r="F31" s="539">
        <v>31750578.100000001</v>
      </c>
      <c r="G31" s="25">
        <f>+E31-F31</f>
        <v>-788524.88000000268</v>
      </c>
      <c r="J31" s="241"/>
      <c r="K31" s="25"/>
    </row>
    <row r="32" spans="3:11" s="16" customFormat="1" outlineLevel="1">
      <c r="C32" s="350" t="s">
        <v>5</v>
      </c>
      <c r="D32" s="9" t="s">
        <v>1413</v>
      </c>
      <c r="E32" s="774">
        <f>1719065*0</f>
        <v>0</v>
      </c>
      <c r="F32" s="172"/>
      <c r="I32" s="16">
        <v>4</v>
      </c>
      <c r="K32" s="25"/>
    </row>
    <row r="33" spans="3:19" s="16" customFormat="1" outlineLevel="1">
      <c r="C33" s="350" t="s">
        <v>5</v>
      </c>
      <c r="D33" s="9" t="s">
        <v>1414</v>
      </c>
      <c r="E33" s="774">
        <f>723071*0</f>
        <v>0</v>
      </c>
      <c r="F33" s="97"/>
      <c r="K33" s="25"/>
    </row>
    <row r="34" spans="3:19" s="16" customFormat="1" outlineLevel="1">
      <c r="C34" s="348" t="s">
        <v>4</v>
      </c>
      <c r="D34" s="231" t="s">
        <v>1549</v>
      </c>
      <c r="E34" s="772">
        <f>7328987</f>
        <v>7328987</v>
      </c>
      <c r="F34" s="97"/>
      <c r="K34" s="25"/>
    </row>
    <row r="35" spans="3:19" s="16" customFormat="1" outlineLevel="1">
      <c r="C35" s="350" t="s">
        <v>5</v>
      </c>
      <c r="D35" s="9" t="s">
        <v>1567</v>
      </c>
      <c r="E35" s="774">
        <f>2013039*0</f>
        <v>0</v>
      </c>
      <c r="F35" s="97"/>
      <c r="K35" s="25"/>
    </row>
    <row r="36" spans="3:19" s="16" customFormat="1" outlineLevel="1">
      <c r="C36" s="350" t="s">
        <v>5</v>
      </c>
      <c r="D36" s="9" t="s">
        <v>1415</v>
      </c>
      <c r="E36" s="774">
        <f>1264316.04*0</f>
        <v>0</v>
      </c>
      <c r="F36" s="241"/>
      <c r="K36" s="25"/>
    </row>
    <row r="37" spans="3:19" s="16" customFormat="1" outlineLevel="1">
      <c r="C37" s="348" t="s">
        <v>4</v>
      </c>
      <c r="D37" s="231" t="s">
        <v>1417</v>
      </c>
      <c r="E37" s="772">
        <v>1451213.81</v>
      </c>
      <c r="F37" s="349"/>
      <c r="K37" s="25"/>
    </row>
    <row r="38" spans="3:19" s="16" customFormat="1" outlineLevel="1">
      <c r="C38" s="348" t="s">
        <v>4</v>
      </c>
      <c r="D38" s="231" t="s">
        <v>1420</v>
      </c>
      <c r="E38" s="772">
        <v>18182067.66</v>
      </c>
      <c r="F38" s="349"/>
      <c r="K38" s="25"/>
    </row>
    <row r="39" spans="3:19" s="16" customFormat="1" outlineLevel="1">
      <c r="C39" s="348" t="s">
        <v>4</v>
      </c>
      <c r="D39" s="231" t="s">
        <v>1421</v>
      </c>
      <c r="E39" s="772">
        <v>7948929.0199999996</v>
      </c>
      <c r="F39" s="349"/>
      <c r="K39" s="25"/>
    </row>
    <row r="40" spans="3:19" s="16" customFormat="1" outlineLevel="1">
      <c r="C40" s="348" t="s">
        <v>4</v>
      </c>
      <c r="D40" s="231" t="s">
        <v>1661</v>
      </c>
      <c r="E40" s="772">
        <v>7402389</v>
      </c>
      <c r="F40" s="349"/>
      <c r="K40" s="25"/>
    </row>
    <row r="41" spans="3:19" s="16" customFormat="1" outlineLevel="1">
      <c r="C41" s="350" t="s">
        <v>5</v>
      </c>
      <c r="D41" s="9" t="s">
        <v>1416</v>
      </c>
      <c r="E41" s="774">
        <f>19087032.49*0</f>
        <v>0</v>
      </c>
      <c r="F41" s="349"/>
      <c r="K41" s="25"/>
    </row>
    <row r="42" spans="3:19" s="16" customFormat="1" outlineLevel="1">
      <c r="C42" s="350" t="s">
        <v>5</v>
      </c>
      <c r="D42" s="9" t="s">
        <v>1418</v>
      </c>
      <c r="E42" s="774">
        <f>6463289.78*0</f>
        <v>0</v>
      </c>
      <c r="F42" s="100"/>
      <c r="J42" s="434"/>
      <c r="K42" s="25"/>
    </row>
    <row r="43" spans="3:19" s="16" customFormat="1" outlineLevel="1">
      <c r="C43" s="770" t="s">
        <v>4</v>
      </c>
      <c r="D43" s="783" t="s">
        <v>1732</v>
      </c>
      <c r="E43" s="772">
        <v>1955609.64</v>
      </c>
      <c r="F43" s="100"/>
      <c r="J43" s="434"/>
      <c r="K43" s="25"/>
    </row>
    <row r="44" spans="3:19" s="16" customFormat="1" outlineLevel="1">
      <c r="C44" s="232" t="s">
        <v>4</v>
      </c>
      <c r="D44" s="231" t="s">
        <v>1564</v>
      </c>
      <c r="E44" s="772">
        <v>1013262.66</v>
      </c>
      <c r="F44" s="241"/>
      <c r="G44" s="25"/>
      <c r="J44" s="235"/>
      <c r="K44" s="25"/>
      <c r="L44" s="237"/>
    </row>
    <row r="45" spans="3:19" s="16" customFormat="1" outlineLevel="1">
      <c r="C45" s="350" t="s">
        <v>5</v>
      </c>
      <c r="D45" s="9" t="s">
        <v>1565</v>
      </c>
      <c r="E45" s="774">
        <f>2033960.42*0</f>
        <v>0</v>
      </c>
      <c r="F45" s="100"/>
      <c r="K45" s="25"/>
    </row>
    <row r="46" spans="3:19" s="16" customFormat="1" ht="15" customHeight="1">
      <c r="C46" s="24"/>
      <c r="D46" s="20" t="s">
        <v>1405</v>
      </c>
      <c r="E46" s="19">
        <f>SUBTOTAL(9,E47:E95)</f>
        <v>2551453271.4878001</v>
      </c>
      <c r="F46" s="72">
        <v>1</v>
      </c>
      <c r="S46" s="26"/>
    </row>
    <row r="47" spans="3:19" s="16" customFormat="1" outlineLevel="1">
      <c r="C47" s="232" t="s">
        <v>4</v>
      </c>
      <c r="D47" s="231" t="s">
        <v>1506</v>
      </c>
      <c r="E47" s="772">
        <v>1287215.8</v>
      </c>
      <c r="F47" s="624">
        <v>1279036.5432</v>
      </c>
      <c r="G47" s="25">
        <f>(E47-F47)</f>
        <v>8179.2568000000902</v>
      </c>
      <c r="S47" s="26"/>
    </row>
    <row r="48" spans="3:19" s="16" customFormat="1" outlineLevel="1">
      <c r="C48" s="232" t="s">
        <v>4</v>
      </c>
      <c r="D48" s="231" t="s">
        <v>1507</v>
      </c>
      <c r="E48" s="772">
        <v>11701868.4</v>
      </c>
      <c r="F48" s="624">
        <v>11627512.113599999</v>
      </c>
      <c r="G48" s="25">
        <f>(E48-F48)</f>
        <v>74356.286400001496</v>
      </c>
      <c r="S48" s="26"/>
    </row>
    <row r="49" spans="3:21" s="16" customFormat="1" outlineLevel="1">
      <c r="C49" s="8" t="s">
        <v>5</v>
      </c>
      <c r="D49" s="9" t="s">
        <v>1160</v>
      </c>
      <c r="E49" s="774">
        <f>447484.6199*0</f>
        <v>0</v>
      </c>
      <c r="F49" s="350"/>
      <c r="G49" s="25">
        <f t="shared" ref="G49:G92" si="0">(E49-F49)*0</f>
        <v>0</v>
      </c>
      <c r="J49" s="73"/>
      <c r="K49" s="8"/>
      <c r="L49" s="286"/>
      <c r="M49" s="30"/>
      <c r="T49" s="74"/>
      <c r="U49" s="74"/>
    </row>
    <row r="50" spans="3:21" s="16" customFormat="1" outlineLevel="1">
      <c r="C50" s="8" t="s">
        <v>5</v>
      </c>
      <c r="D50" s="9" t="s">
        <v>1161</v>
      </c>
      <c r="E50" s="774">
        <f>4068038.7779*0</f>
        <v>0</v>
      </c>
      <c r="F50" s="350"/>
      <c r="G50" s="25">
        <f t="shared" si="0"/>
        <v>0</v>
      </c>
      <c r="J50" s="73"/>
      <c r="K50" s="8"/>
      <c r="L50" s="286"/>
      <c r="M50" s="30"/>
      <c r="T50" s="74"/>
      <c r="U50" s="74"/>
    </row>
    <row r="51" spans="3:21" s="16" customFormat="1" outlineLevel="1">
      <c r="C51" s="232" t="s">
        <v>4</v>
      </c>
      <c r="D51" s="231" t="s">
        <v>1483</v>
      </c>
      <c r="E51" s="772">
        <v>2413175.1545000002</v>
      </c>
      <c r="F51" s="727">
        <v>2383548.8215000001</v>
      </c>
      <c r="G51" s="25">
        <f>(E51-F51)</f>
        <v>29626.333000000101</v>
      </c>
      <c r="J51" s="52"/>
      <c r="K51" s="25"/>
      <c r="L51" s="26"/>
      <c r="M51" s="26"/>
    </row>
    <row r="52" spans="3:21" s="16" customFormat="1" outlineLevel="1">
      <c r="C52" s="232" t="s">
        <v>4</v>
      </c>
      <c r="D52" s="231" t="s">
        <v>1484</v>
      </c>
      <c r="E52" s="772">
        <v>43875948.863700002</v>
      </c>
      <c r="F52" s="727">
        <v>43337287.809900001</v>
      </c>
      <c r="G52" s="25">
        <f>(E52-F52)</f>
        <v>538661.05380000174</v>
      </c>
      <c r="J52" s="52"/>
      <c r="L52" s="26"/>
      <c r="M52" s="26"/>
    </row>
    <row r="53" spans="3:21" s="16" customFormat="1" outlineLevel="1">
      <c r="C53" s="232" t="s">
        <v>4</v>
      </c>
      <c r="D53" s="231" t="s">
        <v>1163</v>
      </c>
      <c r="E53" s="772">
        <v>1001074.9</v>
      </c>
      <c r="F53" s="350"/>
      <c r="G53" s="25">
        <f t="shared" si="0"/>
        <v>0</v>
      </c>
      <c r="J53" s="52"/>
      <c r="K53" s="8"/>
      <c r="L53" s="286"/>
      <c r="M53" s="30"/>
      <c r="T53" s="74"/>
      <c r="U53" s="74"/>
    </row>
    <row r="54" spans="3:21" s="16" customFormat="1" outlineLevel="1">
      <c r="C54" s="232" t="s">
        <v>4</v>
      </c>
      <c r="D54" s="231" t="s">
        <v>1164</v>
      </c>
      <c r="E54" s="772">
        <v>10010749</v>
      </c>
      <c r="F54" s="350"/>
      <c r="G54" s="25">
        <f t="shared" si="0"/>
        <v>0</v>
      </c>
      <c r="J54" s="52"/>
      <c r="K54" s="8"/>
      <c r="L54" s="286"/>
      <c r="M54" s="30"/>
      <c r="T54" s="74"/>
      <c r="U54" s="74"/>
    </row>
    <row r="55" spans="3:21" s="16" customFormat="1" outlineLevel="1">
      <c r="C55" s="232" t="s">
        <v>4</v>
      </c>
      <c r="D55" s="231" t="s">
        <v>1539</v>
      </c>
      <c r="E55" s="772">
        <v>655391.30999999994</v>
      </c>
      <c r="F55" s="727">
        <v>648561.9</v>
      </c>
      <c r="G55" s="25">
        <f t="shared" ref="G55:G66" si="1">(E55-F55)</f>
        <v>6829.4099999999162</v>
      </c>
      <c r="J55" s="52"/>
      <c r="K55" s="8"/>
      <c r="L55" s="286"/>
      <c r="M55" s="30"/>
      <c r="T55" s="74"/>
      <c r="U55" s="74"/>
    </row>
    <row r="56" spans="3:21" s="16" customFormat="1" outlineLevel="1">
      <c r="C56" s="232" t="s">
        <v>4</v>
      </c>
      <c r="D56" s="231" t="s">
        <v>1540</v>
      </c>
      <c r="E56" s="772">
        <v>1637376.777</v>
      </c>
      <c r="F56" s="727">
        <v>1620314.73</v>
      </c>
      <c r="G56" s="25">
        <f t="shared" si="1"/>
        <v>17062.04700000002</v>
      </c>
      <c r="J56" s="52"/>
      <c r="K56" s="8"/>
      <c r="L56" s="286"/>
      <c r="M56" s="30"/>
      <c r="T56" s="74"/>
      <c r="U56" s="74"/>
    </row>
    <row r="57" spans="3:21" s="16" customFormat="1" outlineLevel="1">
      <c r="C57" s="232" t="s">
        <v>4</v>
      </c>
      <c r="D57" s="231" t="s">
        <v>1524</v>
      </c>
      <c r="E57" s="772">
        <v>3927375.745764941</v>
      </c>
      <c r="F57" s="727">
        <v>3867162.9876000001</v>
      </c>
      <c r="G57" s="25">
        <f t="shared" si="1"/>
        <v>60212.758164940868</v>
      </c>
      <c r="J57" s="73"/>
      <c r="K57" s="8"/>
      <c r="L57" s="286"/>
      <c r="M57" s="30"/>
      <c r="T57" s="74"/>
      <c r="U57" s="74"/>
    </row>
    <row r="58" spans="3:21" s="16" customFormat="1" outlineLevel="1">
      <c r="C58" s="232" t="s">
        <v>4</v>
      </c>
      <c r="D58" s="231" t="s">
        <v>1525</v>
      </c>
      <c r="E58" s="772">
        <v>62203344.94063507</v>
      </c>
      <c r="F58" s="727">
        <v>61249671.238800004</v>
      </c>
      <c r="G58" s="25">
        <f t="shared" si="1"/>
        <v>953673.70183506608</v>
      </c>
      <c r="J58" s="73"/>
      <c r="K58" s="8"/>
      <c r="L58" s="286"/>
      <c r="M58" s="30"/>
      <c r="T58" s="74"/>
      <c r="U58" s="74"/>
    </row>
    <row r="59" spans="3:21" s="16" customFormat="1" outlineLevel="1">
      <c r="C59" s="232" t="s">
        <v>4</v>
      </c>
      <c r="D59" s="688" t="s">
        <v>1400</v>
      </c>
      <c r="E59" s="772">
        <v>717615.65</v>
      </c>
      <c r="F59" s="435">
        <v>676772.21</v>
      </c>
      <c r="G59" s="25">
        <f t="shared" si="1"/>
        <v>40843.440000000061</v>
      </c>
      <c r="J59" s="242"/>
      <c r="K59" s="8"/>
      <c r="L59" s="286"/>
      <c r="M59" s="30"/>
      <c r="T59" s="74"/>
      <c r="U59" s="74"/>
    </row>
    <row r="60" spans="3:21" s="16" customFormat="1" outlineLevel="1">
      <c r="C60" s="232" t="s">
        <v>4</v>
      </c>
      <c r="D60" s="688" t="s">
        <v>1402</v>
      </c>
      <c r="E60" s="772">
        <v>7176043.7855000002</v>
      </c>
      <c r="F60" s="435">
        <v>6767615.8006999996</v>
      </c>
      <c r="G60" s="25">
        <f t="shared" si="1"/>
        <v>408427.98480000068</v>
      </c>
      <c r="J60" s="242"/>
      <c r="K60" s="8"/>
      <c r="L60" s="286"/>
      <c r="M60" s="30"/>
      <c r="T60" s="74"/>
      <c r="U60" s="74"/>
    </row>
    <row r="61" spans="3:21" s="16" customFormat="1" outlineLevel="1">
      <c r="C61" s="232" t="s">
        <v>4</v>
      </c>
      <c r="D61" s="688" t="s">
        <v>1401</v>
      </c>
      <c r="E61" s="772">
        <v>479299.62549999997</v>
      </c>
      <c r="F61" s="435">
        <v>452020.05669999996</v>
      </c>
      <c r="G61" s="25">
        <f t="shared" si="1"/>
        <v>27279.568800000008</v>
      </c>
      <c r="J61" s="242"/>
      <c r="K61" s="8"/>
      <c r="L61" s="286"/>
      <c r="M61" s="30"/>
      <c r="T61" s="74"/>
      <c r="U61" s="74"/>
    </row>
    <row r="62" spans="3:21" s="16" customFormat="1" outlineLevel="1">
      <c r="C62" s="232" t="s">
        <v>4</v>
      </c>
      <c r="D62" s="688" t="s">
        <v>1403</v>
      </c>
      <c r="E62" s="772">
        <v>4792883.5405000001</v>
      </c>
      <c r="F62" s="435">
        <v>4520094.2676999997</v>
      </c>
      <c r="G62" s="25">
        <f t="shared" si="1"/>
        <v>272789.27280000038</v>
      </c>
      <c r="J62" s="242"/>
      <c r="K62" s="8"/>
      <c r="L62" s="286"/>
      <c r="M62" s="30"/>
      <c r="T62" s="74"/>
      <c r="U62" s="74"/>
    </row>
    <row r="63" spans="3:21" s="16" customFormat="1" outlineLevel="1">
      <c r="C63" s="232" t="s">
        <v>4</v>
      </c>
      <c r="D63" s="654" t="s">
        <v>1244</v>
      </c>
      <c r="E63" s="772">
        <v>352448.87949999998</v>
      </c>
      <c r="F63" s="8">
        <v>337854.60849999997</v>
      </c>
      <c r="G63" s="25">
        <f t="shared" si="1"/>
        <v>14594.271000000008</v>
      </c>
      <c r="J63" s="242"/>
      <c r="K63" s="8"/>
      <c r="L63" s="286"/>
      <c r="M63" s="30"/>
      <c r="T63" s="74"/>
      <c r="U63" s="74"/>
    </row>
    <row r="64" spans="3:21" s="16" customFormat="1" outlineLevel="1">
      <c r="C64" s="232" t="s">
        <v>4</v>
      </c>
      <c r="D64" s="654" t="s">
        <v>1245</v>
      </c>
      <c r="E64" s="772">
        <v>3524562.7223999999</v>
      </c>
      <c r="F64" s="8">
        <v>3378616.9512</v>
      </c>
      <c r="G64" s="25">
        <f t="shared" si="1"/>
        <v>145945.77119999984</v>
      </c>
      <c r="J64" s="242"/>
      <c r="K64" s="8"/>
      <c r="L64" s="286"/>
      <c r="M64" s="30"/>
      <c r="T64" s="74"/>
      <c r="U64" s="74"/>
    </row>
    <row r="65" spans="3:23" s="16" customFormat="1" outlineLevel="1">
      <c r="C65" s="232" t="s">
        <v>5</v>
      </c>
      <c r="D65" s="761" t="s">
        <v>1582</v>
      </c>
      <c r="E65" s="772">
        <v>462859.45139999996</v>
      </c>
      <c r="F65" s="435">
        <v>452558.8542</v>
      </c>
      <c r="G65" s="25">
        <f t="shared" si="1"/>
        <v>10300.59719999996</v>
      </c>
      <c r="J65" s="242"/>
      <c r="K65" s="8"/>
      <c r="L65" s="286"/>
      <c r="M65" s="30"/>
      <c r="T65" s="74"/>
      <c r="U65" s="74"/>
    </row>
    <row r="66" spans="3:23">
      <c r="C66" s="232" t="s">
        <v>5</v>
      </c>
      <c r="D66" s="761" t="s">
        <v>1583</v>
      </c>
      <c r="E66" s="776">
        <v>4628742.3688000003</v>
      </c>
      <c r="F66" s="69">
        <v>4525733.1063999999</v>
      </c>
      <c r="G66" s="25">
        <f t="shared" si="1"/>
        <v>103009.26240000036</v>
      </c>
    </row>
    <row r="67" spans="3:23" s="16" customFormat="1" outlineLevel="1">
      <c r="C67" s="232" t="s">
        <v>4</v>
      </c>
      <c r="D67" s="762" t="s">
        <v>1485</v>
      </c>
      <c r="E67" s="772">
        <v>2742027.75</v>
      </c>
      <c r="F67" s="350">
        <v>2737147.2030000002</v>
      </c>
      <c r="G67" s="25">
        <f t="shared" ref="G67:G74" si="2">(E67-F67)</f>
        <v>4880.5469999997877</v>
      </c>
      <c r="J67" s="73"/>
      <c r="L67" s="26"/>
      <c r="M67" s="26"/>
    </row>
    <row r="68" spans="3:23" s="16" customFormat="1" outlineLevel="1">
      <c r="C68" s="232" t="s">
        <v>4</v>
      </c>
      <c r="D68" s="762" t="s">
        <v>1486</v>
      </c>
      <c r="E68" s="772">
        <v>48919208.800000004</v>
      </c>
      <c r="F68" s="350">
        <v>48832137.2896</v>
      </c>
      <c r="G68" s="25">
        <f t="shared" si="2"/>
        <v>87071.510400004685</v>
      </c>
      <c r="J68" s="73"/>
      <c r="L68" s="26"/>
      <c r="M68" s="26"/>
    </row>
    <row r="69" spans="3:23" s="16" customFormat="1" outlineLevel="1">
      <c r="C69" s="232" t="s">
        <v>4</v>
      </c>
      <c r="D69" s="231" t="s">
        <v>1487</v>
      </c>
      <c r="E69" s="772">
        <v>1338816.8865855152</v>
      </c>
      <c r="F69" s="532">
        <v>1313580.7859999998</v>
      </c>
      <c r="G69" s="25">
        <f t="shared" si="2"/>
        <v>25236.100585515378</v>
      </c>
      <c r="K69" s="25"/>
      <c r="S69" s="35"/>
      <c r="U69" s="25"/>
      <c r="V69" s="102"/>
      <c r="W69" s="26"/>
    </row>
    <row r="70" spans="3:23" s="16" customFormat="1" outlineLevel="1">
      <c r="C70" s="232" t="s">
        <v>4</v>
      </c>
      <c r="D70" s="231" t="s">
        <v>1488</v>
      </c>
      <c r="E70" s="772">
        <v>14875837.319014488</v>
      </c>
      <c r="F70" s="532">
        <v>14595434.426999999</v>
      </c>
      <c r="G70" s="25">
        <f t="shared" si="2"/>
        <v>280402.89201448858</v>
      </c>
      <c r="K70" s="25"/>
      <c r="S70" s="35"/>
      <c r="U70" s="25"/>
      <c r="V70" s="102"/>
      <c r="W70" s="26"/>
    </row>
    <row r="71" spans="3:23" s="16" customFormat="1" outlineLevel="1">
      <c r="C71" s="232" t="s">
        <v>4</v>
      </c>
      <c r="D71" s="231" t="s">
        <v>1665</v>
      </c>
      <c r="E71" s="772">
        <v>698811.99510000006</v>
      </c>
      <c r="F71" s="489">
        <v>697375.59989999991</v>
      </c>
      <c r="G71" s="25">
        <f t="shared" ref="G71" si="3">(E71-F71)</f>
        <v>1436.3952000001445</v>
      </c>
      <c r="J71" s="73"/>
      <c r="K71" s="25"/>
      <c r="L71" s="286"/>
      <c r="M71" s="30"/>
      <c r="T71" s="74"/>
      <c r="U71" s="74"/>
    </row>
    <row r="72" spans="3:23" s="16" customFormat="1" outlineLevel="1">
      <c r="C72" s="232" t="s">
        <v>4</v>
      </c>
      <c r="D72" s="231" t="s">
        <v>1471</v>
      </c>
      <c r="E72" s="772">
        <v>7704505.5750000002</v>
      </c>
      <c r="F72" s="489">
        <v>7672555.4849999994</v>
      </c>
      <c r="G72" s="25">
        <f t="shared" si="2"/>
        <v>31950.090000000782</v>
      </c>
      <c r="J72" s="73"/>
      <c r="K72" s="25"/>
      <c r="L72" s="286"/>
      <c r="M72" s="30"/>
      <c r="T72" s="74"/>
      <c r="U72" s="74"/>
    </row>
    <row r="73" spans="3:23" s="16" customFormat="1" outlineLevel="1">
      <c r="C73" s="232" t="s">
        <v>4</v>
      </c>
      <c r="D73" s="231" t="s">
        <v>1587</v>
      </c>
      <c r="E73" s="772">
        <v>21745758.691800002</v>
      </c>
      <c r="F73" s="489">
        <v>21729451.143400002</v>
      </c>
      <c r="G73" s="25">
        <f t="shared" si="2"/>
        <v>16307.548399999738</v>
      </c>
      <c r="J73" s="73"/>
      <c r="K73" s="25"/>
      <c r="L73" s="286"/>
      <c r="M73" s="30"/>
      <c r="T73" s="74"/>
      <c r="U73" s="74"/>
    </row>
    <row r="74" spans="3:23" s="16" customFormat="1" outlineLevel="1">
      <c r="C74" s="232" t="s">
        <v>4</v>
      </c>
      <c r="D74" s="231" t="s">
        <v>1588</v>
      </c>
      <c r="E74" s="772">
        <v>686318871.97529995</v>
      </c>
      <c r="F74" s="489">
        <v>685804188.70389986</v>
      </c>
      <c r="G74" s="25">
        <f t="shared" si="2"/>
        <v>514683.27140009403</v>
      </c>
      <c r="J74" s="73"/>
      <c r="K74" s="25"/>
      <c r="L74" s="286"/>
      <c r="M74" s="30"/>
      <c r="T74" s="74"/>
      <c r="U74" s="74"/>
    </row>
    <row r="75" spans="3:23" s="16" customFormat="1" outlineLevel="1">
      <c r="C75" s="232" t="s">
        <v>4</v>
      </c>
      <c r="D75" s="231" t="s">
        <v>1489</v>
      </c>
      <c r="E75" s="772">
        <v>788259.62503854989</v>
      </c>
      <c r="F75" s="489">
        <v>788167.576</v>
      </c>
      <c r="G75" s="25">
        <f>(E75-F75)</f>
        <v>92.049038549885154</v>
      </c>
      <c r="J75" s="73"/>
      <c r="K75" s="25"/>
      <c r="L75" s="286"/>
      <c r="M75" s="30"/>
      <c r="T75" s="74"/>
      <c r="U75" s="74"/>
    </row>
    <row r="76" spans="3:23" s="16" customFormat="1" outlineLevel="1">
      <c r="C76" s="232" t="s">
        <v>4</v>
      </c>
      <c r="D76" s="231" t="s">
        <v>1490</v>
      </c>
      <c r="E76" s="772">
        <v>7882450.4653614489</v>
      </c>
      <c r="F76" s="489">
        <v>7881529.9920000006</v>
      </c>
      <c r="G76" s="25">
        <f>(E76-F76)</f>
        <v>920.47336144838482</v>
      </c>
      <c r="J76" s="73"/>
      <c r="K76" s="25"/>
      <c r="L76" s="286"/>
      <c r="M76" s="30"/>
      <c r="T76" s="74"/>
      <c r="U76" s="74"/>
    </row>
    <row r="77" spans="3:23" s="16" customFormat="1" ht="14.25" customHeight="1" outlineLevel="1">
      <c r="C77" s="232" t="s">
        <v>4</v>
      </c>
      <c r="D77" s="231" t="s">
        <v>1491</v>
      </c>
      <c r="E77" s="772">
        <v>510186.42479999998</v>
      </c>
      <c r="F77" s="8">
        <v>499432.47899999999</v>
      </c>
      <c r="G77" s="25">
        <f t="shared" ref="G77:G84" si="4">(E77-F77)</f>
        <v>10753.945799999987</v>
      </c>
      <c r="J77" s="52"/>
      <c r="L77" s="26"/>
      <c r="M77" s="26"/>
      <c r="U77" s="288"/>
    </row>
    <row r="78" spans="3:23" s="16" customFormat="1" ht="14.25" customHeight="1" outlineLevel="1">
      <c r="C78" s="232" t="s">
        <v>4</v>
      </c>
      <c r="D78" s="231" t="s">
        <v>1492</v>
      </c>
      <c r="E78" s="772">
        <v>4638085.2576000001</v>
      </c>
      <c r="F78" s="8">
        <v>4540321.5479999995</v>
      </c>
      <c r="G78" s="25">
        <f t="shared" si="4"/>
        <v>97763.709600000642</v>
      </c>
      <c r="J78" s="52"/>
      <c r="L78" s="26"/>
      <c r="M78" s="26"/>
      <c r="U78" s="288"/>
    </row>
    <row r="79" spans="3:23" s="16" customFormat="1" outlineLevel="1">
      <c r="C79" s="232" t="s">
        <v>4</v>
      </c>
      <c r="D79" s="231" t="s">
        <v>1574</v>
      </c>
      <c r="E79" s="772">
        <v>3613174.8160595368</v>
      </c>
      <c r="F79" s="727">
        <v>3540083.2319999998</v>
      </c>
      <c r="G79" s="25">
        <f t="shared" si="4"/>
        <v>73091.584059536923</v>
      </c>
      <c r="S79" s="26"/>
      <c r="U79" s="287"/>
    </row>
    <row r="80" spans="3:23" s="16" customFormat="1" outlineLevel="1">
      <c r="C80" s="232" t="s">
        <v>4</v>
      </c>
      <c r="D80" s="231" t="s">
        <v>1575</v>
      </c>
      <c r="E80" s="772">
        <v>60219309.761540465</v>
      </c>
      <c r="F80" s="727">
        <v>59001122.166000001</v>
      </c>
      <c r="G80" s="25">
        <f t="shared" si="4"/>
        <v>1218187.5955404639</v>
      </c>
      <c r="S80" s="26"/>
      <c r="U80" s="287"/>
    </row>
    <row r="81" spans="3:22" s="16" customFormat="1" outlineLevel="1">
      <c r="C81" s="232" t="s">
        <v>4</v>
      </c>
      <c r="D81" s="231" t="s">
        <v>1493</v>
      </c>
      <c r="E81" s="772">
        <v>5786118.2043779045</v>
      </c>
      <c r="F81" s="727">
        <v>5731579.6712999996</v>
      </c>
      <c r="G81" s="25">
        <f t="shared" si="4"/>
        <v>54538.533077904955</v>
      </c>
      <c r="J81" s="241"/>
      <c r="K81" s="8"/>
      <c r="L81" s="286"/>
      <c r="M81" s="30"/>
      <c r="T81" s="74"/>
      <c r="U81" s="74"/>
    </row>
    <row r="82" spans="3:22" s="16" customFormat="1" outlineLevel="1">
      <c r="C82" s="232" t="s">
        <v>4</v>
      </c>
      <c r="D82" s="231" t="s">
        <v>1494</v>
      </c>
      <c r="E82" s="772">
        <v>72326237.982222095</v>
      </c>
      <c r="F82" s="727">
        <v>71644508.576900005</v>
      </c>
      <c r="G82" s="25">
        <f t="shared" si="4"/>
        <v>681729.40532208979</v>
      </c>
      <c r="J82" s="241"/>
      <c r="K82" s="8"/>
      <c r="L82" s="286"/>
      <c r="M82" s="30"/>
      <c r="T82" s="74"/>
      <c r="U82" s="74"/>
    </row>
    <row r="83" spans="3:22" s="16" customFormat="1" outlineLevel="1">
      <c r="C83" s="232" t="s">
        <v>4</v>
      </c>
      <c r="D83" s="231" t="s">
        <v>1526</v>
      </c>
      <c r="E83" s="772">
        <v>877475.37806309655</v>
      </c>
      <c r="F83" s="727">
        <v>867734.4</v>
      </c>
      <c r="G83" s="25">
        <f t="shared" si="4"/>
        <v>9740.9780630965251</v>
      </c>
      <c r="J83" s="73"/>
      <c r="K83" s="25"/>
      <c r="S83" s="35"/>
      <c r="U83" s="25"/>
    </row>
    <row r="84" spans="3:22" s="16" customFormat="1" outlineLevel="1">
      <c r="C84" s="232" t="s">
        <v>4</v>
      </c>
      <c r="D84" s="231" t="s">
        <v>1527</v>
      </c>
      <c r="E84" s="772">
        <v>12016513.441936903</v>
      </c>
      <c r="F84" s="727">
        <v>11883116.429599999</v>
      </c>
      <c r="G84" s="25">
        <f t="shared" si="4"/>
        <v>133397.01233690418</v>
      </c>
      <c r="J84" s="73"/>
      <c r="K84" s="25"/>
      <c r="S84" s="35"/>
      <c r="U84" s="25"/>
    </row>
    <row r="85" spans="3:22" s="16" customFormat="1" outlineLevel="1">
      <c r="C85" s="232" t="s">
        <v>4</v>
      </c>
      <c r="D85" s="231" t="s">
        <v>1495</v>
      </c>
      <c r="E85" s="772">
        <v>2339876.56</v>
      </c>
      <c r="F85" s="727">
        <v>2336670.1099</v>
      </c>
      <c r="G85" s="25">
        <f t="shared" ref="G85:G90" si="5">(E85-F85)</f>
        <v>3206.4501000000164</v>
      </c>
      <c r="J85" s="73"/>
      <c r="K85" s="25"/>
      <c r="S85" s="35"/>
      <c r="U85" s="25"/>
    </row>
    <row r="86" spans="3:22" s="16" customFormat="1" outlineLevel="1">
      <c r="C86" s="232" t="s">
        <v>4</v>
      </c>
      <c r="D86" s="231" t="s">
        <v>1496</v>
      </c>
      <c r="E86" s="772">
        <v>13320855.359999999</v>
      </c>
      <c r="F86" s="727">
        <v>13302601.124399999</v>
      </c>
      <c r="G86" s="25">
        <f t="shared" si="5"/>
        <v>18254.235600000247</v>
      </c>
      <c r="J86" s="73"/>
      <c r="S86" s="35"/>
      <c r="U86" s="25"/>
    </row>
    <row r="87" spans="3:22" s="16" customFormat="1" outlineLevel="1">
      <c r="C87" s="232" t="s">
        <v>4</v>
      </c>
      <c r="D87" s="231" t="s">
        <v>1497</v>
      </c>
      <c r="E87" s="772">
        <v>35147078.399999999</v>
      </c>
      <c r="F87" s="727">
        <v>34951728</v>
      </c>
      <c r="G87" s="25">
        <f t="shared" si="5"/>
        <v>195350.39999999851</v>
      </c>
      <c r="J87" s="326"/>
      <c r="L87" s="26"/>
      <c r="M87" s="26"/>
    </row>
    <row r="88" spans="3:22" s="16" customFormat="1" outlineLevel="1">
      <c r="C88" s="232" t="s">
        <v>4</v>
      </c>
      <c r="D88" s="231" t="s">
        <v>1498</v>
      </c>
      <c r="E88" s="772">
        <v>1249600470.48</v>
      </c>
      <c r="F88" s="727">
        <v>1242655086.6000001</v>
      </c>
      <c r="G88" s="25">
        <f t="shared" si="5"/>
        <v>6945383.879999876</v>
      </c>
      <c r="J88" s="326"/>
      <c r="L88" s="26"/>
      <c r="M88" s="26"/>
    </row>
    <row r="89" spans="3:22" s="16" customFormat="1" outlineLevel="1">
      <c r="C89" s="232" t="s">
        <v>4</v>
      </c>
      <c r="D89" s="231" t="s">
        <v>1499</v>
      </c>
      <c r="E89" s="772">
        <v>2636030.88</v>
      </c>
      <c r="F89" s="727">
        <v>2621379.6</v>
      </c>
      <c r="G89" s="25">
        <f t="shared" si="5"/>
        <v>14651.279999999795</v>
      </c>
      <c r="J89" s="326"/>
      <c r="L89" s="26"/>
      <c r="M89" s="26"/>
    </row>
    <row r="90" spans="3:22" s="16" customFormat="1" outlineLevel="1">
      <c r="C90" s="232" t="s">
        <v>4</v>
      </c>
      <c r="D90" s="231" t="s">
        <v>1500</v>
      </c>
      <c r="E90" s="772">
        <v>37191072.988799997</v>
      </c>
      <c r="F90" s="727">
        <v>36984361.895999998</v>
      </c>
      <c r="G90" s="25">
        <f t="shared" si="5"/>
        <v>206711.09279999882</v>
      </c>
      <c r="J90" s="326"/>
      <c r="L90" s="26"/>
      <c r="M90" s="26"/>
    </row>
    <row r="91" spans="3:22" s="16" customFormat="1" outlineLevel="1">
      <c r="C91" s="232" t="s">
        <v>4</v>
      </c>
      <c r="D91" s="231" t="s">
        <v>1501</v>
      </c>
      <c r="E91" s="772">
        <v>1285421.99</v>
      </c>
      <c r="F91" s="624"/>
      <c r="G91" s="25">
        <f t="shared" si="0"/>
        <v>0</v>
      </c>
      <c r="J91" s="326"/>
      <c r="K91" s="25"/>
      <c r="L91" s="26"/>
      <c r="M91" s="26"/>
    </row>
    <row r="92" spans="3:22" s="16" customFormat="1" outlineLevel="1">
      <c r="C92" s="232" t="s">
        <v>4</v>
      </c>
      <c r="D92" s="231" t="s">
        <v>1502</v>
      </c>
      <c r="E92" s="772">
        <v>71495628.140000001</v>
      </c>
      <c r="F92" s="624"/>
      <c r="G92" s="25">
        <f t="shared" si="0"/>
        <v>0</v>
      </c>
      <c r="J92" s="73"/>
      <c r="K92" s="25"/>
      <c r="L92" s="104"/>
      <c r="M92" s="30"/>
      <c r="T92" s="74"/>
      <c r="U92" s="74"/>
    </row>
    <row r="93" spans="3:22" s="16" customFormat="1" outlineLevel="1">
      <c r="C93" s="232" t="s">
        <v>4</v>
      </c>
      <c r="D93" s="231" t="s">
        <v>1568</v>
      </c>
      <c r="E93" s="772">
        <v>1893065.15</v>
      </c>
      <c r="F93" s="624"/>
      <c r="G93" s="25">
        <f t="shared" ref="G93" si="6">(E93-F93)*0</f>
        <v>0</v>
      </c>
      <c r="J93" s="73"/>
      <c r="K93" s="25"/>
      <c r="L93" s="104"/>
      <c r="M93" s="30"/>
      <c r="T93" s="74"/>
      <c r="U93" s="74"/>
    </row>
    <row r="94" spans="3:22" s="16" customFormat="1" outlineLevel="1">
      <c r="C94" s="232" t="s">
        <v>4</v>
      </c>
      <c r="D94" s="231" t="s">
        <v>1503</v>
      </c>
      <c r="E94" s="772">
        <v>1871058.5955000001</v>
      </c>
      <c r="F94" s="727">
        <v>1860581.0138999999</v>
      </c>
      <c r="G94" s="25">
        <f>(E94-F94)</f>
        <v>10477.581600000151</v>
      </c>
      <c r="J94" s="73"/>
      <c r="K94" s="25"/>
      <c r="L94" s="104"/>
      <c r="M94" s="30"/>
      <c r="T94" s="74"/>
      <c r="U94" s="74"/>
    </row>
    <row r="95" spans="3:22" s="16" customFormat="1" outlineLevel="1">
      <c r="C95" s="232" t="s">
        <v>4</v>
      </c>
      <c r="D95" s="231" t="s">
        <v>1504</v>
      </c>
      <c r="E95" s="772">
        <v>20823085.6785</v>
      </c>
      <c r="F95" s="727">
        <v>20706480.2553</v>
      </c>
      <c r="G95" s="25">
        <f>(E95-F95)</f>
        <v>116605.42320000008</v>
      </c>
      <c r="J95" s="73"/>
      <c r="K95" s="25"/>
      <c r="L95" s="104"/>
      <c r="M95" s="30"/>
      <c r="T95" s="74"/>
      <c r="U95" s="74"/>
    </row>
    <row r="96" spans="3:22" s="16" customFormat="1" ht="15.75">
      <c r="C96" s="24"/>
      <c r="D96" s="75" t="s">
        <v>8</v>
      </c>
      <c r="E96" s="18">
        <f>SUBTOTAL(9,E4:E95)</f>
        <v>3488439212.6918001</v>
      </c>
      <c r="F96" s="14"/>
      <c r="G96" s="14">
        <f>SUM(G6:G95)</f>
        <v>14108743.935799997</v>
      </c>
      <c r="J96" s="25"/>
      <c r="K96" s="76"/>
      <c r="L96" s="77"/>
      <c r="T96" s="78"/>
      <c r="U96" s="33"/>
      <c r="V96" s="26"/>
    </row>
    <row r="97" spans="1:24" s="16" customFormat="1" ht="15.75">
      <c r="C97" s="24"/>
      <c r="D97" s="79"/>
      <c r="E97" s="17"/>
      <c r="G97" s="80"/>
      <c r="T97" s="33"/>
      <c r="U97" s="33"/>
    </row>
    <row r="98" spans="1:24" s="16" customFormat="1" ht="15.75">
      <c r="C98" s="24"/>
      <c r="G98" s="25"/>
      <c r="K98" s="25"/>
      <c r="S98" s="12"/>
      <c r="T98" s="32"/>
      <c r="U98" s="10"/>
    </row>
    <row r="99" spans="1:24" s="16" customFormat="1" ht="15.75">
      <c r="C99" s="81" t="s">
        <v>9</v>
      </c>
      <c r="D99" s="81"/>
      <c r="E99" s="81" t="s">
        <v>1387</v>
      </c>
      <c r="F99" s="81" t="s">
        <v>10</v>
      </c>
      <c r="G99" s="81"/>
      <c r="H99" s="81"/>
      <c r="I99" s="81"/>
      <c r="J99" s="82">
        <v>46082</v>
      </c>
      <c r="K99" s="25"/>
      <c r="L99" s="10"/>
      <c r="M99" s="10"/>
      <c r="N99" s="10"/>
      <c r="O99" s="10"/>
      <c r="S99" s="12"/>
      <c r="W99" s="25"/>
      <c r="X99" s="25"/>
    </row>
    <row r="100" spans="1:24" s="16" customFormat="1" ht="16.5" thickBot="1">
      <c r="C100" s="48" t="s">
        <v>11</v>
      </c>
      <c r="D100" s="15" t="s">
        <v>12</v>
      </c>
      <c r="E100" s="14" t="s">
        <v>13</v>
      </c>
      <c r="F100" s="13" t="s">
        <v>14</v>
      </c>
      <c r="G100" s="12" t="s">
        <v>15</v>
      </c>
      <c r="H100" s="12"/>
      <c r="I100" s="12"/>
      <c r="J100" s="11" t="s">
        <v>16</v>
      </c>
      <c r="K100" s="11" t="s">
        <v>17</v>
      </c>
      <c r="S100" s="31"/>
      <c r="W100" s="25"/>
      <c r="X100" s="83"/>
    </row>
    <row r="101" spans="1:24" s="16" customFormat="1" ht="16.5" thickBot="1">
      <c r="D101" s="351" t="s">
        <v>18</v>
      </c>
      <c r="E101" s="352">
        <f>SUBTOTAL(9,E102:E104)</f>
        <v>17522648</v>
      </c>
      <c r="K101" s="25"/>
    </row>
    <row r="102" spans="1:24" s="16" customFormat="1" outlineLevel="1">
      <c r="A102" s="16" t="str">
        <f>G102</f>
        <v>Cancelado</v>
      </c>
      <c r="B102" s="16">
        <f>IF(I102&lt;=-1,1,IF(I102&lt;=5,2,IF(I102&lt;=15,3,IF(H102&lt;=60,4))))</f>
        <v>3</v>
      </c>
      <c r="C102" s="24"/>
      <c r="D102" s="347" t="s">
        <v>93</v>
      </c>
      <c r="E102" s="350">
        <v>4360000</v>
      </c>
      <c r="F102" s="7">
        <v>46094</v>
      </c>
      <c r="G102" s="16" t="s">
        <v>20</v>
      </c>
      <c r="H102" s="16">
        <f>IF(OR(G102="Sin pagar",G102="Pagar"),NETWORKDAYS($J$99,F102,'Festivos Colombia'!$A$3:$A$22),0)</f>
        <v>0</v>
      </c>
      <c r="I102" s="16">
        <f>NETWORKDAYS($J$99,F102,'Festivos Colombia'!$A$3:$A$22)</f>
        <v>10</v>
      </c>
      <c r="J102" s="46">
        <f>H102</f>
        <v>0</v>
      </c>
      <c r="K102" s="25"/>
      <c r="L102" s="25"/>
      <c r="M102" s="41"/>
    </row>
    <row r="103" spans="1:24" s="16" customFormat="1" outlineLevel="1">
      <c r="A103" s="16" t="str">
        <f>G103</f>
        <v>Cancelado</v>
      </c>
      <c r="B103" s="16">
        <f>IF(I103&lt;=-1,1,IF(I103&lt;=5,2,IF(I103&lt;=15,3,IF(H103&lt;=60,4))))</f>
        <v>3</v>
      </c>
      <c r="C103" s="24"/>
      <c r="D103" s="347" t="s">
        <v>19</v>
      </c>
      <c r="E103" s="350">
        <v>9500000</v>
      </c>
      <c r="F103" s="7">
        <v>46094</v>
      </c>
      <c r="G103" s="16" t="s">
        <v>20</v>
      </c>
      <c r="H103" s="16">
        <f>IF(OR(G103="Sin pagar",G103="Pagar"),NETWORKDAYS($J$99,F103,'Festivos Colombia'!$A$3:$A$22),0)</f>
        <v>0</v>
      </c>
      <c r="I103" s="16">
        <f>NETWORKDAYS($J$99,F103,'Festivos Colombia'!$A$3:$A$22)</f>
        <v>10</v>
      </c>
      <c r="J103" s="46">
        <f t="shared" ref="J103" si="7">H103</f>
        <v>0</v>
      </c>
      <c r="K103" s="25"/>
      <c r="L103" s="25"/>
      <c r="M103" s="41"/>
    </row>
    <row r="104" spans="1:24" s="16" customFormat="1" ht="15.75" outlineLevel="1" thickBot="1">
      <c r="A104" s="16" t="str">
        <f>G104</f>
        <v>Cancelado</v>
      </c>
      <c r="B104" s="16">
        <f>IF(I104&lt;=-1,1,IF(I104&lt;=5,2,IF(I104&lt;=15,3,IF(H104&lt;=60,4))))</f>
        <v>4</v>
      </c>
      <c r="C104" s="24"/>
      <c r="D104" s="347" t="s">
        <v>93</v>
      </c>
      <c r="E104" s="350">
        <v>3662648</v>
      </c>
      <c r="F104" s="7">
        <v>46112</v>
      </c>
      <c r="G104" s="16" t="s">
        <v>20</v>
      </c>
      <c r="H104" s="16">
        <f>IF(OR(G104="Sin pagar",G104="Pagar"),NETWORKDAYS($J$99,F104,'Festivos Colombia'!$A$3:$A$22),0)</f>
        <v>0</v>
      </c>
      <c r="I104" s="16">
        <f>NETWORKDAYS($J$99,F104,'Festivos Colombia'!$A$3:$A$22)</f>
        <v>21</v>
      </c>
      <c r="J104" s="46">
        <f>H104</f>
        <v>0</v>
      </c>
      <c r="K104" s="25"/>
      <c r="L104" s="25"/>
      <c r="M104" s="41"/>
    </row>
    <row r="105" spans="1:24" s="16" customFormat="1" ht="16.5" thickBot="1">
      <c r="C105" s="24"/>
      <c r="D105" s="351" t="s">
        <v>21</v>
      </c>
      <c r="E105" s="352">
        <f>SUBTOTAL(9,E106:E106)</f>
        <v>517318100</v>
      </c>
      <c r="F105" s="7"/>
      <c r="J105" s="29"/>
    </row>
    <row r="106" spans="1:24" s="16" customFormat="1" ht="15.75" outlineLevel="1" thickBot="1">
      <c r="A106" s="16" t="str">
        <f>G106</f>
        <v>Cancelado</v>
      </c>
      <c r="B106" s="16">
        <f>IF(I106&lt;=-1,1,IF(I106&lt;=5,2,IF(I106&lt;=15,3,IF(H106&lt;=60,4))))</f>
        <v>3</v>
      </c>
      <c r="C106" s="105">
        <v>176206200</v>
      </c>
      <c r="D106" s="95" t="s">
        <v>22</v>
      </c>
      <c r="E106" s="508">
        <v>517318100</v>
      </c>
      <c r="F106" s="7">
        <v>46092</v>
      </c>
      <c r="G106" s="16" t="s">
        <v>20</v>
      </c>
      <c r="H106" s="16">
        <f>IF(OR(G106="Sin pagar",G106="Pagar"),NETWORKDAYS($J$99,F106,'Festivos Colombia'!$A$3:$A$22),0)</f>
        <v>0</v>
      </c>
      <c r="I106" s="16">
        <f>NETWORKDAYS($J$99,F106,'Festivos Colombia'!$A$3:$A$22)</f>
        <v>8</v>
      </c>
      <c r="J106" s="46">
        <f t="shared" ref="J106" si="8">H106</f>
        <v>0</v>
      </c>
      <c r="K106" s="8"/>
      <c r="L106" s="25"/>
      <c r="M106" s="25"/>
    </row>
    <row r="107" spans="1:24" s="16" customFormat="1" ht="16.5" thickBot="1">
      <c r="C107" s="24"/>
      <c r="D107" s="351" t="s">
        <v>23</v>
      </c>
      <c r="E107" s="352">
        <f>SUBTOTAL(9,E108:E110)</f>
        <v>14755460</v>
      </c>
      <c r="K107" s="34"/>
      <c r="L107" s="25"/>
    </row>
    <row r="108" spans="1:24" s="16" customFormat="1" outlineLevel="1">
      <c r="A108" s="16" t="str">
        <f t="shared" ref="A108:A110" si="9">G108</f>
        <v>Cancelado</v>
      </c>
      <c r="B108" s="16">
        <f t="shared" ref="B108:B110" si="10">IF(I108&lt;=-1,1,IF(I108&lt;=5,2,IF(I108&lt;=15,3,IF(H108&lt;=60,4))))</f>
        <v>4</v>
      </c>
      <c r="C108" s="24"/>
      <c r="D108" s="9" t="s">
        <v>101</v>
      </c>
      <c r="E108" s="8">
        <v>1000000</v>
      </c>
      <c r="F108" s="7">
        <v>46111</v>
      </c>
      <c r="G108" s="16" t="s">
        <v>20</v>
      </c>
      <c r="H108" s="16">
        <f>IF(OR(G108="Sin pagar",G108="Pagar"),NETWORKDAYS($J$99,F108,'Festivos Colombia'!$A$3:$A$22),0)</f>
        <v>0</v>
      </c>
      <c r="I108" s="16">
        <f>NETWORKDAYS($J$99,F108,'Festivos Colombia'!$A$3:$A$22)</f>
        <v>20</v>
      </c>
      <c r="J108" s="46">
        <f t="shared" ref="J108:J115" si="11">H108</f>
        <v>0</v>
      </c>
      <c r="K108" s="25"/>
      <c r="L108" s="25"/>
    </row>
    <row r="109" spans="1:24" s="16" customFormat="1" outlineLevel="1">
      <c r="A109" s="16" t="str">
        <f t="shared" si="9"/>
        <v>Cancelado</v>
      </c>
      <c r="B109" s="16">
        <f t="shared" si="10"/>
        <v>4</v>
      </c>
      <c r="C109" s="24"/>
      <c r="D109" s="9" t="s">
        <v>24</v>
      </c>
      <c r="E109" s="8">
        <f>7600000+4000000</f>
        <v>11600000</v>
      </c>
      <c r="F109" s="7">
        <v>46111</v>
      </c>
      <c r="G109" s="16" t="s">
        <v>20</v>
      </c>
      <c r="H109" s="16">
        <f>IF(OR(G109="Sin pagar",G109="Pagar"),NETWORKDAYS($J$99,F109,'Festivos Colombia'!$A$3:$A$22),0)</f>
        <v>0</v>
      </c>
      <c r="I109" s="16">
        <f>NETWORKDAYS($J$99,F109,'Festivos Colombia'!$A$3:$A$22)</f>
        <v>20</v>
      </c>
      <c r="J109" s="46">
        <f t="shared" ref="J109:J110" si="12">H109</f>
        <v>0</v>
      </c>
      <c r="L109" s="25"/>
      <c r="M109" s="25"/>
    </row>
    <row r="110" spans="1:24" s="16" customFormat="1" ht="15.75" outlineLevel="1" thickBot="1">
      <c r="A110" s="16" t="str">
        <f t="shared" si="9"/>
        <v>Cancelado</v>
      </c>
      <c r="B110" s="16">
        <f t="shared" si="10"/>
        <v>4</v>
      </c>
      <c r="C110" s="24"/>
      <c r="D110" s="9" t="s">
        <v>102</v>
      </c>
      <c r="E110" s="8">
        <v>2155460</v>
      </c>
      <c r="F110" s="7">
        <v>46111</v>
      </c>
      <c r="G110" s="16" t="s">
        <v>20</v>
      </c>
      <c r="H110" s="16">
        <f>IF(OR(G110="Sin pagar",G110="Pagar"),NETWORKDAYS($J$99,F110,'Festivos Colombia'!$A$3:$A$22),0)</f>
        <v>0</v>
      </c>
      <c r="I110" s="16">
        <f>NETWORKDAYS($J$99,F110,'Festivos Colombia'!$A$3:$A$22)</f>
        <v>20</v>
      </c>
      <c r="J110" s="46">
        <f t="shared" si="12"/>
        <v>0</v>
      </c>
      <c r="K110" s="25"/>
      <c r="L110" s="25"/>
      <c r="M110" s="25"/>
    </row>
    <row r="111" spans="1:24" s="16" customFormat="1" ht="16.5" thickBot="1">
      <c r="C111" s="24"/>
      <c r="D111" s="351" t="s">
        <v>26</v>
      </c>
      <c r="E111" s="352">
        <f>SUBTOTAL(9,E112:E114)</f>
        <v>272937500</v>
      </c>
      <c r="J111" s="29">
        <f t="shared" si="11"/>
        <v>0</v>
      </c>
      <c r="K111" s="25"/>
      <c r="L111" s="25"/>
    </row>
    <row r="112" spans="1:24" s="16" customFormat="1" outlineLevel="1">
      <c r="A112" s="16" t="str">
        <f>G112</f>
        <v>Cancelado</v>
      </c>
      <c r="B112" s="16">
        <f>IF(I112&lt;=-1,1,IF(I112&lt;=5,2,IF(I112&lt;=15,3,IF(H112&lt;=60,4))))</f>
        <v>3</v>
      </c>
      <c r="C112" s="60"/>
      <c r="D112" s="9" t="s">
        <v>1388</v>
      </c>
      <c r="E112" s="8">
        <v>62607000</v>
      </c>
      <c r="F112" s="353">
        <v>46097</v>
      </c>
      <c r="G112" s="16" t="s">
        <v>20</v>
      </c>
      <c r="H112" s="16">
        <f>IF(OR(G112="Sin pagar",G112="Pagar"),NETWORKDAYS($J$99,F112,'Festivos Colombia'!$A$3:$A$22),0)</f>
        <v>0</v>
      </c>
      <c r="I112" s="16">
        <f>NETWORKDAYS($J$99,F112,'Festivos Colombia'!$A$3:$A$22)</f>
        <v>11</v>
      </c>
      <c r="J112" s="46">
        <f>H112</f>
        <v>0</v>
      </c>
      <c r="K112" s="8"/>
      <c r="L112" s="41"/>
      <c r="M112" s="236"/>
    </row>
    <row r="113" spans="1:21" s="16" customFormat="1" outlineLevel="1">
      <c r="A113" s="16" t="str">
        <f>G113</f>
        <v>Cancelado</v>
      </c>
      <c r="B113" s="16">
        <f>IF(I113&lt;=-1,1,IF(I113&lt;=5,2,IF(I113&lt;=15,3,IF(H113&lt;=60,4))))</f>
        <v>3</v>
      </c>
      <c r="C113" s="60"/>
      <c r="D113" s="9" t="s">
        <v>28</v>
      </c>
      <c r="E113" s="8">
        <v>209193000</v>
      </c>
      <c r="F113" s="353">
        <v>46097</v>
      </c>
      <c r="G113" s="16" t="s">
        <v>20</v>
      </c>
      <c r="H113" s="16">
        <f>IF(OR(G113="Sin pagar",G113="Pagar"),NETWORKDAYS($J$99,F113,'Festivos Colombia'!$A$3:$A$22),0)</f>
        <v>0</v>
      </c>
      <c r="I113" s="16">
        <f>NETWORKDAYS($J$99,F113,'Festivos Colombia'!$A$3:$A$22)</f>
        <v>11</v>
      </c>
      <c r="J113" s="46">
        <f>H113</f>
        <v>0</v>
      </c>
      <c r="K113" s="8"/>
      <c r="L113" s="41"/>
      <c r="M113" s="236"/>
    </row>
    <row r="114" spans="1:21" s="16" customFormat="1" ht="15.75" outlineLevel="1" thickBot="1">
      <c r="C114" s="60"/>
      <c r="D114" s="9" t="s">
        <v>30</v>
      </c>
      <c r="E114" s="8">
        <f>910000*1.25</f>
        <v>1137500</v>
      </c>
      <c r="F114" s="353">
        <v>46097</v>
      </c>
      <c r="G114" s="16" t="s">
        <v>20</v>
      </c>
      <c r="H114" s="16">
        <f>IF(OR(G114="Sin pagar",G114="Pagar"),NETWORKDAYS($J$99,F114,'Festivos Colombia'!$A$3:$A$22),0)</f>
        <v>0</v>
      </c>
      <c r="I114" s="16">
        <f>NETWORKDAYS($J$99,F114,'Festivos Colombia'!$A$3:$A$22)</f>
        <v>11</v>
      </c>
      <c r="J114" s="46">
        <f>H114</f>
        <v>0</v>
      </c>
      <c r="K114" s="8"/>
      <c r="L114" s="41"/>
      <c r="M114" s="236"/>
    </row>
    <row r="115" spans="1:21" s="16" customFormat="1" ht="16.5" thickBot="1">
      <c r="C115" s="24"/>
      <c r="D115" s="351" t="s">
        <v>31</v>
      </c>
      <c r="E115" s="352">
        <f>SUBTOTAL(9,E116:E136)</f>
        <v>10129377.84</v>
      </c>
      <c r="J115" s="29">
        <f t="shared" si="11"/>
        <v>0</v>
      </c>
      <c r="K115" s="34"/>
      <c r="L115" s="25"/>
      <c r="M115" s="25"/>
    </row>
    <row r="116" spans="1:21" s="16" customFormat="1" ht="14.25" customHeight="1" outlineLevel="1">
      <c r="A116" s="16" t="str">
        <f t="shared" ref="A116:A121" si="13">G116</f>
        <v>Cancelado</v>
      </c>
      <c r="B116" s="16">
        <f t="shared" ref="B116:B121" si="14">IF(I116&lt;=-1,1,IF(I116&lt;=5,2,IF(I116&lt;=15,3,IF(H116&lt;=60,4))))</f>
        <v>2</v>
      </c>
      <c r="C116" s="590" t="s">
        <v>1104</v>
      </c>
      <c r="D116" s="9" t="s">
        <v>1105</v>
      </c>
      <c r="E116" s="350">
        <f>1244113.7</f>
        <v>1244113.7</v>
      </c>
      <c r="F116" s="353">
        <v>46087</v>
      </c>
      <c r="G116" s="16" t="s">
        <v>20</v>
      </c>
      <c r="H116" s="16">
        <f>IF(OR(G116="Sin pagar",G116="Pagar"),NETWORKDAYS($J$99,F116,'Festivos Colombia'!$A$3:$A$22),0)</f>
        <v>0</v>
      </c>
      <c r="I116" s="16">
        <f>NETWORKDAYS($J$99,F116,'Festivos Colombia'!$A$3:$A$22)</f>
        <v>5</v>
      </c>
      <c r="J116" s="46">
        <f t="shared" ref="J116:J121" si="15">H116</f>
        <v>0</v>
      </c>
      <c r="K116" s="58"/>
      <c r="S116" s="27"/>
    </row>
    <row r="117" spans="1:21" s="16" customFormat="1" outlineLevel="1">
      <c r="A117" s="16" t="str">
        <f t="shared" si="13"/>
        <v>Cancelado</v>
      </c>
      <c r="B117" s="16">
        <f t="shared" si="14"/>
        <v>2</v>
      </c>
      <c r="C117" s="234" t="s">
        <v>1339</v>
      </c>
      <c r="D117" s="9" t="s">
        <v>33</v>
      </c>
      <c r="E117" s="8">
        <f>368688</f>
        <v>368688</v>
      </c>
      <c r="F117" s="353">
        <v>46087</v>
      </c>
      <c r="G117" s="16" t="s">
        <v>20</v>
      </c>
      <c r="H117" s="16">
        <f>IF(OR(G117="Sin pagar",G117="Pagar"),NETWORKDAYS($J$99,F117,'Festivos Colombia'!$A$3:$A$22),0)</f>
        <v>0</v>
      </c>
      <c r="I117" s="16">
        <f>NETWORKDAYS($J$99,F117,'Festivos Colombia'!$A$3:$A$22)</f>
        <v>5</v>
      </c>
      <c r="J117" s="46">
        <f t="shared" si="15"/>
        <v>0</v>
      </c>
      <c r="K117" s="58"/>
      <c r="L117" s="14"/>
      <c r="M117" s="8"/>
    </row>
    <row r="118" spans="1:21" s="16" customFormat="1" outlineLevel="1">
      <c r="A118" s="16" t="str">
        <f t="shared" si="13"/>
        <v>Cancelado</v>
      </c>
      <c r="B118" s="16">
        <f t="shared" si="14"/>
        <v>2</v>
      </c>
      <c r="C118" s="24" t="s">
        <v>1341</v>
      </c>
      <c r="D118" s="9" t="s">
        <v>32</v>
      </c>
      <c r="E118" s="8">
        <f>358066.76</f>
        <v>358066.76</v>
      </c>
      <c r="F118" s="353">
        <v>46087</v>
      </c>
      <c r="G118" s="16" t="s">
        <v>20</v>
      </c>
      <c r="H118" s="16">
        <f>IF(OR(G118="Sin pagar",G118="Pagar"),NETWORKDAYS($J$99,F118,'Festivos Colombia'!$A$3:$A$22),0)</f>
        <v>0</v>
      </c>
      <c r="I118" s="16">
        <f>NETWORKDAYS($J$99,F118,'Festivos Colombia'!$A$3:$A$22)</f>
        <v>5</v>
      </c>
      <c r="J118" s="46">
        <f t="shared" si="15"/>
        <v>0</v>
      </c>
      <c r="K118" s="58"/>
      <c r="L118" s="25"/>
    </row>
    <row r="119" spans="1:21" s="16" customFormat="1" outlineLevel="1">
      <c r="A119" s="16" t="str">
        <f t="shared" si="13"/>
        <v>Cancelado</v>
      </c>
      <c r="B119" s="16">
        <f t="shared" si="14"/>
        <v>3</v>
      </c>
      <c r="C119" s="24">
        <v>27768</v>
      </c>
      <c r="D119" s="9" t="s">
        <v>610</v>
      </c>
      <c r="E119" s="8">
        <f>926800</f>
        <v>926800</v>
      </c>
      <c r="F119" s="353">
        <v>46091</v>
      </c>
      <c r="G119" s="16" t="s">
        <v>20</v>
      </c>
      <c r="H119" s="16">
        <f>IF(OR(G119="Sin pagar",G119="Pagar"),NETWORKDAYS($J$99,F119,'Festivos Colombia'!$A$3:$A$22),0)</f>
        <v>0</v>
      </c>
      <c r="I119" s="16">
        <f>NETWORKDAYS($J$99,F119,'Festivos Colombia'!$A$3:$A$22)</f>
        <v>7</v>
      </c>
      <c r="J119" s="46">
        <f t="shared" si="15"/>
        <v>0</v>
      </c>
      <c r="K119" s="58"/>
      <c r="S119" s="27"/>
    </row>
    <row r="120" spans="1:21" s="16" customFormat="1" outlineLevel="1">
      <c r="A120" s="16" t="str">
        <f t="shared" si="13"/>
        <v>Cancelado</v>
      </c>
      <c r="B120" s="16">
        <f t="shared" si="14"/>
        <v>2</v>
      </c>
      <c r="C120" s="24">
        <v>36</v>
      </c>
      <c r="D120" s="9" t="s">
        <v>85</v>
      </c>
      <c r="E120" s="8">
        <v>1000000</v>
      </c>
      <c r="F120" s="353">
        <v>46087</v>
      </c>
      <c r="G120" s="16" t="s">
        <v>20</v>
      </c>
      <c r="H120" s="16">
        <f>IF(OR(G120="Sin pagar",G120="Pagar"),NETWORKDAYS($J$99,F120,'Festivos Colombia'!$A$3:$A$22),0)</f>
        <v>0</v>
      </c>
      <c r="I120" s="16">
        <f>NETWORKDAYS($J$99,F120,'Festivos Colombia'!$A$3:$A$22)</f>
        <v>5</v>
      </c>
      <c r="J120" s="46">
        <f t="shared" si="15"/>
        <v>0</v>
      </c>
      <c r="K120" s="58"/>
      <c r="S120" s="27"/>
    </row>
    <row r="121" spans="1:21" s="16" customFormat="1" outlineLevel="1">
      <c r="A121" s="16" t="str">
        <f t="shared" si="13"/>
        <v>Cancelado</v>
      </c>
      <c r="B121" s="16">
        <f t="shared" si="14"/>
        <v>3</v>
      </c>
      <c r="C121" s="24" t="s">
        <v>1458</v>
      </c>
      <c r="D121" s="9" t="s">
        <v>1459</v>
      </c>
      <c r="E121" s="8">
        <v>227700</v>
      </c>
      <c r="F121" s="715">
        <v>46094</v>
      </c>
      <c r="G121" s="16" t="s">
        <v>20</v>
      </c>
      <c r="H121" s="16">
        <f>IF(OR(G121="Sin pagar",G121="Pagar"),NETWORKDAYS($J$99,F121,'Festivos Colombia'!$A$3:$A$22),0)</f>
        <v>0</v>
      </c>
      <c r="I121" s="16">
        <f>NETWORKDAYS($J$99,F121,'Festivos Colombia'!$A$3:$A$22)</f>
        <v>10</v>
      </c>
      <c r="J121" s="46">
        <f t="shared" si="15"/>
        <v>0</v>
      </c>
      <c r="K121" s="58"/>
      <c r="L121" s="25"/>
    </row>
    <row r="122" spans="1:21" s="16" customFormat="1" outlineLevel="1">
      <c r="A122" s="16" t="str">
        <f t="shared" ref="A122" si="16">G122</f>
        <v>Cancelado</v>
      </c>
      <c r="B122" s="16">
        <f t="shared" ref="B122" si="17">IF(I122&lt;=-1,1,IF(I122&lt;=5,2,IF(I122&lt;=15,3,IF(H122&lt;=60,4))))</f>
        <v>3</v>
      </c>
      <c r="C122" s="24" t="s">
        <v>1463</v>
      </c>
      <c r="D122" s="9" t="s">
        <v>1459</v>
      </c>
      <c r="E122" s="8">
        <v>227700</v>
      </c>
      <c r="F122" s="715">
        <v>46094</v>
      </c>
      <c r="G122" s="16" t="s">
        <v>20</v>
      </c>
      <c r="H122" s="16">
        <f>IF(OR(G122="Sin pagar",G122="Pagar"),NETWORKDAYS($J$99,F122,'Festivos Colombia'!$A$3:$A$22),0)</f>
        <v>0</v>
      </c>
      <c r="I122" s="16">
        <f>NETWORKDAYS($J$99,F122,'Festivos Colombia'!$A$3:$A$22)</f>
        <v>10</v>
      </c>
      <c r="J122" s="46">
        <f t="shared" ref="J122" si="18">H122</f>
        <v>0</v>
      </c>
      <c r="K122" s="58"/>
      <c r="L122" s="25"/>
    </row>
    <row r="123" spans="1:21" s="16" customFormat="1" outlineLevel="1">
      <c r="A123" s="16" t="str">
        <f t="shared" ref="A123:A125" si="19">G123</f>
        <v>Cancelado</v>
      </c>
      <c r="B123" s="16">
        <f t="shared" ref="B123:B125" si="20">IF(I123&lt;=-1,1,IF(I123&lt;=5,2,IF(I123&lt;=15,3,IF(H123&lt;=60,4))))</f>
        <v>3</v>
      </c>
      <c r="C123" s="24" t="s">
        <v>1522</v>
      </c>
      <c r="D123" s="9" t="s">
        <v>1523</v>
      </c>
      <c r="E123" s="8">
        <v>399119</v>
      </c>
      <c r="F123" s="353">
        <v>46101</v>
      </c>
      <c r="G123" s="16" t="s">
        <v>20</v>
      </c>
      <c r="H123" s="16">
        <f>IF(OR(G123="Sin pagar",G123="Pagar"),NETWORKDAYS($J$99,F123,'Festivos Colombia'!$A$3:$A$22),0)</f>
        <v>0</v>
      </c>
      <c r="I123" s="16">
        <f>NETWORKDAYS($J$99,F123,'Festivos Colombia'!$A$3:$A$22)</f>
        <v>15</v>
      </c>
      <c r="J123" s="46">
        <f t="shared" ref="J123:J125" si="21">H123</f>
        <v>0</v>
      </c>
      <c r="K123" s="58"/>
      <c r="L123" s="25"/>
    </row>
    <row r="124" spans="1:21" s="16" customFormat="1" outlineLevel="1">
      <c r="A124" s="16" t="str">
        <f t="shared" si="19"/>
        <v>Cancelado</v>
      </c>
      <c r="B124" s="16">
        <f t="shared" si="20"/>
        <v>3</v>
      </c>
      <c r="C124" s="24">
        <v>37</v>
      </c>
      <c r="D124" s="9" t="s">
        <v>85</v>
      </c>
      <c r="E124" s="8">
        <v>1100000</v>
      </c>
      <c r="F124" s="353">
        <v>46101</v>
      </c>
      <c r="G124" s="16" t="s">
        <v>20</v>
      </c>
      <c r="H124" s="16">
        <f>IF(OR(G124="Sin pagar",G124="Pagar"),NETWORKDAYS($J$99,F124,'Festivos Colombia'!$A$3:$A$22),0)</f>
        <v>0</v>
      </c>
      <c r="I124" s="16">
        <f>NETWORKDAYS($J$99,F124,'Festivos Colombia'!$A$3:$A$22)</f>
        <v>15</v>
      </c>
      <c r="J124" s="46">
        <f t="shared" ref="J124" si="22">H124</f>
        <v>0</v>
      </c>
      <c r="K124" s="58"/>
      <c r="S124" s="27"/>
    </row>
    <row r="125" spans="1:21" s="16" customFormat="1" outlineLevel="1">
      <c r="A125" s="16" t="str">
        <f t="shared" si="19"/>
        <v>Cancelado</v>
      </c>
      <c r="B125" s="16">
        <f t="shared" si="20"/>
        <v>3</v>
      </c>
      <c r="C125" s="56">
        <v>64</v>
      </c>
      <c r="D125" s="9" t="s">
        <v>34</v>
      </c>
      <c r="E125" s="350">
        <v>180000</v>
      </c>
      <c r="F125" s="353">
        <v>46101</v>
      </c>
      <c r="G125" s="16" t="s">
        <v>20</v>
      </c>
      <c r="H125" s="16">
        <f>IF(OR(G125="Sin pagar",G125="Pagar"),NETWORKDAYS($J$99,F125,'Festivos Colombia'!$A$3:$A$22),0)</f>
        <v>0</v>
      </c>
      <c r="I125" s="16">
        <f>NETWORKDAYS($J$99,F125,'Festivos Colombia'!$A$3:$A$22)</f>
        <v>15</v>
      </c>
      <c r="J125" s="46">
        <f t="shared" si="21"/>
        <v>0</v>
      </c>
      <c r="K125" s="58"/>
      <c r="L125" s="27"/>
      <c r="M125" s="27"/>
      <c r="N125" s="27"/>
      <c r="O125" s="27"/>
      <c r="T125" s="27"/>
      <c r="U125" s="27"/>
    </row>
    <row r="126" spans="1:21" s="16" customFormat="1" outlineLevel="1">
      <c r="A126" s="16" t="str">
        <f t="shared" ref="A126:A128" si="23">G126</f>
        <v>Cancelado</v>
      </c>
      <c r="B126" s="16">
        <f t="shared" ref="B126:B128" si="24">IF(I126&lt;=-1,1,IF(I126&lt;=5,2,IF(I126&lt;=15,3,IF(H126&lt;=60,4))))</f>
        <v>3</v>
      </c>
      <c r="C126" s="198" t="s">
        <v>1537</v>
      </c>
      <c r="D126" s="9" t="s">
        <v>35</v>
      </c>
      <c r="E126" s="350">
        <v>1504416</v>
      </c>
      <c r="F126" s="353">
        <v>46101</v>
      </c>
      <c r="G126" s="16" t="s">
        <v>20</v>
      </c>
      <c r="H126" s="16">
        <f>IF(OR(G126="Sin pagar",G126="Pagar"),NETWORKDAYS($J$99,F126,'Festivos Colombia'!$A$3:$A$22),0)</f>
        <v>0</v>
      </c>
      <c r="I126" s="16">
        <f>NETWORKDAYS($J$99,F126,'Festivos Colombia'!$A$3:$A$22)</f>
        <v>15</v>
      </c>
      <c r="J126" s="46">
        <f t="shared" ref="J126:J128" si="25">H126</f>
        <v>0</v>
      </c>
      <c r="K126" s="58"/>
      <c r="S126" s="27"/>
    </row>
    <row r="127" spans="1:21" s="16" customFormat="1" outlineLevel="1">
      <c r="A127" s="16" t="str">
        <f t="shared" si="23"/>
        <v>Cancelado</v>
      </c>
      <c r="B127" s="16">
        <f t="shared" si="24"/>
        <v>3</v>
      </c>
      <c r="C127" s="56">
        <v>6038761603</v>
      </c>
      <c r="D127" s="9" t="s">
        <v>1392</v>
      </c>
      <c r="E127" s="350">
        <v>810543.9</v>
      </c>
      <c r="F127" s="353">
        <v>46101</v>
      </c>
      <c r="G127" s="16" t="s">
        <v>20</v>
      </c>
      <c r="H127" s="16">
        <f>IF(OR(G127="Sin pagar",G127="Pagar"),NETWORKDAYS($J$99,F127,'Festivos Colombia'!$A$3:$A$22),0)</f>
        <v>0</v>
      </c>
      <c r="I127" s="16">
        <f>NETWORKDAYS($J$99,F127,'Festivos Colombia'!$A$3:$A$22)</f>
        <v>15</v>
      </c>
      <c r="J127" s="46">
        <f t="shared" si="25"/>
        <v>0</v>
      </c>
      <c r="K127" s="58"/>
      <c r="L127" s="27"/>
      <c r="M127" s="27"/>
      <c r="N127" s="27"/>
      <c r="O127" s="27"/>
      <c r="T127" s="27"/>
      <c r="U127" s="27"/>
    </row>
    <row r="128" spans="1:21" s="16" customFormat="1" outlineLevel="1">
      <c r="A128" s="16" t="str">
        <f t="shared" si="23"/>
        <v>Cancelado</v>
      </c>
      <c r="B128" s="16">
        <f t="shared" si="24"/>
        <v>4</v>
      </c>
      <c r="C128" s="24" t="s">
        <v>1562</v>
      </c>
      <c r="D128" s="9" t="s">
        <v>1459</v>
      </c>
      <c r="E128" s="8">
        <v>227700</v>
      </c>
      <c r="F128" s="715">
        <v>46108</v>
      </c>
      <c r="G128" s="16" t="s">
        <v>20</v>
      </c>
      <c r="H128" s="16">
        <f>IF(OR(G128="Sin pagar",G128="Pagar"),NETWORKDAYS($J$99,F128,'Festivos Colombia'!$A$3:$A$22),0)</f>
        <v>0</v>
      </c>
      <c r="I128" s="16">
        <f>NETWORKDAYS($J$99,F128,'Festivos Colombia'!$A$3:$A$22)</f>
        <v>19</v>
      </c>
      <c r="J128" s="46">
        <f t="shared" si="25"/>
        <v>0</v>
      </c>
      <c r="K128" s="58"/>
      <c r="L128" s="25"/>
    </row>
    <row r="129" spans="1:21" s="16" customFormat="1" outlineLevel="1">
      <c r="A129" s="16" t="str">
        <f t="shared" ref="A129" si="26">G129</f>
        <v>Cancelado</v>
      </c>
      <c r="B129" s="16">
        <f t="shared" ref="B129" si="27">IF(I129&lt;=-1,1,IF(I129&lt;=5,2,IF(I129&lt;=15,3,IF(H129&lt;=60,4))))</f>
        <v>4</v>
      </c>
      <c r="C129" s="56">
        <v>1</v>
      </c>
      <c r="D129" s="9" t="s">
        <v>1538</v>
      </c>
      <c r="E129" s="350">
        <v>300000</v>
      </c>
      <c r="F129" s="353">
        <v>46108</v>
      </c>
      <c r="G129" s="16" t="s">
        <v>20</v>
      </c>
      <c r="H129" s="16">
        <f>IF(OR(G129="Sin pagar",G129="Pagar"),NETWORKDAYS($J$99,F129,'Festivos Colombia'!$A$3:$A$22),0)</f>
        <v>0</v>
      </c>
      <c r="I129" s="16">
        <f>NETWORKDAYS($J$99,F129,'Festivos Colombia'!$A$3:$A$22)</f>
        <v>19</v>
      </c>
      <c r="J129" s="46">
        <f t="shared" ref="J129" si="28">H129</f>
        <v>0</v>
      </c>
      <c r="K129" s="58"/>
      <c r="L129" s="27"/>
      <c r="M129" s="27"/>
      <c r="N129" s="27"/>
      <c r="O129" s="27"/>
      <c r="T129" s="27"/>
      <c r="U129" s="27"/>
    </row>
    <row r="130" spans="1:21" s="16" customFormat="1" outlineLevel="1">
      <c r="A130" s="16" t="str">
        <f>G130</f>
        <v>Cancelado</v>
      </c>
      <c r="B130" s="16">
        <f>IF(I130&lt;=-1,1,IF(I130&lt;=5,2,IF(I130&lt;=15,3,IF(H130&lt;=60,4))))</f>
        <v>4</v>
      </c>
      <c r="C130" s="234" t="s">
        <v>1563</v>
      </c>
      <c r="D130" s="9" t="s">
        <v>228</v>
      </c>
      <c r="E130" s="8">
        <v>936519</v>
      </c>
      <c r="F130" s="353">
        <v>46108</v>
      </c>
      <c r="G130" s="16" t="s">
        <v>20</v>
      </c>
      <c r="H130" s="16">
        <f>IF(OR(G130="Sin pagar",G130="Pagar"),NETWORKDAYS($J$99,F130,'Festivos Colombia'!$A$3:$A$22),0)</f>
        <v>0</v>
      </c>
      <c r="I130" s="16">
        <f>NETWORKDAYS($J$99,F130,'Festivos Colombia'!$A$3:$A$22)</f>
        <v>19</v>
      </c>
      <c r="J130" s="46">
        <f>H130</f>
        <v>0</v>
      </c>
      <c r="K130" s="58"/>
      <c r="L130" s="14"/>
      <c r="M130" s="8"/>
    </row>
    <row r="131" spans="1:21" s="16" customFormat="1" ht="14.25" customHeight="1" outlineLevel="1">
      <c r="A131" s="16" t="str">
        <f>G131</f>
        <v>Cancelado</v>
      </c>
      <c r="B131" s="16">
        <f>IF(I131&lt;=-1,1,IF(I131&lt;=5,2,IF(I131&lt;=15,3,IF(H131&lt;=60,4))))</f>
        <v>4</v>
      </c>
      <c r="C131" s="767" t="s">
        <v>1616</v>
      </c>
      <c r="D131" s="9" t="s">
        <v>1352</v>
      </c>
      <c r="E131" s="350">
        <v>66000</v>
      </c>
      <c r="F131" s="353">
        <v>46111</v>
      </c>
      <c r="G131" s="16" t="s">
        <v>20</v>
      </c>
      <c r="H131" s="16">
        <f>IF(OR(G131="Sin pagar",G131="Pagar"),NETWORKDAYS($J$99,F131,'Festivos Colombia'!$A$3:$A$22),0)</f>
        <v>0</v>
      </c>
      <c r="I131" s="16">
        <f>NETWORKDAYS($J$99,F131,'Festivos Colombia'!$A$3:$A$22)</f>
        <v>20</v>
      </c>
      <c r="J131" s="46">
        <f>H131</f>
        <v>0</v>
      </c>
      <c r="K131" s="58"/>
      <c r="S131" s="27"/>
    </row>
    <row r="132" spans="1:21" s="16" customFormat="1" ht="14.25" customHeight="1" outlineLevel="1">
      <c r="A132" s="16" t="str">
        <f>G132</f>
        <v>Cancelado</v>
      </c>
      <c r="B132" s="16">
        <f>IF(I132&lt;=-1,1,IF(I132&lt;=5,2,IF(I132&lt;=15,3,IF(H132&lt;=60,4))))</f>
        <v>4</v>
      </c>
      <c r="C132" s="771" t="s">
        <v>1646</v>
      </c>
      <c r="D132" s="9" t="s">
        <v>1647</v>
      </c>
      <c r="E132" s="350">
        <v>252011.48</v>
      </c>
      <c r="F132" s="353">
        <v>46118</v>
      </c>
      <c r="G132" s="16" t="s">
        <v>20</v>
      </c>
      <c r="H132" s="16">
        <f>IF(OR(G132="Sin pagar",G132="Pagar"),NETWORKDAYS($J$99,F132,'Festivos Colombia'!$A$3:$A$22),0)</f>
        <v>0</v>
      </c>
      <c r="I132" s="16">
        <f>NETWORKDAYS($J$99,F132,'Festivos Colombia'!$A$3:$A$22)</f>
        <v>23</v>
      </c>
      <c r="J132" s="46">
        <f>H132</f>
        <v>0</v>
      </c>
      <c r="K132" s="58"/>
      <c r="S132" s="27"/>
    </row>
    <row r="133" spans="1:21" s="16" customFormat="1" outlineLevel="1">
      <c r="A133" s="16" t="str">
        <f t="shared" ref="A133:A134" si="29">G133</f>
        <v>Sin Pagar</v>
      </c>
      <c r="B133" s="16">
        <f t="shared" ref="B133:B134" si="30">IF(I133&lt;=-1,1,IF(I133&lt;=5,2,IF(I133&lt;=15,3,IF(H133&lt;=60,4))))</f>
        <v>4</v>
      </c>
      <c r="C133" s="24" t="s">
        <v>1632</v>
      </c>
      <c r="D133" s="9" t="s">
        <v>32</v>
      </c>
      <c r="E133" s="8">
        <f>358066.76*0</f>
        <v>0</v>
      </c>
      <c r="F133" s="353">
        <v>46122</v>
      </c>
      <c r="G133" s="16" t="s">
        <v>5</v>
      </c>
      <c r="H133" s="16">
        <f>IF(OR(G133="Sin pagar",G133="Pagar"),NETWORKDAYS($J$99,F133,'Festivos Colombia'!$A$3:$A$22),0)</f>
        <v>27</v>
      </c>
      <c r="I133" s="16">
        <f>NETWORKDAYS($J$99,F133,'Festivos Colombia'!$A$3:$A$22)</f>
        <v>27</v>
      </c>
      <c r="J133" s="46">
        <f t="shared" ref="J133:J134" si="31">H133</f>
        <v>27</v>
      </c>
      <c r="K133" s="58"/>
      <c r="L133" s="25"/>
    </row>
    <row r="134" spans="1:21" s="16" customFormat="1" outlineLevel="1">
      <c r="A134" s="16" t="str">
        <f t="shared" si="29"/>
        <v>Sin Pagar</v>
      </c>
      <c r="B134" s="16">
        <f t="shared" si="30"/>
        <v>4</v>
      </c>
      <c r="C134" s="24">
        <v>28184</v>
      </c>
      <c r="D134" s="9" t="s">
        <v>610</v>
      </c>
      <c r="E134" s="8">
        <f>634400*0</f>
        <v>0</v>
      </c>
      <c r="F134" s="353">
        <v>46122</v>
      </c>
      <c r="G134" s="16" t="s">
        <v>5</v>
      </c>
      <c r="H134" s="16">
        <f>IF(OR(G134="Sin pagar",G134="Pagar"),NETWORKDAYS($J$99,F134,'Festivos Colombia'!$A$3:$A$22),0)</f>
        <v>27</v>
      </c>
      <c r="I134" s="16">
        <f>NETWORKDAYS($J$99,F134,'Festivos Colombia'!$A$3:$A$22)</f>
        <v>27</v>
      </c>
      <c r="J134" s="46">
        <f t="shared" si="31"/>
        <v>27</v>
      </c>
      <c r="K134" s="58"/>
      <c r="S134" s="27"/>
    </row>
    <row r="135" spans="1:21" s="16" customFormat="1" outlineLevel="1">
      <c r="A135" s="16" t="str">
        <f>G135</f>
        <v>Sin Pagar</v>
      </c>
      <c r="B135" s="16">
        <f>IF(I135&lt;=-1,1,IF(I135&lt;=5,2,IF(I135&lt;=15,3,IF(H135&lt;=60,4))))</f>
        <v>4</v>
      </c>
      <c r="C135" s="234" t="s">
        <v>1633</v>
      </c>
      <c r="D135" s="9" t="s">
        <v>33</v>
      </c>
      <c r="E135" s="8">
        <f>362715*0</f>
        <v>0</v>
      </c>
      <c r="F135" s="353">
        <v>46123</v>
      </c>
      <c r="G135" s="16" t="s">
        <v>5</v>
      </c>
      <c r="H135" s="16">
        <f>IF(OR(G135="Sin pagar",G135="Pagar"),NETWORKDAYS($J$99,F135,'Festivos Colombia'!$A$3:$A$22),0)</f>
        <v>27</v>
      </c>
      <c r="I135" s="16">
        <f>NETWORKDAYS($J$99,F135,'Festivos Colombia'!$A$3:$A$22)</f>
        <v>27</v>
      </c>
      <c r="J135" s="46">
        <f>H135</f>
        <v>27</v>
      </c>
      <c r="K135" s="58"/>
      <c r="L135" s="14"/>
      <c r="M135" s="8"/>
    </row>
    <row r="136" spans="1:21" s="16" customFormat="1" ht="15.75" outlineLevel="1" thickBot="1">
      <c r="A136" s="16" t="str">
        <f t="shared" ref="A136" si="32">G136</f>
        <v>Sin Pagar</v>
      </c>
      <c r="B136" s="16">
        <f t="shared" ref="B136" si="33">IF(I136&lt;=-1,1,IF(I136&lt;=5,2,IF(I136&lt;=15,3,IF(H136&lt;=60,4))))</f>
        <v>4</v>
      </c>
      <c r="C136" s="234" t="s">
        <v>1627</v>
      </c>
      <c r="D136" s="9" t="s">
        <v>1628</v>
      </c>
      <c r="E136" s="8">
        <f>110900*0</f>
        <v>0</v>
      </c>
      <c r="F136" s="353">
        <v>46129</v>
      </c>
      <c r="G136" s="16" t="s">
        <v>5</v>
      </c>
      <c r="H136" s="16">
        <f>IF(OR(G136="Sin pagar",G136="Pagar"),NETWORKDAYS($J$99,F136,'Festivos Colombia'!$A$3:$A$22),0)</f>
        <v>32</v>
      </c>
      <c r="I136" s="16">
        <f>NETWORKDAYS($J$99,F136,'Festivos Colombia'!$A$3:$A$22)</f>
        <v>32</v>
      </c>
      <c r="J136" s="46">
        <f t="shared" ref="J136" si="34">H136</f>
        <v>32</v>
      </c>
      <c r="K136" s="58"/>
      <c r="L136" s="14"/>
      <c r="M136" s="8"/>
    </row>
    <row r="137" spans="1:21" s="16" customFormat="1" ht="16.5" thickBot="1">
      <c r="D137" s="351" t="s">
        <v>39</v>
      </c>
      <c r="E137" s="352">
        <f>SUBTOTAL(9,E138:E139)</f>
        <v>1868879</v>
      </c>
      <c r="J137" s="46"/>
      <c r="L137" s="27"/>
      <c r="M137" s="27"/>
      <c r="N137" s="27"/>
      <c r="O137" s="27"/>
      <c r="T137" s="27"/>
      <c r="U137" s="27"/>
    </row>
    <row r="138" spans="1:21" s="16" customFormat="1" ht="14.25" customHeight="1" outlineLevel="1">
      <c r="A138" s="16" t="str">
        <f>G138</f>
        <v>Cancelado</v>
      </c>
      <c r="B138" s="16">
        <f>IF(I138&lt;=-1,1,IF(I138&lt;=5,2,IF(I138&lt;=15,3,IF(H138&lt;=60,4))))</f>
        <v>4</v>
      </c>
      <c r="C138" s="56" t="s">
        <v>1600</v>
      </c>
      <c r="D138" s="9" t="s">
        <v>1085</v>
      </c>
      <c r="E138" s="8">
        <v>1064823</v>
      </c>
      <c r="F138" s="7">
        <v>46108</v>
      </c>
      <c r="G138" s="16" t="s">
        <v>20</v>
      </c>
      <c r="H138" s="16">
        <f>IF(OR(G138="Sin pagar",G138="Pagar"),NETWORKDAYS($J$99,F138,'Festivos Colombia'!$A$3:$A$22),0)</f>
        <v>0</v>
      </c>
      <c r="I138" s="16">
        <f>NETWORKDAYS($J$99,F138,'Festivos Colombia'!$A$3:$A$22)</f>
        <v>19</v>
      </c>
      <c r="J138" s="46">
        <f>H138</f>
        <v>0</v>
      </c>
      <c r="K138" s="58"/>
      <c r="L138" s="8"/>
    </row>
    <row r="139" spans="1:21" s="16" customFormat="1" ht="15.75" outlineLevel="1" thickBot="1">
      <c r="A139" s="16" t="str">
        <f>G139</f>
        <v>Cancelado</v>
      </c>
      <c r="B139" s="16">
        <f>IF(I139&lt;=-1,1,IF(I139&lt;=5,2,IF(I139&lt;=15,3,IF(H139&lt;=60,4))))</f>
        <v>4</v>
      </c>
      <c r="C139" s="684" t="s">
        <v>1138</v>
      </c>
      <c r="D139" s="9" t="s">
        <v>40</v>
      </c>
      <c r="E139" s="350">
        <f>804056</f>
        <v>804056</v>
      </c>
      <c r="F139" s="7">
        <v>46108</v>
      </c>
      <c r="G139" s="16" t="s">
        <v>20</v>
      </c>
      <c r="H139" s="16">
        <f>IF(OR(G139="Sin pagar",G139="Pagar"),NETWORKDAYS($J$99,F139,'Festivos Colombia'!$A$3:$A$22),0)</f>
        <v>0</v>
      </c>
      <c r="I139" s="16">
        <f>NETWORKDAYS($J$99,F139,'Festivos Colombia'!$A$3:$A$22)</f>
        <v>19</v>
      </c>
      <c r="J139" s="46">
        <f t="shared" ref="J139" si="35">H139</f>
        <v>0</v>
      </c>
      <c r="K139" s="58" t="s">
        <v>44</v>
      </c>
    </row>
    <row r="140" spans="1:21" s="27" customFormat="1" ht="16.5" thickBot="1">
      <c r="A140" s="16"/>
      <c r="B140" s="16"/>
      <c r="D140" s="351" t="s">
        <v>41</v>
      </c>
      <c r="E140" s="352">
        <f>SUBTOTAL(9,E141:E143)</f>
        <v>10622309</v>
      </c>
      <c r="J140" s="46"/>
      <c r="K140" s="16"/>
      <c r="L140" s="16"/>
      <c r="M140" s="16"/>
      <c r="N140" s="16"/>
      <c r="O140" s="16"/>
      <c r="S140" s="16"/>
      <c r="T140" s="16"/>
      <c r="U140" s="16"/>
    </row>
    <row r="141" spans="1:21" s="27" customFormat="1" outlineLevel="1">
      <c r="A141" s="16" t="str">
        <f t="shared" ref="A141" si="36">G141</f>
        <v>Cancelado</v>
      </c>
      <c r="B141" s="16">
        <f t="shared" ref="B141" si="37">IF(I141&lt;=-1,1,IF(I141&lt;=5,2,IF(I141&lt;=15,3,IF(H141&lt;=60,4))))</f>
        <v>3</v>
      </c>
      <c r="C141" s="716" t="s">
        <v>1461</v>
      </c>
      <c r="D141" s="9" t="s">
        <v>42</v>
      </c>
      <c r="E141" s="681">
        <f>668368</f>
        <v>668368</v>
      </c>
      <c r="F141" s="682">
        <v>46093</v>
      </c>
      <c r="G141" s="16" t="s">
        <v>20</v>
      </c>
      <c r="H141" s="16">
        <f>IF(OR(G141="Sin pagar",G141="Pagar"),NETWORKDAYS($J$99,F141,'Festivos Colombia'!$A$3:$A$22),0)</f>
        <v>0</v>
      </c>
      <c r="I141" s="16">
        <f>NETWORKDAYS($J$99,F141,'Festivos Colombia'!$A$3:$A$22)</f>
        <v>9</v>
      </c>
      <c r="J141" s="46">
        <f t="shared" ref="J141" si="38">H141</f>
        <v>0</v>
      </c>
      <c r="K141" s="58"/>
      <c r="L141" s="16"/>
      <c r="M141" s="16"/>
      <c r="N141" s="25"/>
      <c r="O141" s="16"/>
      <c r="S141" s="16"/>
      <c r="T141" s="16"/>
      <c r="U141" s="16"/>
    </row>
    <row r="142" spans="1:21" s="27" customFormat="1" outlineLevel="1">
      <c r="A142" s="16" t="str">
        <f t="shared" ref="A142" si="39">G142</f>
        <v>Cancelado</v>
      </c>
      <c r="B142" s="16">
        <f t="shared" ref="B142" si="40">IF(I142&lt;=-1,1,IF(I142&lt;=5,2,IF(I142&lt;=15,3,IF(H142&lt;=60,4))))</f>
        <v>3</v>
      </c>
      <c r="C142" s="716" t="s">
        <v>1460</v>
      </c>
      <c r="D142" s="9" t="s">
        <v>42</v>
      </c>
      <c r="E142" s="681">
        <v>58149</v>
      </c>
      <c r="F142" s="682">
        <v>46093</v>
      </c>
      <c r="G142" s="16" t="s">
        <v>20</v>
      </c>
      <c r="H142" s="16">
        <f>IF(OR(G142="Sin pagar",G142="Pagar"),NETWORKDAYS($J$99,F142,'Festivos Colombia'!$A$3:$A$22),0)</f>
        <v>0</v>
      </c>
      <c r="I142" s="16">
        <f>NETWORKDAYS($J$99,F142,'Festivos Colombia'!$A$3:$A$22)</f>
        <v>9</v>
      </c>
      <c r="J142" s="46">
        <f t="shared" ref="J142" si="41">H142</f>
        <v>0</v>
      </c>
      <c r="K142" s="58"/>
      <c r="L142" s="16"/>
      <c r="M142" s="16"/>
      <c r="N142" s="25"/>
      <c r="O142" s="16"/>
      <c r="S142" s="16"/>
      <c r="T142" s="16"/>
      <c r="U142" s="16"/>
    </row>
    <row r="143" spans="1:21" s="27" customFormat="1" ht="15.75" outlineLevel="1" thickBot="1">
      <c r="A143" s="16" t="str">
        <f t="shared" ref="A143" si="42">G143</f>
        <v>Cancelado</v>
      </c>
      <c r="B143" s="16">
        <f t="shared" ref="B143" si="43">IF(I143&lt;=-1,1,IF(I143&lt;=5,2,IF(I143&lt;=15,3,IF(H143&lt;=60,4))))</f>
        <v>4</v>
      </c>
      <c r="C143" s="768">
        <v>20911218363</v>
      </c>
      <c r="D143" s="9" t="s">
        <v>43</v>
      </c>
      <c r="E143" s="350">
        <f>9895792</f>
        <v>9895792</v>
      </c>
      <c r="F143" s="682">
        <v>46111</v>
      </c>
      <c r="G143" s="16" t="s">
        <v>20</v>
      </c>
      <c r="H143" s="16">
        <f>IF(OR(G143="Sin pagar",G143="Pagar"),NETWORKDAYS($J$99,F143,'Festivos Colombia'!$A$3:$A$22),0)</f>
        <v>0</v>
      </c>
      <c r="I143" s="16">
        <f>NETWORKDAYS($J$99,F143,'Festivos Colombia'!$A$3:$A$22)</f>
        <v>20</v>
      </c>
      <c r="J143" s="46">
        <f t="shared" ref="J143" si="44">H143</f>
        <v>0</v>
      </c>
      <c r="K143" s="58"/>
      <c r="L143" s="16"/>
      <c r="M143" s="16"/>
      <c r="N143" s="25"/>
      <c r="O143" s="16"/>
      <c r="S143" s="16"/>
      <c r="T143" s="16"/>
      <c r="U143" s="16"/>
    </row>
    <row r="144" spans="1:21" s="16" customFormat="1" ht="16.5" thickBot="1">
      <c r="D144" s="351" t="s">
        <v>45</v>
      </c>
      <c r="E144" s="352">
        <f>SUBTOTAL(9,E145:E151)</f>
        <v>758000</v>
      </c>
      <c r="J144" s="46"/>
      <c r="K144" s="50"/>
    </row>
    <row r="145" spans="1:12" s="16" customFormat="1" outlineLevel="1">
      <c r="A145" s="16" t="str">
        <f>G145</f>
        <v>Cancelado</v>
      </c>
      <c r="B145" s="16">
        <f>IF(I145&lt;=-1,1,IF(I145&lt;=5,2,IF(I145&lt;=15,3,IF(H145&lt;=60,4))))</f>
        <v>2</v>
      </c>
      <c r="C145" s="24">
        <v>21</v>
      </c>
      <c r="D145" s="9" t="s">
        <v>95</v>
      </c>
      <c r="E145" s="8">
        <f>78000</f>
        <v>78000</v>
      </c>
      <c r="F145" s="353">
        <v>46087</v>
      </c>
      <c r="G145" s="16" t="s">
        <v>20</v>
      </c>
      <c r="H145" s="16">
        <f>IF(OR(G145="Sin pagar",G145="Pagar"),NETWORKDAYS($J$99,F145,'Festivos Colombia'!$A$3:$A$22),0)</f>
        <v>0</v>
      </c>
      <c r="I145" s="16">
        <f>NETWORKDAYS($J$99,F145,'Festivos Colombia'!$A$3:$A$22)</f>
        <v>5</v>
      </c>
      <c r="J145" s="46">
        <f>H145</f>
        <v>0</v>
      </c>
      <c r="K145" s="58"/>
      <c r="L145" s="25"/>
    </row>
    <row r="146" spans="1:12" s="16" customFormat="1" outlineLevel="1">
      <c r="A146" s="16" t="str">
        <f t="shared" ref="A146:A150" si="45">G146</f>
        <v>Cancelado</v>
      </c>
      <c r="B146" s="16">
        <f t="shared" ref="B146:B150" si="46">IF(I146&lt;=-1,1,IF(I146&lt;=5,2,IF(I146&lt;=15,3,IF(H146&lt;=60,4))))</f>
        <v>2</v>
      </c>
      <c r="C146" s="24">
        <v>61</v>
      </c>
      <c r="D146" s="9" t="s">
        <v>46</v>
      </c>
      <c r="E146" s="8">
        <v>39000</v>
      </c>
      <c r="F146" s="353">
        <v>46087</v>
      </c>
      <c r="G146" s="16" t="s">
        <v>20</v>
      </c>
      <c r="H146" s="16">
        <f>IF(OR(G146="Sin pagar",G146="Pagar"),NETWORKDAYS($J$99,F146,'Festivos Colombia'!$A$3:$A$22),0)</f>
        <v>0</v>
      </c>
      <c r="I146" s="16">
        <f>NETWORKDAYS($J$99,F146,'Festivos Colombia'!$A$3:$A$22)</f>
        <v>5</v>
      </c>
      <c r="J146" s="46">
        <f t="shared" ref="J146:J149" si="47">H146</f>
        <v>0</v>
      </c>
      <c r="K146" s="58"/>
      <c r="L146" s="25"/>
    </row>
    <row r="147" spans="1:12" s="16" customFormat="1" outlineLevel="1">
      <c r="A147" s="16" t="str">
        <f t="shared" si="45"/>
        <v>Cancelado</v>
      </c>
      <c r="B147" s="16">
        <f t="shared" si="46"/>
        <v>3</v>
      </c>
      <c r="C147" s="24">
        <v>62</v>
      </c>
      <c r="D147" s="9" t="s">
        <v>46</v>
      </c>
      <c r="E147" s="8">
        <v>91000</v>
      </c>
      <c r="F147" s="715">
        <v>46094</v>
      </c>
      <c r="G147" s="16" t="s">
        <v>20</v>
      </c>
      <c r="H147" s="16">
        <f>IF(OR(G147="Sin pagar",G147="Pagar"),NETWORKDAYS($J$99,F147,'Festivos Colombia'!$A$3:$A$22),0)</f>
        <v>0</v>
      </c>
      <c r="I147" s="16">
        <f>NETWORKDAYS($J$99,F147,'Festivos Colombia'!$A$3:$A$22)</f>
        <v>10</v>
      </c>
      <c r="J147" s="46">
        <f t="shared" si="47"/>
        <v>0</v>
      </c>
      <c r="K147" s="58"/>
      <c r="L147" s="25"/>
    </row>
    <row r="148" spans="1:12" s="16" customFormat="1" outlineLevel="1">
      <c r="A148" s="16" t="str">
        <f>G148</f>
        <v>Cancelado</v>
      </c>
      <c r="B148" s="16">
        <f>IF(I148&lt;=-1,1,IF(I148&lt;=5,2,IF(I148&lt;=15,3,IF(H148&lt;=60,4))))</f>
        <v>3</v>
      </c>
      <c r="C148" s="24">
        <v>22</v>
      </c>
      <c r="D148" s="9" t="s">
        <v>95</v>
      </c>
      <c r="E148" s="8">
        <v>81000</v>
      </c>
      <c r="F148" s="353">
        <v>46101</v>
      </c>
      <c r="G148" s="16" t="s">
        <v>20</v>
      </c>
      <c r="H148" s="16">
        <f>IF(OR(G148="Sin pagar",G148="Pagar"),NETWORKDAYS($J$99,F148,'Festivos Colombia'!$A$3:$A$22),0)</f>
        <v>0</v>
      </c>
      <c r="I148" s="16">
        <f>NETWORKDAYS($J$99,F148,'Festivos Colombia'!$A$3:$A$22)</f>
        <v>15</v>
      </c>
      <c r="J148" s="46">
        <f>H148</f>
        <v>0</v>
      </c>
      <c r="K148" s="58"/>
      <c r="L148" s="25"/>
    </row>
    <row r="149" spans="1:12" s="16" customFormat="1" outlineLevel="1">
      <c r="A149" s="16" t="str">
        <f t="shared" si="45"/>
        <v>Cancelado</v>
      </c>
      <c r="B149" s="16">
        <f t="shared" si="46"/>
        <v>3</v>
      </c>
      <c r="C149" s="24">
        <v>63</v>
      </c>
      <c r="D149" s="9" t="s">
        <v>46</v>
      </c>
      <c r="E149" s="8">
        <v>69000</v>
      </c>
      <c r="F149" s="353">
        <v>46101</v>
      </c>
      <c r="G149" s="16" t="s">
        <v>20</v>
      </c>
      <c r="H149" s="16">
        <f>IF(OR(G149="Sin pagar",G149="Pagar"),NETWORKDAYS($J$99,F149,'Festivos Colombia'!$A$3:$A$22),0)</f>
        <v>0</v>
      </c>
      <c r="I149" s="16">
        <f>NETWORKDAYS($J$99,F149,'Festivos Colombia'!$A$3:$A$22)</f>
        <v>15</v>
      </c>
      <c r="J149" s="46">
        <f t="shared" si="47"/>
        <v>0</v>
      </c>
      <c r="K149" s="58"/>
      <c r="L149" s="25"/>
    </row>
    <row r="150" spans="1:12" s="16" customFormat="1" outlineLevel="1">
      <c r="A150" s="16" t="str">
        <f t="shared" si="45"/>
        <v>Cancelado</v>
      </c>
      <c r="B150" s="16">
        <f t="shared" si="46"/>
        <v>4</v>
      </c>
      <c r="C150" s="24">
        <v>64</v>
      </c>
      <c r="D150" s="9" t="s">
        <v>46</v>
      </c>
      <c r="E150" s="8">
        <v>301000</v>
      </c>
      <c r="F150" s="7">
        <v>46108</v>
      </c>
      <c r="G150" s="16" t="s">
        <v>20</v>
      </c>
      <c r="H150" s="16">
        <f>IF(OR(G150="Sin pagar",G150="Pagar"),NETWORKDAYS($J$99,F150,'Festivos Colombia'!$A$3:$A$22),0)</f>
        <v>0</v>
      </c>
      <c r="I150" s="16">
        <f>NETWORKDAYS($J$99,F150,'Festivos Colombia'!$A$3:$A$22)</f>
        <v>19</v>
      </c>
      <c r="J150" s="46">
        <f t="shared" ref="J150:J151" si="48">H150</f>
        <v>0</v>
      </c>
      <c r="K150" s="58"/>
      <c r="L150" s="25"/>
    </row>
    <row r="151" spans="1:12" s="16" customFormat="1" ht="15.75" outlineLevel="1" thickBot="1">
      <c r="A151" s="16" t="str">
        <f t="shared" ref="A151" si="49">G151</f>
        <v>Cancelado</v>
      </c>
      <c r="B151" s="16">
        <f t="shared" ref="B151" si="50">IF(I151&lt;=-1,1,IF(I151&lt;=5,2,IF(I151&lt;=15,3,IF(H151&lt;=60,4))))</f>
        <v>4</v>
      </c>
      <c r="C151" s="24">
        <v>65</v>
      </c>
      <c r="D151" s="9" t="s">
        <v>46</v>
      </c>
      <c r="E151" s="8">
        <v>99000</v>
      </c>
      <c r="F151" s="353">
        <v>46112</v>
      </c>
      <c r="G151" s="16" t="s">
        <v>20</v>
      </c>
      <c r="H151" s="16">
        <f>IF(OR(G151="Sin pagar",G151="Pagar"),NETWORKDAYS($J$99,F151,'Festivos Colombia'!$A$3:$A$22),0)</f>
        <v>0</v>
      </c>
      <c r="I151" s="16">
        <f>NETWORKDAYS($J$99,F151,'Festivos Colombia'!$A$3:$A$22)</f>
        <v>21</v>
      </c>
      <c r="J151" s="46">
        <f t="shared" si="48"/>
        <v>0</v>
      </c>
      <c r="K151" s="58"/>
      <c r="L151" s="25"/>
    </row>
    <row r="152" spans="1:12" s="16" customFormat="1" ht="15.75" customHeight="1" thickBot="1">
      <c r="C152" s="28"/>
      <c r="D152" s="354" t="s">
        <v>47</v>
      </c>
      <c r="E152" s="352">
        <f>SUBTOTAL(9,E153:E153)</f>
        <v>0</v>
      </c>
      <c r="J152" s="46"/>
      <c r="L152" s="25"/>
    </row>
    <row r="153" spans="1:12" s="16" customFormat="1" ht="15.75" outlineLevel="1" thickBot="1">
      <c r="C153" s="28"/>
      <c r="D153" s="507"/>
      <c r="E153" s="508">
        <v>0</v>
      </c>
      <c r="F153" s="353">
        <v>46112</v>
      </c>
      <c r="G153" s="16" t="s">
        <v>20</v>
      </c>
      <c r="H153" s="16">
        <f>IF(OR(G153="Sin pagar",G153="Pagar"),NETWORKDAYS($J$99,F153,'Festivos Colombia'!$A$3:$A$22),0)</f>
        <v>0</v>
      </c>
      <c r="I153" s="16">
        <f>NETWORKDAYS($J$99,F153,'Festivos Colombia'!$A$3:$A$22)</f>
        <v>21</v>
      </c>
      <c r="J153" s="46">
        <f>H153</f>
        <v>0</v>
      </c>
      <c r="K153" s="58"/>
      <c r="L153" s="25"/>
    </row>
    <row r="154" spans="1:12" s="16" customFormat="1" ht="16.5" thickBot="1">
      <c r="C154" s="24"/>
      <c r="D154" s="351" t="s">
        <v>104</v>
      </c>
      <c r="E154" s="352">
        <f>SUBTOTAL(9,E155:E155)</f>
        <v>0</v>
      </c>
      <c r="J154" s="46"/>
      <c r="K154" s="25"/>
    </row>
    <row r="155" spans="1:12" s="16" customFormat="1" ht="15.75" outlineLevel="1" thickBot="1">
      <c r="C155" s="28"/>
      <c r="D155" s="9" t="s">
        <v>1390</v>
      </c>
      <c r="E155" s="508">
        <v>0</v>
      </c>
      <c r="F155" s="353">
        <v>46112</v>
      </c>
      <c r="G155" s="16" t="s">
        <v>20</v>
      </c>
      <c r="H155" s="16">
        <f>IF(OR(G155="Sin pagar",G155="Pagar"),NETWORKDAYS($J$99,F155,'Festivos Colombia'!$A$3:$A$22),0)</f>
        <v>0</v>
      </c>
      <c r="I155" s="16">
        <f>NETWORKDAYS($J$99,F155,'Festivos Colombia'!$A$3:$A$22)</f>
        <v>21</v>
      </c>
      <c r="J155" s="46">
        <f t="shared" ref="J155" si="51">H155</f>
        <v>0</v>
      </c>
      <c r="K155" s="58"/>
      <c r="L155" s="25"/>
    </row>
    <row r="156" spans="1:12" s="16" customFormat="1" ht="16.5" thickBot="1">
      <c r="C156" s="24"/>
      <c r="D156" s="351" t="s">
        <v>1008</v>
      </c>
      <c r="E156" s="352">
        <f>SUBTOTAL(9,E157:E158)</f>
        <v>2096104</v>
      </c>
      <c r="J156" s="46"/>
    </row>
    <row r="157" spans="1:12" s="16" customFormat="1" outlineLevel="1">
      <c r="C157" s="28"/>
      <c r="D157" s="9" t="s">
        <v>1475</v>
      </c>
      <c r="E157" s="508">
        <v>864650</v>
      </c>
      <c r="F157" s="353">
        <v>46090</v>
      </c>
      <c r="G157" s="16" t="s">
        <v>20</v>
      </c>
      <c r="H157" s="16">
        <f>IF(OR(G157="Sin pagar",G157="Pagar"),NETWORKDAYS($J$99,F157,'Festivos Colombia'!$A$3:$A$22),0)</f>
        <v>0</v>
      </c>
      <c r="I157" s="16">
        <f>NETWORKDAYS($J$99,F157,'Festivos Colombia'!$A$3:$A$22)</f>
        <v>6</v>
      </c>
      <c r="J157" s="46">
        <f t="shared" ref="J157" si="52">H157</f>
        <v>0</v>
      </c>
      <c r="K157" s="58"/>
      <c r="L157" s="25"/>
    </row>
    <row r="158" spans="1:12" s="16" customFormat="1" ht="15.75" outlineLevel="1" thickBot="1">
      <c r="C158" s="28"/>
      <c r="D158" s="9" t="s">
        <v>1476</v>
      </c>
      <c r="E158" s="508">
        <v>1231454</v>
      </c>
      <c r="F158" s="353">
        <v>46093</v>
      </c>
      <c r="G158" s="16" t="s">
        <v>20</v>
      </c>
      <c r="H158" s="16">
        <f>IF(OR(G158="Sin pagar",G158="Pagar"),NETWORKDAYS($J$99,F158,'Festivos Colombia'!$A$3:$A$22),0)</f>
        <v>0</v>
      </c>
      <c r="I158" s="16">
        <f>NETWORKDAYS($J$99,F158,'Festivos Colombia'!$A$3:$A$22)</f>
        <v>9</v>
      </c>
      <c r="J158" s="46">
        <f t="shared" ref="J158" si="53">H158</f>
        <v>0</v>
      </c>
      <c r="K158" s="58"/>
      <c r="L158" s="25"/>
    </row>
    <row r="159" spans="1:12" s="16" customFormat="1" ht="16.5" thickBot="1">
      <c r="C159" s="24"/>
      <c r="D159" s="351" t="s">
        <v>105</v>
      </c>
      <c r="E159" s="352">
        <f>SUBTOTAL(9,E160:E179)</f>
        <v>29002421.68</v>
      </c>
      <c r="J159" s="46"/>
      <c r="K159" s="25"/>
    </row>
    <row r="160" spans="1:12" s="16" customFormat="1" outlineLevel="1">
      <c r="A160" s="16" t="str">
        <f>G160</f>
        <v>Cancelado</v>
      </c>
      <c r="B160" s="16">
        <f>IF(I160&lt;=-1,1,IF(I160&lt;=5,2,IF(I160&lt;=15,3,IF(H160&lt;=60,4))))</f>
        <v>2</v>
      </c>
      <c r="C160" s="24"/>
      <c r="D160" s="9" t="s">
        <v>1363</v>
      </c>
      <c r="E160" s="350">
        <v>1060011</v>
      </c>
      <c r="F160" s="7">
        <v>46087</v>
      </c>
      <c r="G160" s="16" t="s">
        <v>20</v>
      </c>
      <c r="H160" s="16">
        <f>IF(OR(G160="Sin pagar",G160="Pagar"),NETWORKDAYS($J$99,F160,'Festivos Colombia'!$A$3:$A$22),0)</f>
        <v>0</v>
      </c>
      <c r="I160" s="16">
        <f>NETWORKDAYS($J$99,F160,'Festivos Colombia'!$A$3:$A$22)</f>
        <v>5</v>
      </c>
      <c r="J160" s="46">
        <f>H160</f>
        <v>0</v>
      </c>
      <c r="K160" s="58"/>
      <c r="L160" s="25"/>
    </row>
    <row r="161" spans="1:12" s="16" customFormat="1" outlineLevel="1">
      <c r="A161" s="16" t="str">
        <f>G161</f>
        <v>Cancelado</v>
      </c>
      <c r="B161" s="16">
        <f>IF(I161&lt;=-1,1,IF(I161&lt;=5,2,IF(I161&lt;=15,3,IF(H161&lt;=60,4))))</f>
        <v>2</v>
      </c>
      <c r="C161" s="24" t="s">
        <v>1433</v>
      </c>
      <c r="D161" s="9" t="s">
        <v>1432</v>
      </c>
      <c r="E161" s="350">
        <v>147989</v>
      </c>
      <c r="F161" s="7">
        <v>46087</v>
      </c>
      <c r="G161" s="16" t="s">
        <v>20</v>
      </c>
      <c r="H161" s="16">
        <f>IF(OR(G161="Sin pagar",G161="Pagar"),NETWORKDAYS($J$99,F161,'Festivos Colombia'!$A$3:$A$22),0)</f>
        <v>0</v>
      </c>
      <c r="I161" s="16">
        <f>NETWORKDAYS($J$99,F161,'Festivos Colombia'!$A$3:$A$22)</f>
        <v>5</v>
      </c>
      <c r="J161" s="46">
        <f>H161</f>
        <v>0</v>
      </c>
      <c r="K161" s="58"/>
      <c r="L161" s="25"/>
    </row>
    <row r="162" spans="1:12" s="16" customFormat="1" outlineLevel="1">
      <c r="A162" s="16" t="str">
        <f>G162</f>
        <v>Cancelado</v>
      </c>
      <c r="B162" s="16">
        <f>IF(I162&lt;=-1,1,IF(I162&lt;=5,2,IF(I162&lt;=15,3,IF(H162&lt;=60,4))))</f>
        <v>3</v>
      </c>
      <c r="C162" s="24" t="s">
        <v>1433</v>
      </c>
      <c r="D162" s="9" t="s">
        <v>1477</v>
      </c>
      <c r="E162" s="350">
        <v>1482252.41</v>
      </c>
      <c r="F162" s="7">
        <v>46094</v>
      </c>
      <c r="G162" s="16" t="s">
        <v>20</v>
      </c>
      <c r="H162" s="16">
        <f>IF(OR(G162="Sin pagar",G162="Pagar"),NETWORKDAYS($J$99,F162,'Festivos Colombia'!$A$3:$A$22),0)</f>
        <v>0</v>
      </c>
      <c r="I162" s="16">
        <f>NETWORKDAYS($J$99,F162,'Festivos Colombia'!$A$3:$A$22)</f>
        <v>10</v>
      </c>
      <c r="J162" s="46">
        <f>H162</f>
        <v>0</v>
      </c>
      <c r="K162" s="58"/>
      <c r="L162" s="25"/>
    </row>
    <row r="163" spans="1:12" s="16" customFormat="1" outlineLevel="1">
      <c r="A163" s="16" t="str">
        <f t="shared" ref="A163" si="54">G163</f>
        <v>Cancelado</v>
      </c>
      <c r="B163" s="16">
        <f t="shared" ref="B163" si="55">IF(I163&lt;=-1,1,IF(I163&lt;=5,2,IF(I163&lt;=15,3,IF(H163&lt;=60,4))))</f>
        <v>4</v>
      </c>
      <c r="C163" s="24"/>
      <c r="D163" s="9" t="s">
        <v>1597</v>
      </c>
      <c r="E163" s="350">
        <v>2005655</v>
      </c>
      <c r="F163" s="353">
        <v>46108</v>
      </c>
      <c r="G163" s="16" t="s">
        <v>20</v>
      </c>
      <c r="H163" s="16">
        <f>IF(OR(G163="Sin pagar",G163="Pagar"),NETWORKDAYS($J$99,F163,'Festivos Colombia'!$A$3:$A$22),0)</f>
        <v>0</v>
      </c>
      <c r="I163" s="16">
        <f>NETWORKDAYS($J$99,F163,'Festivos Colombia'!$A$3:$A$22)</f>
        <v>19</v>
      </c>
      <c r="J163" s="46">
        <f t="shared" ref="J163" si="56">H163</f>
        <v>0</v>
      </c>
      <c r="K163" s="58"/>
      <c r="L163" s="25"/>
    </row>
    <row r="164" spans="1:12" s="16" customFormat="1" outlineLevel="1">
      <c r="A164" s="16" t="str">
        <f t="shared" ref="A164" si="57">G164</f>
        <v>Cancelado</v>
      </c>
      <c r="B164" s="16">
        <f t="shared" ref="B164" si="58">IF(I164&lt;=-1,1,IF(I164&lt;=5,2,IF(I164&lt;=15,3,IF(H164&lt;=60,4))))</f>
        <v>4</v>
      </c>
      <c r="C164" s="24"/>
      <c r="D164" s="9" t="s">
        <v>1598</v>
      </c>
      <c r="E164" s="350">
        <v>2750991.27</v>
      </c>
      <c r="F164" s="353">
        <v>46108</v>
      </c>
      <c r="G164" s="16" t="s">
        <v>20</v>
      </c>
      <c r="H164" s="16">
        <f>IF(OR(G164="Sin pagar",G164="Pagar"),NETWORKDAYS($J$99,F164,'Festivos Colombia'!$A$3:$A$22),0)</f>
        <v>0</v>
      </c>
      <c r="I164" s="16">
        <f>NETWORKDAYS($J$99,F164,'Festivos Colombia'!$A$3:$A$22)</f>
        <v>19</v>
      </c>
      <c r="J164" s="46">
        <f t="shared" ref="J164" si="59">H164</f>
        <v>0</v>
      </c>
      <c r="K164" s="58"/>
      <c r="L164" s="25"/>
    </row>
    <row r="165" spans="1:12" s="16" customFormat="1" outlineLevel="1">
      <c r="A165" s="16" t="str">
        <f t="shared" ref="A165" si="60">G165</f>
        <v>Cancelado</v>
      </c>
      <c r="B165" s="16">
        <f t="shared" ref="B165" si="61">IF(I165&lt;=-1,1,IF(I165&lt;=5,2,IF(I165&lt;=15,3,IF(H165&lt;=60,4))))</f>
        <v>4</v>
      </c>
      <c r="C165" s="24"/>
      <c r="D165" s="9" t="s">
        <v>1599</v>
      </c>
      <c r="E165" s="350">
        <v>306000</v>
      </c>
      <c r="F165" s="353">
        <v>46108</v>
      </c>
      <c r="G165" s="16" t="s">
        <v>20</v>
      </c>
      <c r="H165" s="16">
        <f>IF(OR(G165="Sin pagar",G165="Pagar"),NETWORKDAYS($J$99,F165,'Festivos Colombia'!$A$3:$A$22),0)</f>
        <v>0</v>
      </c>
      <c r="I165" s="16">
        <f>NETWORKDAYS($J$99,F165,'Festivos Colombia'!$A$3:$A$22)</f>
        <v>19</v>
      </c>
      <c r="J165" s="46">
        <f t="shared" ref="J165" si="62">H165</f>
        <v>0</v>
      </c>
      <c r="K165" s="58"/>
      <c r="L165" s="25"/>
    </row>
    <row r="166" spans="1:12" s="16" customFormat="1" outlineLevel="1">
      <c r="A166" s="16" t="str">
        <f t="shared" ref="A166:A177" si="63">G166</f>
        <v>Cancelado</v>
      </c>
      <c r="B166" s="16">
        <f t="shared" ref="B166:B177" si="64">IF(I166&lt;=-1,1,IF(I166&lt;=5,2,IF(I166&lt;=15,3,IF(H166&lt;=60,4))))</f>
        <v>4</v>
      </c>
      <c r="C166" s="24"/>
      <c r="D166" s="9" t="s">
        <v>1601</v>
      </c>
      <c r="E166" s="350">
        <v>408753</v>
      </c>
      <c r="F166" s="353">
        <v>46108</v>
      </c>
      <c r="G166" s="16" t="s">
        <v>20</v>
      </c>
      <c r="H166" s="16">
        <f>IF(OR(G166="Sin pagar",G166="Pagar"),NETWORKDAYS($J$99,F166,'Festivos Colombia'!$A$3:$A$22),0)</f>
        <v>0</v>
      </c>
      <c r="I166" s="16">
        <f>NETWORKDAYS($J$99,F166,'Festivos Colombia'!$A$3:$A$22)</f>
        <v>19</v>
      </c>
      <c r="J166" s="46">
        <f t="shared" ref="J166:J177" si="65">H166</f>
        <v>0</v>
      </c>
      <c r="K166" s="58"/>
      <c r="L166" s="25"/>
    </row>
    <row r="167" spans="1:12" s="16" customFormat="1" outlineLevel="1">
      <c r="A167" s="16" t="str">
        <f t="shared" si="63"/>
        <v>Cancelado</v>
      </c>
      <c r="B167" s="16">
        <f t="shared" si="64"/>
        <v>4</v>
      </c>
      <c r="C167" s="24"/>
      <c r="D167" s="9" t="s">
        <v>1602</v>
      </c>
      <c r="E167" s="350">
        <v>49900</v>
      </c>
      <c r="F167" s="353">
        <v>46108</v>
      </c>
      <c r="G167" s="16" t="s">
        <v>20</v>
      </c>
      <c r="H167" s="16">
        <f>IF(OR(G167="Sin pagar",G167="Pagar"),NETWORKDAYS($J$99,F167,'Festivos Colombia'!$A$3:$A$22),0)</f>
        <v>0</v>
      </c>
      <c r="I167" s="16">
        <f>NETWORKDAYS($J$99,F167,'Festivos Colombia'!$A$3:$A$22)</f>
        <v>19</v>
      </c>
      <c r="J167" s="46">
        <f t="shared" si="65"/>
        <v>0</v>
      </c>
      <c r="K167" s="58"/>
      <c r="L167" s="25"/>
    </row>
    <row r="168" spans="1:12" s="16" customFormat="1" outlineLevel="1">
      <c r="A168" s="16" t="str">
        <f t="shared" si="63"/>
        <v>Cancelado</v>
      </c>
      <c r="B168" s="16">
        <f t="shared" si="64"/>
        <v>4</v>
      </c>
      <c r="C168" s="24"/>
      <c r="D168" s="9" t="s">
        <v>1603</v>
      </c>
      <c r="E168" s="350">
        <v>90000</v>
      </c>
      <c r="F168" s="353">
        <v>46108</v>
      </c>
      <c r="G168" s="16" t="s">
        <v>20</v>
      </c>
      <c r="H168" s="16">
        <f>IF(OR(G168="Sin pagar",G168="Pagar"),NETWORKDAYS($J$99,F168,'Festivos Colombia'!$A$3:$A$22),0)</f>
        <v>0</v>
      </c>
      <c r="I168" s="16">
        <f>NETWORKDAYS($J$99,F168,'Festivos Colombia'!$A$3:$A$22)</f>
        <v>19</v>
      </c>
      <c r="J168" s="46">
        <f t="shared" si="65"/>
        <v>0</v>
      </c>
      <c r="K168" s="58"/>
      <c r="L168" s="25"/>
    </row>
    <row r="169" spans="1:12" s="16" customFormat="1" outlineLevel="1">
      <c r="A169" s="16" t="str">
        <f t="shared" si="63"/>
        <v>Cancelado</v>
      </c>
      <c r="B169" s="16">
        <f t="shared" si="64"/>
        <v>4</v>
      </c>
      <c r="C169" s="24"/>
      <c r="D169" s="9" t="s">
        <v>1604</v>
      </c>
      <c r="E169" s="350">
        <v>1236327</v>
      </c>
      <c r="F169" s="353">
        <v>46108</v>
      </c>
      <c r="G169" s="16" t="s">
        <v>20</v>
      </c>
      <c r="H169" s="16">
        <f>IF(OR(G169="Sin pagar",G169="Pagar"),NETWORKDAYS($J$99,F169,'Festivos Colombia'!$A$3:$A$22),0)</f>
        <v>0</v>
      </c>
      <c r="I169" s="16">
        <f>NETWORKDAYS($J$99,F169,'Festivos Colombia'!$A$3:$A$22)</f>
        <v>19</v>
      </c>
      <c r="J169" s="46">
        <f t="shared" si="65"/>
        <v>0</v>
      </c>
      <c r="K169" s="58"/>
      <c r="L169" s="25"/>
    </row>
    <row r="170" spans="1:12" s="16" customFormat="1" outlineLevel="1">
      <c r="A170" s="16" t="str">
        <f t="shared" si="63"/>
        <v>Cancelado</v>
      </c>
      <c r="B170" s="16">
        <f t="shared" si="64"/>
        <v>4</v>
      </c>
      <c r="C170" s="24"/>
      <c r="D170" s="9" t="s">
        <v>1605</v>
      </c>
      <c r="E170" s="350">
        <v>58300</v>
      </c>
      <c r="F170" s="353">
        <v>46108</v>
      </c>
      <c r="G170" s="16" t="s">
        <v>20</v>
      </c>
      <c r="H170" s="16">
        <f>IF(OR(G170="Sin pagar",G170="Pagar"),NETWORKDAYS($J$99,F170,'Festivos Colombia'!$A$3:$A$22),0)</f>
        <v>0</v>
      </c>
      <c r="I170" s="16">
        <f>NETWORKDAYS($J$99,F170,'Festivos Colombia'!$A$3:$A$22)</f>
        <v>19</v>
      </c>
      <c r="J170" s="46">
        <f t="shared" si="65"/>
        <v>0</v>
      </c>
      <c r="K170" s="58"/>
      <c r="L170" s="25"/>
    </row>
    <row r="171" spans="1:12" s="16" customFormat="1" outlineLevel="1">
      <c r="A171" s="16" t="str">
        <f t="shared" si="63"/>
        <v>Cancelado</v>
      </c>
      <c r="B171" s="16">
        <f t="shared" si="64"/>
        <v>4</v>
      </c>
      <c r="C171" s="24"/>
      <c r="D171" s="9" t="s">
        <v>1606</v>
      </c>
      <c r="E171" s="350">
        <v>328579</v>
      </c>
      <c r="F171" s="353">
        <v>46108</v>
      </c>
      <c r="G171" s="16" t="s">
        <v>20</v>
      </c>
      <c r="H171" s="16">
        <f>IF(OR(G171="Sin pagar",G171="Pagar"),NETWORKDAYS($J$99,F171,'Festivos Colombia'!$A$3:$A$22),0)</f>
        <v>0</v>
      </c>
      <c r="I171" s="16">
        <f>NETWORKDAYS($J$99,F171,'Festivos Colombia'!$A$3:$A$22)</f>
        <v>19</v>
      </c>
      <c r="J171" s="46">
        <f t="shared" si="65"/>
        <v>0</v>
      </c>
      <c r="K171" s="58"/>
      <c r="L171" s="25"/>
    </row>
    <row r="172" spans="1:12" s="16" customFormat="1" outlineLevel="1">
      <c r="A172" s="16" t="str">
        <f t="shared" si="63"/>
        <v>Cancelado</v>
      </c>
      <c r="B172" s="16">
        <f t="shared" si="64"/>
        <v>4</v>
      </c>
      <c r="C172" s="24"/>
      <c r="D172" s="9" t="s">
        <v>1607</v>
      </c>
      <c r="E172" s="350">
        <v>57217</v>
      </c>
      <c r="F172" s="353">
        <v>46108</v>
      </c>
      <c r="G172" s="16" t="s">
        <v>20</v>
      </c>
      <c r="H172" s="16">
        <f>IF(OR(G172="Sin pagar",G172="Pagar"),NETWORKDAYS($J$99,F172,'Festivos Colombia'!$A$3:$A$22),0)</f>
        <v>0</v>
      </c>
      <c r="I172" s="16">
        <f>NETWORKDAYS($J$99,F172,'Festivos Colombia'!$A$3:$A$22)</f>
        <v>19</v>
      </c>
      <c r="J172" s="46">
        <f t="shared" si="65"/>
        <v>0</v>
      </c>
      <c r="K172" s="58"/>
      <c r="L172" s="25"/>
    </row>
    <row r="173" spans="1:12" s="16" customFormat="1" outlineLevel="1">
      <c r="A173" s="16" t="str">
        <f t="shared" si="63"/>
        <v>Cancelado</v>
      </c>
      <c r="B173" s="16">
        <f t="shared" si="64"/>
        <v>4</v>
      </c>
      <c r="C173" s="24"/>
      <c r="D173" s="9" t="s">
        <v>1608</v>
      </c>
      <c r="E173" s="350">
        <v>16061003</v>
      </c>
      <c r="F173" s="353">
        <v>46108</v>
      </c>
      <c r="G173" s="16" t="s">
        <v>20</v>
      </c>
      <c r="H173" s="16">
        <f>IF(OR(G173="Sin pagar",G173="Pagar"),NETWORKDAYS($J$99,F173,'Festivos Colombia'!$A$3:$A$22),0)</f>
        <v>0</v>
      </c>
      <c r="I173" s="16">
        <f>NETWORKDAYS($J$99,F173,'Festivos Colombia'!$A$3:$A$22)</f>
        <v>19</v>
      </c>
      <c r="J173" s="46">
        <f t="shared" si="65"/>
        <v>0</v>
      </c>
      <c r="K173" s="58"/>
      <c r="L173" s="25"/>
    </row>
    <row r="174" spans="1:12" s="16" customFormat="1" outlineLevel="1">
      <c r="A174" s="16" t="str">
        <f t="shared" si="63"/>
        <v>Cancelado</v>
      </c>
      <c r="B174" s="16">
        <f t="shared" si="64"/>
        <v>4</v>
      </c>
      <c r="C174" s="24"/>
      <c r="D174" s="9" t="s">
        <v>1609</v>
      </c>
      <c r="E174" s="350">
        <v>505900</v>
      </c>
      <c r="F174" s="353">
        <v>46108</v>
      </c>
      <c r="G174" s="16" t="s">
        <v>20</v>
      </c>
      <c r="H174" s="16">
        <f>IF(OR(G174="Sin pagar",G174="Pagar"),NETWORKDAYS($J$99,F174,'Festivos Colombia'!$A$3:$A$22),0)</f>
        <v>0</v>
      </c>
      <c r="I174" s="16">
        <f>NETWORKDAYS($J$99,F174,'Festivos Colombia'!$A$3:$A$22)</f>
        <v>19</v>
      </c>
      <c r="J174" s="46">
        <f t="shared" si="65"/>
        <v>0</v>
      </c>
      <c r="K174" s="58"/>
      <c r="L174" s="25"/>
    </row>
    <row r="175" spans="1:12" s="16" customFormat="1" outlineLevel="1">
      <c r="A175" s="16" t="str">
        <f t="shared" si="63"/>
        <v>Cancelado</v>
      </c>
      <c r="B175" s="16">
        <f t="shared" si="64"/>
        <v>4</v>
      </c>
      <c r="C175" s="24"/>
      <c r="D175" s="9" t="s">
        <v>1610</v>
      </c>
      <c r="E175" s="350">
        <v>67548</v>
      </c>
      <c r="F175" s="353">
        <v>46108</v>
      </c>
      <c r="G175" s="16" t="s">
        <v>20</v>
      </c>
      <c r="H175" s="16">
        <f>IF(OR(G175="Sin pagar",G175="Pagar"),NETWORKDAYS($J$99,F175,'Festivos Colombia'!$A$3:$A$22),0)</f>
        <v>0</v>
      </c>
      <c r="I175" s="16">
        <f>NETWORKDAYS($J$99,F175,'Festivos Colombia'!$A$3:$A$22)</f>
        <v>19</v>
      </c>
      <c r="J175" s="46">
        <f t="shared" si="65"/>
        <v>0</v>
      </c>
      <c r="K175" s="58"/>
      <c r="L175" s="25"/>
    </row>
    <row r="176" spans="1:12" s="16" customFormat="1" outlineLevel="1">
      <c r="A176" s="16" t="str">
        <f t="shared" si="63"/>
        <v>Cancelado</v>
      </c>
      <c r="B176" s="16">
        <f t="shared" si="64"/>
        <v>4</v>
      </c>
      <c r="C176" s="24"/>
      <c r="D176" s="9" t="s">
        <v>1611</v>
      </c>
      <c r="E176" s="350">
        <v>66516</v>
      </c>
      <c r="F176" s="353">
        <v>46108</v>
      </c>
      <c r="G176" s="16" t="s">
        <v>20</v>
      </c>
      <c r="H176" s="16">
        <f>IF(OR(G176="Sin pagar",G176="Pagar"),NETWORKDAYS($J$99,F176,'Festivos Colombia'!$A$3:$A$22),0)</f>
        <v>0</v>
      </c>
      <c r="I176" s="16">
        <f>NETWORKDAYS($J$99,F176,'Festivos Colombia'!$A$3:$A$22)</f>
        <v>19</v>
      </c>
      <c r="J176" s="46">
        <f t="shared" si="65"/>
        <v>0</v>
      </c>
      <c r="K176" s="58"/>
      <c r="L176" s="25"/>
    </row>
    <row r="177" spans="1:19" s="16" customFormat="1" outlineLevel="1">
      <c r="A177" s="16" t="str">
        <f t="shared" si="63"/>
        <v>Cancelado</v>
      </c>
      <c r="B177" s="16">
        <f t="shared" si="64"/>
        <v>4</v>
      </c>
      <c r="C177" s="24"/>
      <c r="D177" s="9" t="s">
        <v>1612</v>
      </c>
      <c r="E177" s="350">
        <v>2319480</v>
      </c>
      <c r="F177" s="353">
        <v>46108</v>
      </c>
      <c r="G177" s="16" t="s">
        <v>20</v>
      </c>
      <c r="H177" s="16">
        <f>IF(OR(G177="Sin pagar",G177="Pagar"),NETWORKDAYS($J$99,F177,'Festivos Colombia'!$A$3:$A$22),0)</f>
        <v>0</v>
      </c>
      <c r="I177" s="16">
        <f>NETWORKDAYS($J$99,F177,'Festivos Colombia'!$A$3:$A$22)</f>
        <v>19</v>
      </c>
      <c r="J177" s="46">
        <f t="shared" si="65"/>
        <v>0</v>
      </c>
      <c r="K177" s="58"/>
      <c r="L177" s="25"/>
    </row>
    <row r="178" spans="1:19" s="16" customFormat="1" outlineLevel="1">
      <c r="A178" s="16" t="str">
        <f t="shared" ref="A178" si="66">G178</f>
        <v>Sin Pagar</v>
      </c>
      <c r="B178" s="16">
        <f t="shared" ref="B178" si="67">IF(I178&lt;=-1,1,IF(I178&lt;=5,2,IF(I178&lt;=15,3,IF(H178&lt;=60,4))))</f>
        <v>4</v>
      </c>
      <c r="C178" s="24"/>
      <c r="D178" s="9" t="s">
        <v>1648</v>
      </c>
      <c r="E178" s="350">
        <f>430000*0</f>
        <v>0</v>
      </c>
      <c r="F178" s="353">
        <v>46122</v>
      </c>
      <c r="G178" s="16" t="s">
        <v>5</v>
      </c>
      <c r="H178" s="16">
        <f>IF(OR(G178="Sin pagar",G178="Pagar"),NETWORKDAYS($J$99,F178,'Festivos Colombia'!$A$3:$A$22),0)</f>
        <v>27</v>
      </c>
      <c r="I178" s="16">
        <f>NETWORKDAYS($J$99,F178,'Festivos Colombia'!$A$3:$A$22)</f>
        <v>27</v>
      </c>
      <c r="J178" s="46">
        <f t="shared" ref="J178" si="68">H178</f>
        <v>27</v>
      </c>
      <c r="K178" s="58"/>
      <c r="L178" s="25"/>
    </row>
    <row r="179" spans="1:19" s="16" customFormat="1" ht="15.75" outlineLevel="1" thickBot="1">
      <c r="A179" s="16" t="str">
        <f t="shared" ref="A179" si="69">G179</f>
        <v>Sin Pagar</v>
      </c>
      <c r="B179" s="16">
        <f t="shared" ref="B179" si="70">IF(I179&lt;=-1,1,IF(I179&lt;=5,2,IF(I179&lt;=15,3,IF(H179&lt;=60,4))))</f>
        <v>4</v>
      </c>
      <c r="C179" s="24"/>
      <c r="D179" s="9" t="s">
        <v>1643</v>
      </c>
      <c r="E179" s="350">
        <f>2690000*0</f>
        <v>0</v>
      </c>
      <c r="F179" s="353">
        <v>46122</v>
      </c>
      <c r="G179" s="16" t="s">
        <v>5</v>
      </c>
      <c r="H179" s="16">
        <f>IF(OR(G179="Sin pagar",G179="Pagar"),NETWORKDAYS($J$99,F179,'Festivos Colombia'!$A$3:$A$22),0)</f>
        <v>27</v>
      </c>
      <c r="I179" s="16">
        <f>NETWORKDAYS($J$99,F179,'Festivos Colombia'!$A$3:$A$22)</f>
        <v>27</v>
      </c>
      <c r="J179" s="46">
        <f t="shared" ref="J179" si="71">H179</f>
        <v>27</v>
      </c>
      <c r="K179" s="58"/>
      <c r="L179" s="25"/>
    </row>
    <row r="180" spans="1:19" s="16" customFormat="1" ht="16.5" thickBot="1">
      <c r="C180" s="24"/>
      <c r="D180" s="351" t="s">
        <v>86</v>
      </c>
      <c r="E180" s="352">
        <f>SUBTOTAL(9,E181:E186)</f>
        <v>8287043.9700000007</v>
      </c>
      <c r="J180" s="46"/>
      <c r="K180" s="25"/>
    </row>
    <row r="181" spans="1:19" s="16" customFormat="1" outlineLevel="1">
      <c r="A181" s="16" t="str">
        <f t="shared" ref="A181" si="72">G181</f>
        <v>Cancelado</v>
      </c>
      <c r="B181" s="16">
        <f t="shared" ref="B181" si="73">IF(I181&lt;=-1,1,IF(I181&lt;=5,2,IF(I181&lt;=15,3,IF(H181&lt;=60,4))))</f>
        <v>3</v>
      </c>
      <c r="C181" s="24"/>
      <c r="D181" s="9" t="s">
        <v>1508</v>
      </c>
      <c r="E181" s="8">
        <v>4246351</v>
      </c>
      <c r="F181" s="7">
        <v>46098</v>
      </c>
      <c r="G181" s="16" t="s">
        <v>20</v>
      </c>
      <c r="H181" s="16">
        <f>IF(OR(G181="Sin pagar",G181="Pagar"),NETWORKDAYS($J$99,F181,'Festivos Colombia'!$A$3:$A$22),0)</f>
        <v>0</v>
      </c>
      <c r="I181" s="16">
        <f>NETWORKDAYS($J$99,F181,'Festivos Colombia'!$A$3:$A$22)</f>
        <v>12</v>
      </c>
      <c r="J181" s="46">
        <f t="shared" ref="J181" si="74">H181</f>
        <v>0</v>
      </c>
      <c r="K181" s="58"/>
      <c r="L181" s="25"/>
    </row>
    <row r="182" spans="1:19" s="16" customFormat="1" outlineLevel="1">
      <c r="A182" s="16" t="str">
        <f t="shared" ref="A182:A186" si="75">G182</f>
        <v>Cancelado</v>
      </c>
      <c r="B182" s="16">
        <f t="shared" ref="B182:B186" si="76">IF(I182&lt;=-1,1,IF(I182&lt;=5,2,IF(I182&lt;=15,3,IF(H182&lt;=60,4))))</f>
        <v>3</v>
      </c>
      <c r="C182" s="24"/>
      <c r="D182" s="9" t="s">
        <v>1509</v>
      </c>
      <c r="E182" s="8">
        <v>1024000</v>
      </c>
      <c r="F182" s="7">
        <v>46098</v>
      </c>
      <c r="G182" s="16" t="s">
        <v>20</v>
      </c>
      <c r="H182" s="16">
        <f>IF(OR(G182="Sin pagar",G182="Pagar"),NETWORKDAYS($J$99,F182,'Festivos Colombia'!$A$3:$A$22),0)</f>
        <v>0</v>
      </c>
      <c r="I182" s="16">
        <f>NETWORKDAYS($J$99,F182,'Festivos Colombia'!$A$3:$A$22)</f>
        <v>12</v>
      </c>
      <c r="J182" s="46">
        <f t="shared" ref="J182:J186" si="77">H182</f>
        <v>0</v>
      </c>
      <c r="K182" s="58"/>
      <c r="L182" s="25"/>
    </row>
    <row r="183" spans="1:19" s="16" customFormat="1" outlineLevel="1">
      <c r="A183" s="16" t="str">
        <f t="shared" si="75"/>
        <v>Cancelado</v>
      </c>
      <c r="B183" s="16">
        <f t="shared" si="76"/>
        <v>3</v>
      </c>
      <c r="C183" s="24"/>
      <c r="D183" s="9" t="s">
        <v>1510</v>
      </c>
      <c r="E183" s="8">
        <v>843033</v>
      </c>
      <c r="F183" s="7">
        <v>46098</v>
      </c>
      <c r="G183" s="16" t="s">
        <v>20</v>
      </c>
      <c r="H183" s="16">
        <f>IF(OR(G183="Sin pagar",G183="Pagar"),NETWORKDAYS($J$99,F183,'Festivos Colombia'!$A$3:$A$22),0)</f>
        <v>0</v>
      </c>
      <c r="I183" s="16">
        <f>NETWORKDAYS($J$99,F183,'Festivos Colombia'!$A$3:$A$22)</f>
        <v>12</v>
      </c>
      <c r="J183" s="46">
        <f t="shared" si="77"/>
        <v>0</v>
      </c>
      <c r="K183" s="58"/>
      <c r="L183" s="25"/>
    </row>
    <row r="184" spans="1:19" s="16" customFormat="1" outlineLevel="1">
      <c r="A184" s="16" t="str">
        <f t="shared" si="75"/>
        <v>Cancelado</v>
      </c>
      <c r="B184" s="16">
        <f t="shared" si="76"/>
        <v>3</v>
      </c>
      <c r="C184" s="24"/>
      <c r="D184" s="9" t="s">
        <v>1511</v>
      </c>
      <c r="E184" s="8">
        <v>685250.24</v>
      </c>
      <c r="F184" s="7">
        <v>46098</v>
      </c>
      <c r="G184" s="16" t="s">
        <v>20</v>
      </c>
      <c r="H184" s="16">
        <f>IF(OR(G184="Sin pagar",G184="Pagar"),NETWORKDAYS($J$99,F184,'Festivos Colombia'!$A$3:$A$22),0)</f>
        <v>0</v>
      </c>
      <c r="I184" s="16">
        <f>NETWORKDAYS($J$99,F184,'Festivos Colombia'!$A$3:$A$22)</f>
        <v>12</v>
      </c>
      <c r="J184" s="46">
        <f t="shared" si="77"/>
        <v>0</v>
      </c>
      <c r="K184" s="58"/>
      <c r="L184" s="25"/>
    </row>
    <row r="185" spans="1:19" s="16" customFormat="1" outlineLevel="1">
      <c r="A185" s="16" t="str">
        <f t="shared" si="75"/>
        <v>Cancelado</v>
      </c>
      <c r="B185" s="16">
        <f t="shared" si="76"/>
        <v>3</v>
      </c>
      <c r="C185" s="24"/>
      <c r="D185" s="9" t="s">
        <v>1512</v>
      </c>
      <c r="E185" s="8">
        <v>797956.79</v>
      </c>
      <c r="F185" s="7">
        <v>46098</v>
      </c>
      <c r="G185" s="16" t="s">
        <v>20</v>
      </c>
      <c r="H185" s="16">
        <f>IF(OR(G185="Sin pagar",G185="Pagar"),NETWORKDAYS($J$99,F185,'Festivos Colombia'!$A$3:$A$22),0)</f>
        <v>0</v>
      </c>
      <c r="I185" s="16">
        <f>NETWORKDAYS($J$99,F185,'Festivos Colombia'!$A$3:$A$22)</f>
        <v>12</v>
      </c>
      <c r="J185" s="46">
        <f t="shared" si="77"/>
        <v>0</v>
      </c>
      <c r="K185" s="58"/>
      <c r="L185" s="25"/>
    </row>
    <row r="186" spans="1:19" s="16" customFormat="1" ht="15.75" outlineLevel="1" thickBot="1">
      <c r="A186" s="16" t="str">
        <f t="shared" si="75"/>
        <v>Cancelado</v>
      </c>
      <c r="B186" s="16">
        <f t="shared" si="76"/>
        <v>3</v>
      </c>
      <c r="C186" s="24"/>
      <c r="D186" s="9" t="s">
        <v>1513</v>
      </c>
      <c r="E186" s="8">
        <v>690452.94</v>
      </c>
      <c r="F186" s="7">
        <v>46098</v>
      </c>
      <c r="G186" s="16" t="s">
        <v>20</v>
      </c>
      <c r="H186" s="16">
        <f>IF(OR(G186="Sin pagar",G186="Pagar"),NETWORKDAYS($J$99,F186,'Festivos Colombia'!$A$3:$A$22),0)</f>
        <v>0</v>
      </c>
      <c r="I186" s="16">
        <f>NETWORKDAYS($J$99,F186,'Festivos Colombia'!$A$3:$A$22)</f>
        <v>12</v>
      </c>
      <c r="J186" s="46">
        <f t="shared" si="77"/>
        <v>0</v>
      </c>
      <c r="K186" s="58"/>
      <c r="L186" s="25"/>
    </row>
    <row r="187" spans="1:19" s="16" customFormat="1" ht="15.75" customHeight="1" thickBot="1">
      <c r="C187" s="24"/>
      <c r="D187" s="351" t="s">
        <v>48</v>
      </c>
      <c r="E187" s="352">
        <f>SUBTOTAL(9,E188:E218)</f>
        <v>48938386.572219998</v>
      </c>
      <c r="J187" s="46"/>
    </row>
    <row r="188" spans="1:19" s="16" customFormat="1" outlineLevel="1">
      <c r="A188" s="16" t="str">
        <f>G188</f>
        <v>Cancelado</v>
      </c>
      <c r="B188" s="16">
        <f>IF(I188&lt;=-1,1,IF(I188&lt;=5,2,IF(I188&lt;=15,3,IF(H188&lt;=60,4))))</f>
        <v>2</v>
      </c>
      <c r="C188" s="24" t="s">
        <v>1099</v>
      </c>
      <c r="D188" s="9" t="s">
        <v>1098</v>
      </c>
      <c r="E188" s="350">
        <f>1219000</f>
        <v>1219000</v>
      </c>
      <c r="F188" s="353">
        <v>46087</v>
      </c>
      <c r="G188" s="16" t="s">
        <v>20</v>
      </c>
      <c r="H188" s="16">
        <f>IF(OR(G188="Sin pagar",G188="Pagar"),NETWORKDAYS($J$99,F188,'Festivos Colombia'!$A$3:$A$22),0)</f>
        <v>0</v>
      </c>
      <c r="I188" s="16">
        <f>NETWORKDAYS($J$99,F188,'Festivos Colombia'!$A$3:$A$22)</f>
        <v>5</v>
      </c>
      <c r="J188" s="46">
        <f>H188</f>
        <v>0</v>
      </c>
      <c r="K188" s="58"/>
      <c r="S188" s="27"/>
    </row>
    <row r="189" spans="1:19" s="16" customFormat="1" ht="13.5" customHeight="1" outlineLevel="1">
      <c r="A189" s="16" t="str">
        <f>G189</f>
        <v>Cancelado</v>
      </c>
      <c r="B189" s="16">
        <f>IF(I189&lt;=-1,1,IF(I189&lt;=5,2,IF(I189&lt;=15,3,IF(H189&lt;=60,4))))</f>
        <v>2</v>
      </c>
      <c r="C189" s="56" t="s">
        <v>1095</v>
      </c>
      <c r="D189" s="9" t="s">
        <v>50</v>
      </c>
      <c r="E189" s="350">
        <f>1723309.31</f>
        <v>1723309.31</v>
      </c>
      <c r="F189" s="353">
        <v>46087</v>
      </c>
      <c r="G189" s="16" t="s">
        <v>20</v>
      </c>
      <c r="H189" s="16">
        <f>IF(OR(G189="Sin pagar",G189="Pagar"),NETWORKDAYS($J$99,F189,'Festivos Colombia'!$A$3:$A$22),0)</f>
        <v>0</v>
      </c>
      <c r="I189" s="16">
        <f>NETWORKDAYS($J$99,F189,'Festivos Colombia'!$A$3:$A$22)</f>
        <v>5</v>
      </c>
      <c r="J189" s="46">
        <f>H189</f>
        <v>0</v>
      </c>
      <c r="K189" s="353"/>
      <c r="M189" s="25"/>
    </row>
    <row r="190" spans="1:19" s="16" customFormat="1" ht="14.25" customHeight="1" outlineLevel="1">
      <c r="A190" s="16" t="str">
        <f>G190</f>
        <v>Cancelado</v>
      </c>
      <c r="B190" s="16">
        <f>IF(I190&lt;=-1,1,IF(I190&lt;=5,2,IF(I190&lt;=15,3,IF(H190&lt;=60,4))))</f>
        <v>2</v>
      </c>
      <c r="C190" s="669" t="s">
        <v>1342</v>
      </c>
      <c r="D190" s="9" t="s">
        <v>54</v>
      </c>
      <c r="E190" s="8">
        <f>774025.2</f>
        <v>774025.2</v>
      </c>
      <c r="F190" s="353">
        <v>46087</v>
      </c>
      <c r="G190" s="16" t="s">
        <v>20</v>
      </c>
      <c r="H190" s="16">
        <f>IF(OR(G190="Sin pagar",G190="Pagar"),NETWORKDAYS($J$99,F190,'Festivos Colombia'!$A$3:$A$22),0)</f>
        <v>0</v>
      </c>
      <c r="I190" s="16">
        <f>NETWORKDAYS($J$99,F190,'Festivos Colombia'!$A$3:$A$22)</f>
        <v>5</v>
      </c>
      <c r="J190" s="46">
        <f>H190</f>
        <v>0</v>
      </c>
      <c r="K190" s="58"/>
    </row>
    <row r="191" spans="1:19" s="16" customFormat="1" outlineLevel="1">
      <c r="A191" s="16" t="str">
        <f t="shared" ref="A191:A195" si="78">G191</f>
        <v>Cancelado</v>
      </c>
      <c r="B191" s="16">
        <f t="shared" ref="B191:B195" si="79">IF(I191&lt;=-1,1,IF(I191&lt;=5,2,IF(I191&lt;=15,3,IF(H191&lt;=60,4))))</f>
        <v>2</v>
      </c>
      <c r="C191" s="24" t="s">
        <v>1370</v>
      </c>
      <c r="D191" s="9" t="s">
        <v>49</v>
      </c>
      <c r="E191" s="350">
        <v>1307380.4242199999</v>
      </c>
      <c r="F191" s="353">
        <v>46087</v>
      </c>
      <c r="G191" s="16" t="s">
        <v>20</v>
      </c>
      <c r="H191" s="16">
        <f>IF(OR(G191="Sin pagar",G191="Pagar"),NETWORKDAYS($J$99,F191,'Festivos Colombia'!$A$3:$A$22),0)</f>
        <v>0</v>
      </c>
      <c r="I191" s="16">
        <f>NETWORKDAYS($J$99,F191,'Festivos Colombia'!$A$3:$A$22)</f>
        <v>5</v>
      </c>
      <c r="J191" s="46">
        <f t="shared" ref="J191:J192" si="80">H191</f>
        <v>0</v>
      </c>
      <c r="K191" s="58"/>
      <c r="S191" s="27"/>
    </row>
    <row r="192" spans="1:19" s="16" customFormat="1" outlineLevel="1">
      <c r="A192" s="16" t="str">
        <f>G192</f>
        <v>Cancelado</v>
      </c>
      <c r="B192" s="16">
        <f>IF(I192&lt;=-1,1,IF(I192&lt;=5,2,IF(I192&lt;=15,3,IF(H192&lt;=60,4))))</f>
        <v>2</v>
      </c>
      <c r="C192" s="24" t="s">
        <v>1096</v>
      </c>
      <c r="D192" s="9" t="s">
        <v>1097</v>
      </c>
      <c r="E192" s="350">
        <v>798238</v>
      </c>
      <c r="F192" s="353">
        <v>46087</v>
      </c>
      <c r="G192" s="16" t="s">
        <v>20</v>
      </c>
      <c r="H192" s="16">
        <f>IF(OR(G192="Sin pagar",G192="Pagar"),NETWORKDAYS($J$99,F192,'Festivos Colombia'!$A$3:$A$22),0)</f>
        <v>0</v>
      </c>
      <c r="I192" s="16">
        <f>NETWORKDAYS($J$99,F192,'Festivos Colombia'!$A$3:$A$22)</f>
        <v>5</v>
      </c>
      <c r="J192" s="46">
        <f t="shared" si="80"/>
        <v>0</v>
      </c>
      <c r="K192" s="58"/>
      <c r="S192" s="27"/>
    </row>
    <row r="193" spans="1:21" s="16" customFormat="1" outlineLevel="1">
      <c r="A193" s="16" t="str">
        <f>G193</f>
        <v>Cancelado</v>
      </c>
      <c r="B193" s="16">
        <f>IF(I193&lt;=-1,1,IF(I193&lt;=5,2,IF(I193&lt;=15,3,IF(H193&lt;=60,4))))</f>
        <v>3</v>
      </c>
      <c r="C193" s="24" t="s">
        <v>1456</v>
      </c>
      <c r="D193" s="9" t="s">
        <v>1457</v>
      </c>
      <c r="E193" s="8">
        <v>98700</v>
      </c>
      <c r="F193" s="715">
        <v>46094</v>
      </c>
      <c r="G193" s="16" t="s">
        <v>20</v>
      </c>
      <c r="H193" s="16">
        <f>IF(OR(G193="Sin pagar",G193="Pagar"),NETWORKDAYS($J$99,F193,'Festivos Colombia'!$A$3:$A$22),0)</f>
        <v>0</v>
      </c>
      <c r="I193" s="16">
        <f>NETWORKDAYS($J$99,F193,'Festivos Colombia'!$A$3:$A$22)</f>
        <v>10</v>
      </c>
      <c r="J193" s="46">
        <f>H193</f>
        <v>0</v>
      </c>
      <c r="K193" s="58"/>
      <c r="S193" s="27"/>
    </row>
    <row r="194" spans="1:21" s="16" customFormat="1" outlineLevel="1">
      <c r="A194" s="16" t="str">
        <f t="shared" si="78"/>
        <v>Cancelado</v>
      </c>
      <c r="B194" s="16">
        <f t="shared" si="79"/>
        <v>3</v>
      </c>
      <c r="C194" s="24" t="s">
        <v>1367</v>
      </c>
      <c r="D194" s="9" t="s">
        <v>1368</v>
      </c>
      <c r="E194" s="8">
        <v>1607010</v>
      </c>
      <c r="F194" s="353">
        <v>46094</v>
      </c>
      <c r="G194" s="16" t="s">
        <v>20</v>
      </c>
      <c r="H194" s="16">
        <f>IF(OR(G194="Sin pagar",G194="Pagar"),NETWORKDAYS($J$99,F194,'Festivos Colombia'!$A$3:$A$22),0)</f>
        <v>0</v>
      </c>
      <c r="I194" s="16">
        <f>NETWORKDAYS($J$99,F194,'Festivos Colombia'!$A$3:$A$22)</f>
        <v>10</v>
      </c>
      <c r="J194" s="46">
        <f t="shared" ref="J194:J215" si="81">H194</f>
        <v>0</v>
      </c>
      <c r="K194" s="58"/>
      <c r="S194" s="27"/>
    </row>
    <row r="195" spans="1:21" s="16" customFormat="1" outlineLevel="1">
      <c r="A195" s="16" t="str">
        <f t="shared" si="78"/>
        <v>Cancelado</v>
      </c>
      <c r="B195" s="16">
        <f t="shared" si="79"/>
        <v>3</v>
      </c>
      <c r="C195" s="24" t="s">
        <v>1358</v>
      </c>
      <c r="D195" s="9" t="s">
        <v>1359</v>
      </c>
      <c r="E195" s="8">
        <v>1607010</v>
      </c>
      <c r="F195" s="353">
        <v>46094</v>
      </c>
      <c r="G195" s="16" t="s">
        <v>20</v>
      </c>
      <c r="H195" s="16">
        <f>IF(OR(G195="Sin pagar",G195="Pagar"),NETWORKDAYS($J$99,F195,'Festivos Colombia'!$A$3:$A$22),0)</f>
        <v>0</v>
      </c>
      <c r="I195" s="16">
        <f>NETWORKDAYS($J$99,F195,'Festivos Colombia'!$A$3:$A$22)</f>
        <v>10</v>
      </c>
      <c r="J195" s="46">
        <f t="shared" si="81"/>
        <v>0</v>
      </c>
      <c r="K195" s="58"/>
      <c r="S195" s="27"/>
    </row>
    <row r="196" spans="1:21" s="16" customFormat="1" outlineLevel="1">
      <c r="A196" s="16" t="str">
        <f t="shared" ref="A196" si="82">G196</f>
        <v>Cancelado</v>
      </c>
      <c r="B196" s="16">
        <f t="shared" ref="B196" si="83">IF(I196&lt;=-1,1,IF(I196&lt;=5,2,IF(I196&lt;=15,3,IF(H196&lt;=60,4))))</f>
        <v>3</v>
      </c>
      <c r="C196" s="24" t="s">
        <v>1451</v>
      </c>
      <c r="D196" s="9" t="s">
        <v>1452</v>
      </c>
      <c r="E196" s="8">
        <v>1449600.2080000001</v>
      </c>
      <c r="F196" s="715">
        <v>46094</v>
      </c>
      <c r="G196" s="16" t="s">
        <v>20</v>
      </c>
      <c r="H196" s="16">
        <f>IF(OR(G196="Sin pagar",G196="Pagar"),NETWORKDAYS($J$99,F196,'Festivos Colombia'!$A$3:$A$22),0)</f>
        <v>0</v>
      </c>
      <c r="I196" s="16">
        <f>NETWORKDAYS($J$99,F196,'Festivos Colombia'!$A$3:$A$22)</f>
        <v>10</v>
      </c>
      <c r="J196" s="46">
        <f t="shared" ref="J196" si="84">H196</f>
        <v>0</v>
      </c>
      <c r="K196" s="58"/>
      <c r="S196" s="27"/>
    </row>
    <row r="197" spans="1:21" s="16" customFormat="1" outlineLevel="1">
      <c r="A197" s="16" t="str">
        <f t="shared" ref="A197" si="85">G197</f>
        <v>Cancelado</v>
      </c>
      <c r="B197" s="16">
        <f t="shared" ref="B197" si="86">IF(I197&lt;=-1,1,IF(I197&lt;=5,2,IF(I197&lt;=15,3,IF(H197&lt;=60,4))))</f>
        <v>3</v>
      </c>
      <c r="C197" s="24" t="s">
        <v>1453</v>
      </c>
      <c r="D197" s="9" t="s">
        <v>1454</v>
      </c>
      <c r="E197" s="8">
        <v>4413700</v>
      </c>
      <c r="F197" s="353">
        <v>46094</v>
      </c>
      <c r="G197" s="16" t="s">
        <v>20</v>
      </c>
      <c r="H197" s="16">
        <f>IF(OR(G197="Sin pagar",G197="Pagar"),NETWORKDAYS($J$99,F197,'Festivos Colombia'!$A$3:$A$22),0)</f>
        <v>0</v>
      </c>
      <c r="I197" s="16">
        <f>NETWORKDAYS($J$99,F197,'Festivos Colombia'!$A$3:$A$22)</f>
        <v>10</v>
      </c>
      <c r="J197" s="46">
        <f t="shared" ref="J197" si="87">H197</f>
        <v>0</v>
      </c>
      <c r="K197" s="58"/>
      <c r="S197" s="27"/>
    </row>
    <row r="198" spans="1:21" s="16" customFormat="1" outlineLevel="1">
      <c r="A198" s="16" t="str">
        <f t="shared" ref="A198:A199" si="88">G198</f>
        <v>Cancelado</v>
      </c>
      <c r="B198" s="16">
        <f t="shared" ref="B198:B199" si="89">IF(I198&lt;=-1,1,IF(I198&lt;=5,2,IF(I198&lt;=15,3,IF(H198&lt;=60,4))))</f>
        <v>3</v>
      </c>
      <c r="C198" s="534">
        <v>27</v>
      </c>
      <c r="D198" s="347" t="s">
        <v>52</v>
      </c>
      <c r="E198" s="8">
        <v>1489471.36</v>
      </c>
      <c r="F198" s="353">
        <v>46101</v>
      </c>
      <c r="G198" s="16" t="s">
        <v>20</v>
      </c>
      <c r="H198" s="16">
        <f>IF(OR(G198="Sin pagar",G198="Pagar"),NETWORKDAYS($J$99,F198,'Festivos Colombia'!$A$3:$A$22),0)</f>
        <v>0</v>
      </c>
      <c r="I198" s="16">
        <f>NETWORKDAYS($J$99,F198,'Festivos Colombia'!$A$3:$A$22)</f>
        <v>15</v>
      </c>
      <c r="J198" s="46">
        <f>H198</f>
        <v>0</v>
      </c>
      <c r="K198" s="58"/>
      <c r="M198" s="25"/>
    </row>
    <row r="199" spans="1:21" s="16" customFormat="1" outlineLevel="1">
      <c r="A199" s="16" t="str">
        <f t="shared" si="88"/>
        <v>Cancelado</v>
      </c>
      <c r="B199" s="16">
        <f t="shared" si="89"/>
        <v>3</v>
      </c>
      <c r="C199" s="534">
        <v>18</v>
      </c>
      <c r="D199" s="347" t="s">
        <v>113</v>
      </c>
      <c r="E199" s="8">
        <v>1489471.36</v>
      </c>
      <c r="F199" s="353">
        <v>46101</v>
      </c>
      <c r="G199" s="16" t="s">
        <v>20</v>
      </c>
      <c r="H199" s="16">
        <f>IF(OR(G199="Sin pagar",G199="Pagar"),NETWORKDAYS($J$99,F199,'Festivos Colombia'!$A$3:$A$22),0)</f>
        <v>0</v>
      </c>
      <c r="I199" s="16">
        <f>NETWORKDAYS($J$99,F199,'Festivos Colombia'!$A$3:$A$22)</f>
        <v>15</v>
      </c>
      <c r="J199" s="46">
        <f>H199</f>
        <v>0</v>
      </c>
      <c r="K199" s="58"/>
      <c r="M199" s="25"/>
    </row>
    <row r="200" spans="1:21" s="16" customFormat="1" outlineLevel="1">
      <c r="A200" s="16" t="str">
        <f>G200</f>
        <v>Cancelado</v>
      </c>
      <c r="B200" s="16">
        <f>IF(I200&lt;=-1,1,IF(I200&lt;=5,2,IF(I200&lt;=15,3,IF(H200&lt;=60,4))))</f>
        <v>3</v>
      </c>
      <c r="C200" s="56" t="s">
        <v>1343</v>
      </c>
      <c r="D200" s="9" t="s">
        <v>55</v>
      </c>
      <c r="E200" s="8">
        <f>77395</f>
        <v>77395</v>
      </c>
      <c r="F200" s="353">
        <v>46101</v>
      </c>
      <c r="G200" s="16" t="s">
        <v>20</v>
      </c>
      <c r="H200" s="16">
        <f>IF(OR(G200="Sin pagar",G200="Pagar"),NETWORKDAYS($J$99,F200,'Festivos Colombia'!$A$3:$A$22),0)</f>
        <v>0</v>
      </c>
      <c r="I200" s="16">
        <f>NETWORKDAYS($J$99,F200,'Festivos Colombia'!$A$3:$A$22)</f>
        <v>15</v>
      </c>
      <c r="J200" s="46">
        <f t="shared" si="81"/>
        <v>0</v>
      </c>
      <c r="K200" s="58"/>
    </row>
    <row r="201" spans="1:21" s="16" customFormat="1" outlineLevel="1">
      <c r="A201" s="16" t="str">
        <f>G201</f>
        <v>Cancelado</v>
      </c>
      <c r="B201" s="16">
        <f>IF(I201&lt;=-1,1,IF(I201&lt;=5,2,IF(I201&lt;=15,3,IF(H201&lt;=60,4))))</f>
        <v>3</v>
      </c>
      <c r="C201" s="56">
        <v>260301</v>
      </c>
      <c r="D201" s="347" t="s">
        <v>53</v>
      </c>
      <c r="E201" s="8">
        <v>475363.2</v>
      </c>
      <c r="F201" s="353">
        <v>46101</v>
      </c>
      <c r="G201" s="16" t="s">
        <v>20</v>
      </c>
      <c r="H201" s="16">
        <f>IF(OR(G201="Sin pagar",G201="Pagar"),NETWORKDAYS($J$99,F201,'Festivos Colombia'!$A$3:$A$22),0)</f>
        <v>0</v>
      </c>
      <c r="I201" s="16">
        <f>NETWORKDAYS($J$99,F201,'Festivos Colombia'!$A$3:$A$22)</f>
        <v>15</v>
      </c>
      <c r="J201" s="46">
        <f>H201</f>
        <v>0</v>
      </c>
      <c r="K201" s="58"/>
    </row>
    <row r="202" spans="1:21" s="16" customFormat="1" ht="14.25" customHeight="1" outlineLevel="1">
      <c r="A202" s="16" t="str">
        <f>G202</f>
        <v>Cancelado</v>
      </c>
      <c r="B202" s="16">
        <f>IF(I202&lt;=-1,1,IF(I202&lt;=5,2,IF(I202&lt;=15,3,IF(H202&lt;=60,4))))</f>
        <v>3</v>
      </c>
      <c r="C202" s="24">
        <v>10</v>
      </c>
      <c r="D202" s="9" t="s">
        <v>106</v>
      </c>
      <c r="E202" s="8">
        <v>340000</v>
      </c>
      <c r="F202" s="671">
        <v>46101</v>
      </c>
      <c r="G202" s="16" t="s">
        <v>20</v>
      </c>
      <c r="H202" s="16">
        <f>IF(OR(G202="Sin pagar",G202="Pagar"),NETWORKDAYS($J$99,F202,'Festivos Colombia'!$A$3:$A$22),0)</f>
        <v>0</v>
      </c>
      <c r="I202" s="16">
        <f>NETWORKDAYS($J$99,F202,'Festivos Colombia'!$A$3:$A$22)</f>
        <v>15</v>
      </c>
      <c r="J202" s="46">
        <f>H202</f>
        <v>0</v>
      </c>
      <c r="K202" s="58"/>
    </row>
    <row r="203" spans="1:21" s="150" customFormat="1" ht="16.5" customHeight="1" outlineLevel="1">
      <c r="A203" s="355" t="str">
        <f t="shared" ref="A203" si="90">G203</f>
        <v>Cancelado</v>
      </c>
      <c r="B203" s="355">
        <f t="shared" ref="B203" si="91">IF(I203&lt;=-1,1,IF(I203&lt;=5,2,IF(I203&lt;=15,3,IF(H203&lt;=60,4))))</f>
        <v>3</v>
      </c>
      <c r="C203" s="234" t="s">
        <v>1266</v>
      </c>
      <c r="D203" s="320" t="s">
        <v>822</v>
      </c>
      <c r="E203" s="8">
        <f>600*0</f>
        <v>0</v>
      </c>
      <c r="F203" s="671">
        <v>46101</v>
      </c>
      <c r="G203" s="16" t="s">
        <v>20</v>
      </c>
      <c r="H203" s="16">
        <f>IF(OR(G203="Sin pagar",G203="Pagar"),NETWORKDAYS($J$99,F203,'Festivos Colombia'!$A$3:$A$22),0)</f>
        <v>0</v>
      </c>
      <c r="I203" s="16">
        <f>NETWORKDAYS($J$99,F203,'Festivos Colombia'!$A$3:$A$22)</f>
        <v>15</v>
      </c>
      <c r="J203" s="46">
        <f t="shared" si="81"/>
        <v>0</v>
      </c>
      <c r="K203" s="58">
        <v>0</v>
      </c>
      <c r="L203" s="355"/>
      <c r="M203" s="355"/>
      <c r="N203" s="355"/>
      <c r="O203" s="355"/>
      <c r="P203" s="355"/>
      <c r="Q203" s="355"/>
      <c r="R203" s="355"/>
      <c r="S203" s="355"/>
      <c r="T203" s="355"/>
      <c r="U203" s="355"/>
    </row>
    <row r="204" spans="1:21" s="16" customFormat="1" outlineLevel="1">
      <c r="A204" s="16" t="str">
        <f>G204</f>
        <v>Cancelado</v>
      </c>
      <c r="B204" s="16">
        <f>IF(I204&lt;=-1,1,IF(I204&lt;=5,2,IF(I204&lt;=15,3,IF(H204&lt;=60,4))))</f>
        <v>4</v>
      </c>
      <c r="C204" s="56">
        <v>9</v>
      </c>
      <c r="D204" s="9" t="s">
        <v>107</v>
      </c>
      <c r="E204" s="8">
        <f>3100000</f>
        <v>3100000</v>
      </c>
      <c r="F204" s="671">
        <v>46108</v>
      </c>
      <c r="G204" s="16" t="s">
        <v>20</v>
      </c>
      <c r="H204" s="16">
        <f>IF(OR(G204="Sin pagar",G204="Pagar"),NETWORKDAYS($J$99,F204,'Festivos Colombia'!$A$3:$A$22),0)</f>
        <v>0</v>
      </c>
      <c r="I204" s="16">
        <f>NETWORKDAYS($J$99,F204,'Festivos Colombia'!$A$3:$A$22)</f>
        <v>19</v>
      </c>
      <c r="J204" s="46">
        <f>H204</f>
        <v>0</v>
      </c>
      <c r="K204" s="58"/>
      <c r="M204" s="25"/>
    </row>
    <row r="205" spans="1:21" s="16" customFormat="1" outlineLevel="1">
      <c r="A205" s="16" t="str">
        <f>G205</f>
        <v>Cancelado</v>
      </c>
      <c r="B205" s="16">
        <f>IF(I205&lt;=-1,1,IF(I205&lt;=5,2,IF(I205&lt;=15,3,IF(H205&lt;=60,4))))</f>
        <v>4</v>
      </c>
      <c r="C205" s="56" t="s">
        <v>1593</v>
      </c>
      <c r="D205" s="9" t="s">
        <v>96</v>
      </c>
      <c r="E205" s="8">
        <v>1438893</v>
      </c>
      <c r="F205" s="353">
        <v>46108</v>
      </c>
      <c r="G205" s="16" t="s">
        <v>20</v>
      </c>
      <c r="H205" s="16">
        <f>IF(OR(G205="Sin pagar",G205="Pagar"),NETWORKDAYS($J$99,F205,'Festivos Colombia'!$A$3:$A$22),0)</f>
        <v>0</v>
      </c>
      <c r="I205" s="16">
        <f>NETWORKDAYS($J$99,F205,'Festivos Colombia'!$A$3:$A$22)</f>
        <v>19</v>
      </c>
      <c r="J205" s="46">
        <f t="shared" si="81"/>
        <v>0</v>
      </c>
      <c r="K205" s="58"/>
      <c r="M205" s="25"/>
    </row>
    <row r="206" spans="1:21" s="16" customFormat="1" outlineLevel="1">
      <c r="A206" s="16" t="str">
        <f>G206</f>
        <v>Cancelado</v>
      </c>
      <c r="B206" s="16">
        <f>IF(I206&lt;=-1,1,IF(I206&lt;=5,2,IF(I206&lt;=15,3,IF(H206&lt;=60,4))))</f>
        <v>4</v>
      </c>
      <c r="C206" s="56" t="s">
        <v>1011</v>
      </c>
      <c r="D206" s="9" t="s">
        <v>1594</v>
      </c>
      <c r="E206" s="8">
        <v>4332737.5</v>
      </c>
      <c r="F206" s="353">
        <v>46108</v>
      </c>
      <c r="G206" s="16" t="s">
        <v>20</v>
      </c>
      <c r="H206" s="16">
        <f>IF(OR(G206="Sin pagar",G206="Pagar"),NETWORKDAYS($J$99,F206,'Festivos Colombia'!$A$3:$A$22),0)</f>
        <v>0</v>
      </c>
      <c r="I206" s="16">
        <f>NETWORKDAYS($J$99,F206,'Festivos Colombia'!$A$3:$A$22)</f>
        <v>19</v>
      </c>
      <c r="J206" s="46">
        <f t="shared" ref="J206" si="92">H206</f>
        <v>0</v>
      </c>
      <c r="K206" s="58"/>
      <c r="M206" s="25"/>
    </row>
    <row r="207" spans="1:21" s="16" customFormat="1" outlineLevel="1">
      <c r="A207" s="16" t="str">
        <f>G207</f>
        <v>Cancelado</v>
      </c>
      <c r="B207" s="16">
        <f>IF(I207&lt;=-1,1,IF(I207&lt;=5,2,IF(I207&lt;=15,3,IF(H207&lt;=60,4))))</f>
        <v>4</v>
      </c>
      <c r="C207" s="56" t="s">
        <v>1317</v>
      </c>
      <c r="D207" s="9" t="s">
        <v>1594</v>
      </c>
      <c r="E207" s="8">
        <v>4332737.5</v>
      </c>
      <c r="F207" s="353">
        <v>46108</v>
      </c>
      <c r="G207" s="16" t="s">
        <v>20</v>
      </c>
      <c r="H207" s="16">
        <f>IF(OR(G207="Sin pagar",G207="Pagar"),NETWORKDAYS($J$99,F207,'Festivos Colombia'!$A$3:$A$22),0)</f>
        <v>0</v>
      </c>
      <c r="I207" s="16">
        <f>NETWORKDAYS($J$99,F207,'Festivos Colombia'!$A$3:$A$22)</f>
        <v>19</v>
      </c>
      <c r="J207" s="46">
        <f t="shared" ref="J207" si="93">H207</f>
        <v>0</v>
      </c>
      <c r="K207" s="58"/>
      <c r="M207" s="25"/>
    </row>
    <row r="208" spans="1:21" s="16" customFormat="1" ht="14.25" customHeight="1" outlineLevel="1">
      <c r="A208" s="16" t="str">
        <f>G208</f>
        <v>Cancelado</v>
      </c>
      <c r="B208" s="16">
        <f>IF(I208&lt;=-1,1,IF(I208&lt;=5,2,IF(I208&lt;=15,3,IF(H208&lt;=60,4))))</f>
        <v>4</v>
      </c>
      <c r="C208" s="764" t="s">
        <v>1613</v>
      </c>
      <c r="D208" s="9" t="s">
        <v>54</v>
      </c>
      <c r="E208" s="8">
        <f>774025.2</f>
        <v>774025.2</v>
      </c>
      <c r="F208" s="671">
        <v>46111</v>
      </c>
      <c r="G208" s="16" t="s">
        <v>20</v>
      </c>
      <c r="H208" s="16">
        <f>IF(OR(G208="Sin pagar",G208="Pagar"),NETWORKDAYS($J$99,F208,'Festivos Colombia'!$A$3:$A$22),0)</f>
        <v>0</v>
      </c>
      <c r="I208" s="16">
        <f>NETWORKDAYS($J$99,F208,'Festivos Colombia'!$A$3:$A$22)</f>
        <v>20</v>
      </c>
      <c r="J208" s="46">
        <f>H208</f>
        <v>0</v>
      </c>
      <c r="K208" s="58"/>
    </row>
    <row r="209" spans="1:19" s="16" customFormat="1" outlineLevel="1">
      <c r="A209" s="16" t="str">
        <f t="shared" ref="A209" si="94">G209</f>
        <v>Cancelado</v>
      </c>
      <c r="B209" s="16">
        <f t="shared" ref="B209" si="95">IF(I209&lt;=-1,1,IF(I209&lt;=5,2,IF(I209&lt;=15,3,IF(H209&lt;=60,4))))</f>
        <v>4</v>
      </c>
      <c r="C209" s="24" t="s">
        <v>1620</v>
      </c>
      <c r="D209" s="769" t="s">
        <v>1618</v>
      </c>
      <c r="E209" s="8">
        <v>1877565</v>
      </c>
      <c r="F209" s="671">
        <v>46112</v>
      </c>
      <c r="G209" s="16" t="s">
        <v>20</v>
      </c>
      <c r="H209" s="16">
        <f>IF(OR(G209="Sin pagar",G209="Pagar"),NETWORKDAYS($J$99,F209,'Festivos Colombia'!$A$3:$A$22),0)</f>
        <v>0</v>
      </c>
      <c r="I209" s="16">
        <f>NETWORKDAYS($J$99,F209,'Festivos Colombia'!$A$3:$A$22)</f>
        <v>21</v>
      </c>
      <c r="J209" s="46">
        <f t="shared" ref="J209" si="96">H209</f>
        <v>0</v>
      </c>
      <c r="K209" s="58"/>
    </row>
    <row r="210" spans="1:19" s="16" customFormat="1" outlineLevel="1">
      <c r="A210" s="16" t="str">
        <f t="shared" ref="A210" si="97">G210</f>
        <v>Cancelado</v>
      </c>
      <c r="B210" s="16">
        <f t="shared" ref="B210" si="98">IF(I210&lt;=-1,1,IF(I210&lt;=5,2,IF(I210&lt;=15,3,IF(H210&lt;=60,4))))</f>
        <v>4</v>
      </c>
      <c r="C210" s="24" t="s">
        <v>1620</v>
      </c>
      <c r="D210" s="769" t="s">
        <v>1621</v>
      </c>
      <c r="E210" s="8">
        <v>1877565</v>
      </c>
      <c r="F210" s="671">
        <v>46112</v>
      </c>
      <c r="G210" s="16" t="s">
        <v>20</v>
      </c>
      <c r="H210" s="16">
        <f>IF(OR(G210="Sin pagar",G210="Pagar"),NETWORKDAYS($J$99,F210,'Festivos Colombia'!$A$3:$A$22),0)</f>
        <v>0</v>
      </c>
      <c r="I210" s="16">
        <f>NETWORKDAYS($J$99,F210,'Festivos Colombia'!$A$3:$A$22)</f>
        <v>21</v>
      </c>
      <c r="J210" s="46">
        <f t="shared" ref="J210" si="99">H210</f>
        <v>0</v>
      </c>
      <c r="K210" s="58"/>
    </row>
    <row r="211" spans="1:19" s="16" customFormat="1" outlineLevel="1">
      <c r="A211" s="16" t="str">
        <f t="shared" ref="A211:A212" si="100">G211</f>
        <v>Cancelado</v>
      </c>
      <c r="B211" s="16">
        <f t="shared" ref="B211:B212" si="101">IF(I211&lt;=-1,1,IF(I211&lt;=5,2,IF(I211&lt;=15,3,IF(H211&lt;=60,4))))</f>
        <v>4</v>
      </c>
      <c r="C211" s="24" t="s">
        <v>1625</v>
      </c>
      <c r="D211" s="9" t="s">
        <v>1318</v>
      </c>
      <c r="E211" s="8">
        <f>4065250</f>
        <v>4065250</v>
      </c>
      <c r="F211" s="671">
        <v>46112</v>
      </c>
      <c r="G211" s="16" t="s">
        <v>20</v>
      </c>
      <c r="H211" s="16">
        <f>IF(OR(G211="Sin pagar",G211="Pagar"),NETWORKDAYS($J$99,F211,'Festivos Colombia'!$A$3:$A$22),0)</f>
        <v>0</v>
      </c>
      <c r="I211" s="16">
        <f>NETWORKDAYS($J$99,F211,'Festivos Colombia'!$A$3:$A$22)</f>
        <v>21</v>
      </c>
      <c r="J211" s="46">
        <f t="shared" si="81"/>
        <v>0</v>
      </c>
      <c r="K211" s="58"/>
    </row>
    <row r="212" spans="1:19" s="16" customFormat="1" outlineLevel="1">
      <c r="A212" s="16" t="str">
        <f t="shared" si="100"/>
        <v>Cancelado</v>
      </c>
      <c r="B212" s="16">
        <f t="shared" si="101"/>
        <v>4</v>
      </c>
      <c r="C212" s="24" t="s">
        <v>1626</v>
      </c>
      <c r="D212" s="9" t="s">
        <v>1320</v>
      </c>
      <c r="E212" s="8">
        <f>3665694</f>
        <v>3665694</v>
      </c>
      <c r="F212" s="671">
        <v>46112</v>
      </c>
      <c r="G212" s="16" t="s">
        <v>20</v>
      </c>
      <c r="H212" s="16">
        <f>IF(OR(G212="Sin pagar",G212="Pagar"),NETWORKDAYS($J$99,F212,'Festivos Colombia'!$A$3:$A$22),0)</f>
        <v>0</v>
      </c>
      <c r="I212" s="16">
        <f>NETWORKDAYS($J$99,F212,'Festivos Colombia'!$A$3:$A$22)</f>
        <v>21</v>
      </c>
      <c r="J212" s="46">
        <f t="shared" si="81"/>
        <v>0</v>
      </c>
      <c r="K212" s="58"/>
    </row>
    <row r="213" spans="1:19" s="16" customFormat="1" outlineLevel="1">
      <c r="A213" s="16" t="str">
        <f>G213</f>
        <v>Cancelado</v>
      </c>
      <c r="B213" s="16">
        <f>IF(I213&lt;=-1,1,IF(I213&lt;=5,2,IF(I213&lt;=15,3,IF(H213&lt;=60,4))))</f>
        <v>4</v>
      </c>
      <c r="C213" s="24" t="s">
        <v>1340</v>
      </c>
      <c r="D213" s="9" t="s">
        <v>49</v>
      </c>
      <c r="E213" s="8">
        <v>1246875</v>
      </c>
      <c r="F213" s="671">
        <v>46112</v>
      </c>
      <c r="G213" s="16" t="s">
        <v>20</v>
      </c>
      <c r="H213" s="16">
        <f>IF(OR(G213="Sin pagar",G213="Pagar"),NETWORKDAYS($J$99,F213,'Festivos Colombia'!$A$3:$A$22),0)</f>
        <v>0</v>
      </c>
      <c r="I213" s="16">
        <f>NETWORKDAYS($J$99,F213,'Festivos Colombia'!$A$3:$A$22)</f>
        <v>21</v>
      </c>
      <c r="J213" s="46">
        <f t="shared" si="81"/>
        <v>0</v>
      </c>
      <c r="K213" s="58"/>
      <c r="S213" s="27"/>
    </row>
    <row r="214" spans="1:19" s="16" customFormat="1" ht="13.5" customHeight="1" outlineLevel="1">
      <c r="A214" s="16" t="str">
        <f>G214</f>
        <v>Cancelado</v>
      </c>
      <c r="B214" s="16">
        <f>IF(I214&lt;=-1,1,IF(I214&lt;=5,2,IF(I214&lt;=15,3,IF(H214&lt;=60,4))))</f>
        <v>4</v>
      </c>
      <c r="C214" s="56" t="s">
        <v>1371</v>
      </c>
      <c r="D214" s="9" t="s">
        <v>50</v>
      </c>
      <c r="E214" s="8">
        <f>1723309.31</f>
        <v>1723309.31</v>
      </c>
      <c r="F214" s="671">
        <v>46112</v>
      </c>
      <c r="G214" s="16" t="s">
        <v>20</v>
      </c>
      <c r="H214" s="16">
        <f>IF(OR(G214="Sin pagar",G214="Pagar"),NETWORKDAYS($J$99,F214,'Festivos Colombia'!$A$3:$A$22),0)</f>
        <v>0</v>
      </c>
      <c r="I214" s="16">
        <f>NETWORKDAYS($J$99,F214,'Festivos Colombia'!$A$3:$A$22)</f>
        <v>21</v>
      </c>
      <c r="J214" s="46">
        <f t="shared" ref="J214" si="102">H214</f>
        <v>0</v>
      </c>
      <c r="K214" s="353"/>
      <c r="M214" s="25"/>
    </row>
    <row r="215" spans="1:19" s="16" customFormat="1" ht="13.5" customHeight="1" outlineLevel="1">
      <c r="A215" s="16" t="str">
        <f>G215</f>
        <v>Cancelado</v>
      </c>
      <c r="B215" s="16">
        <f>IF(I215&lt;=-1,1,IF(I215&lt;=5,2,IF(I215&lt;=15,3,IF(H215&lt;=60,4))))</f>
        <v>4</v>
      </c>
      <c r="C215" s="56">
        <v>18</v>
      </c>
      <c r="D215" s="9" t="s">
        <v>1629</v>
      </c>
      <c r="E215" s="8">
        <v>1634061</v>
      </c>
      <c r="F215" s="671">
        <v>46113</v>
      </c>
      <c r="G215" s="16" t="s">
        <v>20</v>
      </c>
      <c r="H215" s="16">
        <f>IF(OR(G215="Sin pagar",G215="Pagar"),NETWORKDAYS($J$99,F215,'Festivos Colombia'!$A$3:$A$22),0)</f>
        <v>0</v>
      </c>
      <c r="I215" s="16">
        <f>NETWORKDAYS($J$99,F215,'Festivos Colombia'!$A$3:$A$22)</f>
        <v>22</v>
      </c>
      <c r="J215" s="46">
        <f t="shared" si="81"/>
        <v>0</v>
      </c>
      <c r="K215" s="353"/>
      <c r="M215" s="25"/>
    </row>
    <row r="216" spans="1:19" s="16" customFormat="1" outlineLevel="1">
      <c r="A216" s="16" t="str">
        <f>G216</f>
        <v>Sin Pagar</v>
      </c>
      <c r="B216" s="16">
        <f>IF(I216&lt;=-1,1,IF(I216&lt;=5,2,IF(I216&lt;=15,3,IF(H216&lt;=60,4))))</f>
        <v>4</v>
      </c>
      <c r="C216" s="24">
        <v>12051</v>
      </c>
      <c r="D216" s="9" t="s">
        <v>49</v>
      </c>
      <c r="E216" s="8">
        <f>1301175*0</f>
        <v>0</v>
      </c>
      <c r="F216" s="671">
        <v>46142</v>
      </c>
      <c r="G216" s="16" t="s">
        <v>5</v>
      </c>
      <c r="H216" s="16">
        <f>IF(OR(G216="Sin pagar",G216="Pagar"),NETWORKDAYS($J$99,F216,'Festivos Colombia'!$A$3:$A$22),0)</f>
        <v>41</v>
      </c>
      <c r="I216" s="16">
        <f>NETWORKDAYS($J$99,F216,'Festivos Colombia'!$A$3:$A$22)</f>
        <v>41</v>
      </c>
      <c r="J216" s="46">
        <f t="shared" ref="J216:J217" si="103">H216</f>
        <v>41</v>
      </c>
      <c r="K216" s="58"/>
      <c r="S216" s="27"/>
    </row>
    <row r="217" spans="1:19" s="16" customFormat="1" outlineLevel="1">
      <c r="A217" s="16" t="str">
        <f>G217</f>
        <v>Sin Pagar</v>
      </c>
      <c r="B217" s="16">
        <f>IF(I217&lt;=-1,1,IF(I217&lt;=5,2,IF(I217&lt;=15,3,IF(H217&lt;=60,4))))</f>
        <v>4</v>
      </c>
      <c r="C217" s="56" t="s">
        <v>1644</v>
      </c>
      <c r="D217" s="9" t="s">
        <v>55</v>
      </c>
      <c r="E217" s="8">
        <f>77395*0</f>
        <v>0</v>
      </c>
      <c r="F217" s="353">
        <v>46136</v>
      </c>
      <c r="G217" s="16" t="s">
        <v>5</v>
      </c>
      <c r="H217" s="16">
        <f>IF(OR(G217="Sin pagar",G217="Pagar"),NETWORKDAYS($J$99,F217,'Festivos Colombia'!$A$3:$A$22),0)</f>
        <v>37</v>
      </c>
      <c r="I217" s="16">
        <f>NETWORKDAYS($J$99,F217,'Festivos Colombia'!$A$3:$A$22)</f>
        <v>37</v>
      </c>
      <c r="J217" s="46">
        <f t="shared" si="103"/>
        <v>37</v>
      </c>
      <c r="K217" s="58"/>
    </row>
    <row r="218" spans="1:19" s="16" customFormat="1" ht="15.75" outlineLevel="1" thickBot="1">
      <c r="A218" s="16" t="str">
        <f t="shared" ref="A218" si="104">G218</f>
        <v>Sin Pagar</v>
      </c>
      <c r="B218" s="16">
        <f t="shared" ref="B218" si="105">IF(I218&lt;=-1,1,IF(I218&lt;=5,2,IF(I218&lt;=15,3,IF(H218&lt;=60,4))))</f>
        <v>4</v>
      </c>
      <c r="C218" s="24" t="s">
        <v>1453</v>
      </c>
      <c r="D218" s="9" t="s">
        <v>1645</v>
      </c>
      <c r="E218" s="8">
        <f>3800000*0</f>
        <v>0</v>
      </c>
      <c r="F218" s="353">
        <v>46129</v>
      </c>
      <c r="G218" s="16" t="s">
        <v>5</v>
      </c>
      <c r="H218" s="16">
        <f>IF(OR(G218="Sin pagar",G218="Pagar"),NETWORKDAYS($J$99,F218,'Festivos Colombia'!$A$3:$A$22),0)</f>
        <v>32</v>
      </c>
      <c r="I218" s="16">
        <f>NETWORKDAYS($J$99,F218,'Festivos Colombia'!$A$3:$A$22)</f>
        <v>32</v>
      </c>
      <c r="J218" s="46">
        <f t="shared" ref="J218" si="106">H218</f>
        <v>32</v>
      </c>
      <c r="K218" s="58"/>
      <c r="S218" s="27"/>
    </row>
    <row r="219" spans="1:19" s="16" customFormat="1" ht="15.75" customHeight="1" thickBot="1">
      <c r="D219" s="351" t="s">
        <v>57</v>
      </c>
      <c r="E219" s="352">
        <f>SUBTOTAL(9,E220:E220)</f>
        <v>16446896.25</v>
      </c>
      <c r="J219" s="46"/>
    </row>
    <row r="220" spans="1:19" s="16" customFormat="1" ht="15.75" outlineLevel="1" thickBot="1">
      <c r="A220" s="16" t="str">
        <f>G220</f>
        <v>Cancelado</v>
      </c>
      <c r="B220" s="16">
        <f>IF(I220&lt;=-1,1,IF(I220&lt;=5,2,IF(I220&lt;=15,3,IF(H220&lt;=60,4))))</f>
        <v>4</v>
      </c>
      <c r="C220" s="24"/>
      <c r="D220" s="9" t="s">
        <v>58</v>
      </c>
      <c r="E220" s="8">
        <f>13715337.25+2731559</f>
        <v>16446896.25</v>
      </c>
      <c r="F220" s="7">
        <v>46112</v>
      </c>
      <c r="G220" s="16" t="s">
        <v>20</v>
      </c>
      <c r="H220" s="16">
        <f>IF(OR(G220="Sin pagar",G220="Pagar"),NETWORKDAYS($J$99,F220,'Festivos Colombia'!$A$3:$A$22),0)</f>
        <v>0</v>
      </c>
      <c r="I220" s="16">
        <f>NETWORKDAYS($J$99,F220,'Festivos Colombia'!$A$3:$A$22)</f>
        <v>21</v>
      </c>
      <c r="J220" s="46">
        <f>H220</f>
        <v>0</v>
      </c>
      <c r="K220" s="58"/>
    </row>
    <row r="221" spans="1:19" s="16" customFormat="1" ht="16.5" thickBot="1">
      <c r="C221" s="24"/>
      <c r="D221" s="351" t="s">
        <v>59</v>
      </c>
      <c r="E221" s="352">
        <f>SUBTOTAL(9,E222:E223)</f>
        <v>5171996</v>
      </c>
      <c r="J221" s="46"/>
    </row>
    <row r="222" spans="1:19" s="16" customFormat="1" outlineLevel="1">
      <c r="A222" s="16" t="str">
        <f>G222</f>
        <v>Cancelado</v>
      </c>
      <c r="B222" s="16">
        <f>IF(I222&lt;=-1,1,IF(I222&lt;=5,2,IF(I222&lt;=15,3,IF(H222&lt;=60,4))))</f>
        <v>4</v>
      </c>
      <c r="C222" s="24"/>
      <c r="D222" s="9" t="s">
        <v>60</v>
      </c>
      <c r="E222" s="8">
        <v>4633173</v>
      </c>
      <c r="F222" s="7">
        <v>46108</v>
      </c>
      <c r="G222" s="16" t="s">
        <v>20</v>
      </c>
      <c r="H222" s="16">
        <f>IF(OR(G222="Sin pagar",G222="Pagar"),NETWORKDAYS($J$99,F222,'Festivos Colombia'!$A$3:$A$22),0)</f>
        <v>0</v>
      </c>
      <c r="I222" s="16">
        <f>NETWORKDAYS($J$99,F222,'Festivos Colombia'!$A$3:$A$22)</f>
        <v>19</v>
      </c>
      <c r="J222" s="46">
        <f>H222</f>
        <v>0</v>
      </c>
      <c r="K222" s="58"/>
    </row>
    <row r="223" spans="1:19" s="16" customFormat="1" ht="15.75" outlineLevel="1" thickBot="1">
      <c r="A223" s="16" t="str">
        <f>G223</f>
        <v>Cancelado</v>
      </c>
      <c r="B223" s="16">
        <f>IF(I223&lt;=-1,1,IF(I223&lt;=5,2,IF(I223&lt;=15,3,IF(H223&lt;=60,4))))</f>
        <v>4</v>
      </c>
      <c r="C223" s="24"/>
      <c r="D223" s="9" t="s">
        <v>1087</v>
      </c>
      <c r="E223" s="8">
        <v>538823</v>
      </c>
      <c r="F223" s="7">
        <v>46111</v>
      </c>
      <c r="G223" s="16" t="s">
        <v>20</v>
      </c>
      <c r="H223" s="16">
        <f>IF(OR(G223="Sin pagar",G223="Pagar"),NETWORKDAYS($J$99,F223,'Festivos Colombia'!$A$3:$A$22),0)</f>
        <v>0</v>
      </c>
      <c r="I223" s="16">
        <f>NETWORKDAYS($J$99,F223,'Festivos Colombia'!$A$3:$A$22)</f>
        <v>20</v>
      </c>
      <c r="J223" s="46">
        <f>H223</f>
        <v>0</v>
      </c>
      <c r="K223" s="58"/>
    </row>
    <row r="224" spans="1:19" s="16" customFormat="1" ht="16.5" thickBot="1">
      <c r="C224" s="24"/>
      <c r="D224" s="351" t="s">
        <v>61</v>
      </c>
      <c r="E224" s="352">
        <f>SUBTOTAL(9,E225:E228)</f>
        <v>17286981.420000002</v>
      </c>
      <c r="J224" s="46"/>
      <c r="M224" s="8"/>
    </row>
    <row r="225" spans="1:17" s="16" customFormat="1" outlineLevel="1">
      <c r="A225" s="16" t="str">
        <f t="shared" ref="A225" si="107">G225</f>
        <v>Cancelado</v>
      </c>
      <c r="B225" s="16">
        <f t="shared" ref="B225" si="108">IF(I225&lt;=-1,1,IF(I225&lt;=5,2,IF(I225&lt;=15,3,IF(H225&lt;=60,4))))</f>
        <v>3</v>
      </c>
      <c r="C225" s="97"/>
      <c r="D225" s="9" t="s">
        <v>62</v>
      </c>
      <c r="E225" s="8">
        <v>12712349</v>
      </c>
      <c r="F225" s="7">
        <v>46097</v>
      </c>
      <c r="G225" s="16" t="s">
        <v>20</v>
      </c>
      <c r="H225" s="16">
        <f>IF(OR(G225="Sin pagar",G225="Pagar"),NETWORKDAYS($J$99,F225,'Festivos Colombia'!$A$3:$A$22),0)</f>
        <v>0</v>
      </c>
      <c r="I225" s="16">
        <f>NETWORKDAYS($J$99,F225,'Festivos Colombia'!$A$3:$A$22)</f>
        <v>11</v>
      </c>
      <c r="J225" s="46">
        <f t="shared" ref="J225" si="109">H225</f>
        <v>0</v>
      </c>
      <c r="K225" s="8"/>
      <c r="L225" s="8"/>
      <c r="M225" s="8"/>
      <c r="O225" s="33"/>
      <c r="P225" s="25"/>
      <c r="Q225" s="33"/>
    </row>
    <row r="226" spans="1:17" s="16" customFormat="1" outlineLevel="1">
      <c r="A226" s="16" t="str">
        <f>G226</f>
        <v>Cancelado</v>
      </c>
      <c r="B226" s="16">
        <f>IF(I226&lt;=-1,1,IF(I226&lt;=5,2,IF(I226&lt;=15,3,IF(H226&lt;=60,4))))</f>
        <v>4</v>
      </c>
      <c r="C226" s="97"/>
      <c r="D226" s="9" t="s">
        <v>1631</v>
      </c>
      <c r="E226" s="419">
        <f>(582*3675.81)</f>
        <v>2139321.42</v>
      </c>
      <c r="F226" s="7">
        <v>46118</v>
      </c>
      <c r="G226" s="16" t="s">
        <v>20</v>
      </c>
      <c r="H226" s="16">
        <f>IF(OR(G226="Sin pagar",G226="Pagar"),NETWORKDAYS($J$128,F226,'Festivos Colombia'!$A$3:$A$22),0)</f>
        <v>0</v>
      </c>
      <c r="I226" s="16">
        <f>NETWORKDAYS($J$128,F226,'Festivos Colombia'!$A$3:$A$22)</f>
        <v>32936</v>
      </c>
      <c r="J226" s="46">
        <f>H226</f>
        <v>0</v>
      </c>
      <c r="K226" s="8"/>
      <c r="L226" s="350"/>
      <c r="M226" s="8"/>
      <c r="O226" s="33"/>
      <c r="P226" s="25"/>
      <c r="Q226" s="33"/>
    </row>
    <row r="227" spans="1:17" s="16" customFormat="1" outlineLevel="1">
      <c r="A227" s="16" t="str">
        <f>G227</f>
        <v>Cancelado</v>
      </c>
      <c r="B227" s="16">
        <f>IF(I227&lt;=-1,1,IF(I227&lt;=5,2,IF(I227&lt;=15,3,IF(H227&lt;=60,4))))</f>
        <v>4</v>
      </c>
      <c r="C227" s="97"/>
      <c r="D227" s="9" t="s">
        <v>1630</v>
      </c>
      <c r="E227" s="419">
        <v>2435311</v>
      </c>
      <c r="F227" s="7">
        <v>46118</v>
      </c>
      <c r="G227" s="16" t="s">
        <v>20</v>
      </c>
      <c r="H227" s="16">
        <f>IF(OR(G227="Sin pagar",G227="Pagar"),NETWORKDAYS($J$128,F227,'Festivos Colombia'!$A$3:$A$22),0)</f>
        <v>0</v>
      </c>
      <c r="I227" s="16">
        <f>NETWORKDAYS($J$128,F227,'Festivos Colombia'!$A$3:$A$22)</f>
        <v>32936</v>
      </c>
      <c r="J227" s="46">
        <f>H227</f>
        <v>0</v>
      </c>
      <c r="K227" s="8"/>
      <c r="L227" s="350"/>
      <c r="M227" s="8"/>
      <c r="O227" s="33"/>
      <c r="P227" s="25"/>
      <c r="Q227" s="33"/>
    </row>
    <row r="228" spans="1:17" s="16" customFormat="1" ht="15.75" outlineLevel="1" thickBot="1">
      <c r="A228" s="16" t="str">
        <f t="shared" ref="A228" si="110">G228</f>
        <v>Sin Pagar</v>
      </c>
      <c r="B228" s="16">
        <f t="shared" ref="B228" si="111">IF(I228&lt;=-1,1,IF(I228&lt;=5,2,IF(I228&lt;=15,3,IF(H228&lt;=60,4))))</f>
        <v>4</v>
      </c>
      <c r="C228" s="97"/>
      <c r="D228" s="9" t="s">
        <v>62</v>
      </c>
      <c r="E228" s="8">
        <f>21127878*0</f>
        <v>0</v>
      </c>
      <c r="F228" s="7">
        <v>46128</v>
      </c>
      <c r="G228" s="16" t="s">
        <v>5</v>
      </c>
      <c r="H228" s="16">
        <f>IF(OR(G228="Sin pagar",G228="Pagar"),NETWORKDAYS($J$99,F228,'Festivos Colombia'!$A$3:$A$22),0)</f>
        <v>31</v>
      </c>
      <c r="I228" s="16">
        <f>NETWORKDAYS($J$99,F228,'Festivos Colombia'!$A$3:$A$22)</f>
        <v>31</v>
      </c>
      <c r="J228" s="46">
        <f t="shared" ref="J228" si="112">H228</f>
        <v>31</v>
      </c>
      <c r="K228" s="8"/>
      <c r="L228" s="8"/>
      <c r="M228" s="8"/>
      <c r="O228" s="33"/>
      <c r="P228" s="25"/>
      <c r="Q228" s="33"/>
    </row>
    <row r="229" spans="1:17" s="16" customFormat="1" ht="16.5" thickBot="1">
      <c r="D229" s="351" t="s">
        <v>63</v>
      </c>
      <c r="E229" s="352">
        <f>SUBTOTAL(9,E230:E243)</f>
        <v>3572686.06</v>
      </c>
      <c r="J229" s="46"/>
      <c r="K229" s="8"/>
    </row>
    <row r="230" spans="1:17" s="16" customFormat="1" ht="15.75" customHeight="1" outlineLevel="1">
      <c r="A230" s="16" t="str">
        <f t="shared" ref="A230:A243" si="113">G230</f>
        <v>Cancelado</v>
      </c>
      <c r="B230" s="16">
        <f t="shared" ref="B230:B243" si="114">IF(I230&lt;=-1,1,IF(I230&lt;=5,2,IF(I230&lt;=15,3,IF(H230&lt;=60,4))))</f>
        <v>2</v>
      </c>
      <c r="C230" s="24">
        <v>6910</v>
      </c>
      <c r="D230" s="9" t="s">
        <v>64</v>
      </c>
      <c r="E230" s="8">
        <v>341000</v>
      </c>
      <c r="F230" s="353">
        <v>46087</v>
      </c>
      <c r="G230" s="16" t="s">
        <v>20</v>
      </c>
      <c r="H230" s="16">
        <f>IF(OR(G230="Sin pagar",G230="Pagar"),NETWORKDAYS($J$99,F230,'Festivos Colombia'!$A$3:$A$22),0)</f>
        <v>0</v>
      </c>
      <c r="I230" s="16">
        <f>NETWORKDAYS($J$99,F230,'Festivos Colombia'!$A$3:$A$22)</f>
        <v>5</v>
      </c>
      <c r="J230" s="46">
        <f t="shared" ref="J230:J243" si="115">H230</f>
        <v>0</v>
      </c>
      <c r="K230" s="58"/>
    </row>
    <row r="231" spans="1:17" s="16" customFormat="1" ht="15.75" customHeight="1" outlineLevel="1">
      <c r="A231" s="16" t="str">
        <f t="shared" si="113"/>
        <v>Cancelado</v>
      </c>
      <c r="B231" s="16">
        <f t="shared" si="114"/>
        <v>2</v>
      </c>
      <c r="C231" s="24">
        <v>6914</v>
      </c>
      <c r="D231" s="9" t="s">
        <v>64</v>
      </c>
      <c r="E231" s="8">
        <f>509500</f>
        <v>509500</v>
      </c>
      <c r="F231" s="353">
        <v>46087</v>
      </c>
      <c r="G231" s="16" t="s">
        <v>20</v>
      </c>
      <c r="H231" s="16">
        <f>IF(OR(G231="Sin pagar",G231="Pagar"),NETWORKDAYS($J$99,F231,'Festivos Colombia'!$A$3:$A$22),0)</f>
        <v>0</v>
      </c>
      <c r="I231" s="16">
        <f>NETWORKDAYS($J$99,F231,'Festivos Colombia'!$A$3:$A$22)</f>
        <v>5</v>
      </c>
      <c r="J231" s="46">
        <f t="shared" si="115"/>
        <v>0</v>
      </c>
      <c r="K231" s="58"/>
    </row>
    <row r="232" spans="1:17" s="16" customFormat="1" ht="15.75" customHeight="1" outlineLevel="1">
      <c r="A232" s="16" t="str">
        <f t="shared" si="113"/>
        <v>Cancelado</v>
      </c>
      <c r="B232" s="16">
        <f t="shared" si="114"/>
        <v>3</v>
      </c>
      <c r="C232" s="24">
        <v>6917</v>
      </c>
      <c r="D232" s="9" t="s">
        <v>64</v>
      </c>
      <c r="E232" s="8">
        <f>205000</f>
        <v>205000</v>
      </c>
      <c r="F232" s="715">
        <v>46094</v>
      </c>
      <c r="G232" s="16" t="s">
        <v>20</v>
      </c>
      <c r="H232" s="16">
        <f>IF(OR(G232="Sin pagar",G232="Pagar"),NETWORKDAYS($J$99,F232,'Festivos Colombia'!$A$3:$A$22),0)</f>
        <v>0</v>
      </c>
      <c r="I232" s="16">
        <f>NETWORKDAYS($J$99,F232,'Festivos Colombia'!$A$3:$A$22)</f>
        <v>10</v>
      </c>
      <c r="J232" s="46">
        <f t="shared" si="115"/>
        <v>0</v>
      </c>
      <c r="K232" s="58"/>
    </row>
    <row r="233" spans="1:17" s="16" customFormat="1" ht="15.75" customHeight="1" outlineLevel="1">
      <c r="A233" s="16" t="str">
        <f t="shared" si="113"/>
        <v>Cancelado</v>
      </c>
      <c r="B233" s="16">
        <f t="shared" si="114"/>
        <v>3</v>
      </c>
      <c r="C233" s="24">
        <v>6929</v>
      </c>
      <c r="D233" s="9" t="s">
        <v>64</v>
      </c>
      <c r="E233" s="8">
        <f>567500</f>
        <v>567500</v>
      </c>
      <c r="F233" s="715">
        <v>46094</v>
      </c>
      <c r="G233" s="16" t="s">
        <v>20</v>
      </c>
      <c r="H233" s="16">
        <f>IF(OR(G233="Sin pagar",G233="Pagar"),NETWORKDAYS($J$99,F233,'Festivos Colombia'!$A$3:$A$22),0)</f>
        <v>0</v>
      </c>
      <c r="I233" s="16">
        <f>NETWORKDAYS($J$99,F233,'Festivos Colombia'!$A$3:$A$22)</f>
        <v>10</v>
      </c>
      <c r="J233" s="46">
        <f t="shared" si="115"/>
        <v>0</v>
      </c>
      <c r="K233" s="58"/>
    </row>
    <row r="234" spans="1:17" s="16" customFormat="1" ht="15.75" customHeight="1" outlineLevel="1">
      <c r="A234" s="16" t="str">
        <f t="shared" si="113"/>
        <v>Cancelado</v>
      </c>
      <c r="B234" s="16">
        <f t="shared" si="114"/>
        <v>3</v>
      </c>
      <c r="C234" s="24">
        <v>6932</v>
      </c>
      <c r="D234" s="9" t="s">
        <v>64</v>
      </c>
      <c r="E234" s="8">
        <f>225000</f>
        <v>225000</v>
      </c>
      <c r="F234" s="353">
        <v>46101</v>
      </c>
      <c r="G234" s="16" t="s">
        <v>20</v>
      </c>
      <c r="H234" s="16">
        <f>IF(OR(G234="Sin pagar",G234="Pagar"),NETWORKDAYS($J$99,F234,'Festivos Colombia'!$A$3:$A$22),0)</f>
        <v>0</v>
      </c>
      <c r="I234" s="16">
        <f>NETWORKDAYS($J$99,F234,'Festivos Colombia'!$A$3:$A$22)</f>
        <v>15</v>
      </c>
      <c r="J234" s="46">
        <f t="shared" si="115"/>
        <v>0</v>
      </c>
      <c r="K234" s="58"/>
    </row>
    <row r="235" spans="1:17" s="16" customFormat="1" ht="15.75" customHeight="1" outlineLevel="1">
      <c r="A235" s="16" t="str">
        <f t="shared" si="113"/>
        <v>Cancelado</v>
      </c>
      <c r="B235" s="16">
        <f t="shared" si="114"/>
        <v>4</v>
      </c>
      <c r="C235" s="24">
        <v>6940</v>
      </c>
      <c r="D235" s="9" t="s">
        <v>64</v>
      </c>
      <c r="E235" s="8">
        <f>807500</f>
        <v>807500</v>
      </c>
      <c r="F235" s="7">
        <v>46108</v>
      </c>
      <c r="G235" s="16" t="s">
        <v>20</v>
      </c>
      <c r="H235" s="16">
        <f>IF(OR(G235="Sin pagar",G235="Pagar"),NETWORKDAYS($J$99,F235,'Festivos Colombia'!$A$3:$A$22),0)</f>
        <v>0</v>
      </c>
      <c r="I235" s="16">
        <f>NETWORKDAYS($J$99,F235,'Festivos Colombia'!$A$3:$A$22)</f>
        <v>19</v>
      </c>
      <c r="J235" s="46">
        <f t="shared" si="115"/>
        <v>0</v>
      </c>
      <c r="K235" s="58"/>
    </row>
    <row r="236" spans="1:17" s="16" customFormat="1" ht="15.75" customHeight="1" outlineLevel="1">
      <c r="A236" s="16" t="str">
        <f t="shared" si="113"/>
        <v>Cancelado</v>
      </c>
      <c r="B236" s="16">
        <f t="shared" si="114"/>
        <v>4</v>
      </c>
      <c r="C236" s="24">
        <v>6950</v>
      </c>
      <c r="D236" s="9" t="s">
        <v>64</v>
      </c>
      <c r="E236" s="8">
        <f>342500</f>
        <v>342500</v>
      </c>
      <c r="F236" s="7">
        <v>46108</v>
      </c>
      <c r="G236" s="16" t="s">
        <v>20</v>
      </c>
      <c r="H236" s="16">
        <f>IF(OR(G236="Sin pagar",G236="Pagar"),NETWORKDAYS($J$99,F236,'Festivos Colombia'!$A$3:$A$22),0)</f>
        <v>0</v>
      </c>
      <c r="I236" s="16">
        <f>NETWORKDAYS($J$99,F236,'Festivos Colombia'!$A$3:$A$22)</f>
        <v>19</v>
      </c>
      <c r="J236" s="46">
        <f t="shared" si="115"/>
        <v>0</v>
      </c>
      <c r="K236" s="58"/>
    </row>
    <row r="237" spans="1:17" s="16" customFormat="1" ht="15.75" customHeight="1" outlineLevel="1">
      <c r="A237" s="16" t="str">
        <f t="shared" ref="A237" si="116">G237</f>
        <v>Sin Pagar</v>
      </c>
      <c r="B237" s="16">
        <f t="shared" ref="B237" si="117">IF(I237&lt;=-1,1,IF(I237&lt;=5,2,IF(I237&lt;=15,3,IF(H237&lt;=60,4))))</f>
        <v>4</v>
      </c>
      <c r="C237" s="24">
        <v>6955</v>
      </c>
      <c r="D237" s="9" t="s">
        <v>64</v>
      </c>
      <c r="E237" s="8">
        <f>671000*0</f>
        <v>0</v>
      </c>
      <c r="F237" s="7">
        <v>46122</v>
      </c>
      <c r="G237" s="16" t="s">
        <v>5</v>
      </c>
      <c r="H237" s="16">
        <f>IF(OR(G237="Sin pagar",G237="Pagar"),NETWORKDAYS($J$99,F237,'Festivos Colombia'!$A$3:$A$22),0)</f>
        <v>27</v>
      </c>
      <c r="I237" s="16">
        <f>NETWORKDAYS($J$99,F237,'Festivos Colombia'!$A$3:$A$22)</f>
        <v>27</v>
      </c>
      <c r="J237" s="46">
        <f t="shared" ref="J237" si="118">H237</f>
        <v>27</v>
      </c>
      <c r="K237" s="58"/>
    </row>
    <row r="238" spans="1:17" s="16" customFormat="1" ht="15.75" customHeight="1" outlineLevel="1">
      <c r="A238" s="16" t="str">
        <f t="shared" ref="A238" si="119">G238</f>
        <v>Sin Pagar</v>
      </c>
      <c r="B238" s="16">
        <f t="shared" ref="B238" si="120">IF(I238&lt;=-1,1,IF(I238&lt;=5,2,IF(I238&lt;=15,3,IF(H238&lt;=60,4))))</f>
        <v>4</v>
      </c>
      <c r="C238" s="24">
        <v>6967</v>
      </c>
      <c r="D238" s="9" t="s">
        <v>64</v>
      </c>
      <c r="E238" s="8">
        <f>684500*0</f>
        <v>0</v>
      </c>
      <c r="F238" s="7">
        <v>46122</v>
      </c>
      <c r="G238" s="16" t="s">
        <v>5</v>
      </c>
      <c r="H238" s="16">
        <f>IF(OR(G238="Sin pagar",G238="Pagar"),NETWORKDAYS($J$99,F238,'Festivos Colombia'!$A$3:$A$22),0)</f>
        <v>27</v>
      </c>
      <c r="I238" s="16">
        <f>NETWORKDAYS($J$99,F238,'Festivos Colombia'!$A$3:$A$22)</f>
        <v>27</v>
      </c>
      <c r="J238" s="46">
        <f t="shared" ref="J238" si="121">H238</f>
        <v>27</v>
      </c>
      <c r="K238" s="58"/>
    </row>
    <row r="239" spans="1:17" s="16" customFormat="1" ht="15.75" customHeight="1" outlineLevel="1">
      <c r="A239" s="16" t="str">
        <f t="shared" ref="A239" si="122">G239</f>
        <v>Sin Pagar</v>
      </c>
      <c r="B239" s="16">
        <f t="shared" ref="B239" si="123">IF(I239&lt;=-1,1,IF(I239&lt;=5,2,IF(I239&lt;=15,3,IF(H239&lt;=60,4))))</f>
        <v>4</v>
      </c>
      <c r="C239" s="24">
        <v>6988</v>
      </c>
      <c r="D239" s="9" t="s">
        <v>64</v>
      </c>
      <c r="E239" s="8">
        <f>340500*0</f>
        <v>0</v>
      </c>
      <c r="F239" s="7">
        <v>46129</v>
      </c>
      <c r="G239" s="16" t="s">
        <v>5</v>
      </c>
      <c r="H239" s="16">
        <f>IF(OR(G239="Sin pagar",G239="Pagar"),NETWORKDAYS($J$99,F239,'Festivos Colombia'!$A$3:$A$22),0)</f>
        <v>32</v>
      </c>
      <c r="I239" s="16">
        <f>NETWORKDAYS($J$99,F239,'Festivos Colombia'!$A$3:$A$22)</f>
        <v>32</v>
      </c>
      <c r="J239" s="46">
        <f t="shared" ref="J239" si="124">H239</f>
        <v>32</v>
      </c>
      <c r="K239" s="58"/>
    </row>
    <row r="240" spans="1:17" s="16" customFormat="1" ht="15.75" customHeight="1" outlineLevel="1">
      <c r="A240" s="16" t="str">
        <f t="shared" ref="A240" si="125">G240</f>
        <v>Sin Pagar</v>
      </c>
      <c r="B240" s="16">
        <f t="shared" ref="B240" si="126">IF(I240&lt;=-1,1,IF(I240&lt;=5,2,IF(I240&lt;=15,3,IF(H240&lt;=60,4))))</f>
        <v>4</v>
      </c>
      <c r="C240" s="24">
        <v>6994</v>
      </c>
      <c r="D240" s="9" t="s">
        <v>64</v>
      </c>
      <c r="E240" s="8">
        <f>235000*0</f>
        <v>0</v>
      </c>
      <c r="F240" s="7">
        <v>46136</v>
      </c>
      <c r="G240" s="16" t="s">
        <v>5</v>
      </c>
      <c r="H240" s="16">
        <f>IF(OR(G240="Sin pagar",G240="Pagar"),NETWORKDAYS($J$99,F240,'Festivos Colombia'!$A$3:$A$22),0)</f>
        <v>37</v>
      </c>
      <c r="I240" s="16">
        <f>NETWORKDAYS($J$99,F240,'Festivos Colombia'!$A$3:$A$22)</f>
        <v>37</v>
      </c>
      <c r="J240" s="46">
        <f t="shared" ref="J240" si="127">H240</f>
        <v>37</v>
      </c>
      <c r="K240" s="58"/>
    </row>
    <row r="241" spans="1:24" s="16" customFormat="1" ht="15.75" customHeight="1" outlineLevel="1">
      <c r="A241" s="16" t="str">
        <f t="shared" ref="A241" si="128">G241</f>
        <v>Sin Pagar</v>
      </c>
      <c r="B241" s="16">
        <f t="shared" ref="B241" si="129">IF(I241&lt;=-1,1,IF(I241&lt;=5,2,IF(I241&lt;=15,3,IF(H241&lt;=60,4))))</f>
        <v>4</v>
      </c>
      <c r="C241" s="24">
        <v>7004</v>
      </c>
      <c r="D241" s="9" t="s">
        <v>64</v>
      </c>
      <c r="E241" s="8">
        <f>235000*0</f>
        <v>0</v>
      </c>
      <c r="F241" s="7">
        <v>46139</v>
      </c>
      <c r="G241" s="16" t="s">
        <v>5</v>
      </c>
      <c r="H241" s="16">
        <f>IF(OR(G241="Sin pagar",G241="Pagar"),NETWORKDAYS($J$99,F241,'Festivos Colombia'!$A$3:$A$22),0)</f>
        <v>38</v>
      </c>
      <c r="I241" s="16">
        <f>NETWORKDAYS($J$99,F241,'Festivos Colombia'!$A$3:$A$22)</f>
        <v>38</v>
      </c>
      <c r="J241" s="46">
        <f t="shared" ref="J241" si="130">H241</f>
        <v>38</v>
      </c>
      <c r="K241" s="58"/>
    </row>
    <row r="242" spans="1:24" s="16" customFormat="1" outlineLevel="1">
      <c r="A242" s="16" t="str">
        <f t="shared" si="113"/>
        <v>Cancelado</v>
      </c>
      <c r="B242" s="16">
        <f t="shared" si="114"/>
        <v>4</v>
      </c>
      <c r="C242" s="24">
        <v>3195</v>
      </c>
      <c r="D242" s="9" t="s">
        <v>99</v>
      </c>
      <c r="E242" s="8">
        <f>384004.68</f>
        <v>384004.68</v>
      </c>
      <c r="F242" s="522">
        <v>46108</v>
      </c>
      <c r="G242" s="16" t="s">
        <v>20</v>
      </c>
      <c r="H242" s="16">
        <f>IF(OR(G242="Sin pagar",G242="Pagar"),NETWORKDAYS($J$99,F242,'Festivos Colombia'!$A$3:$A$22),0)</f>
        <v>0</v>
      </c>
      <c r="I242" s="16">
        <f>NETWORKDAYS($J$99,F242,'Festivos Colombia'!$A$3:$A$22)</f>
        <v>19</v>
      </c>
      <c r="J242" s="46">
        <f t="shared" si="115"/>
        <v>0</v>
      </c>
      <c r="K242" s="58"/>
    </row>
    <row r="243" spans="1:24" s="16" customFormat="1" ht="15.75" outlineLevel="1" thickBot="1">
      <c r="A243" s="16" t="str">
        <f t="shared" si="113"/>
        <v>Cancelado</v>
      </c>
      <c r="B243" s="16">
        <f t="shared" si="114"/>
        <v>4</v>
      </c>
      <c r="C243" s="24">
        <v>3196</v>
      </c>
      <c r="D243" s="9" t="s">
        <v>99</v>
      </c>
      <c r="E243" s="8">
        <f>190681.38</f>
        <v>190681.38</v>
      </c>
      <c r="F243" s="522">
        <v>46108</v>
      </c>
      <c r="G243" s="16" t="s">
        <v>20</v>
      </c>
      <c r="H243" s="16">
        <f>IF(OR(G243="Sin pagar",G243="Pagar"),NETWORKDAYS($J$99,F243,'Festivos Colombia'!$A$3:$A$22),0)</f>
        <v>0</v>
      </c>
      <c r="I243" s="16">
        <f>NETWORKDAYS($J$99,F243,'Festivos Colombia'!$A$3:$A$22)</f>
        <v>19</v>
      </c>
      <c r="J243" s="46">
        <f t="shared" si="115"/>
        <v>0</v>
      </c>
      <c r="K243" s="58"/>
    </row>
    <row r="244" spans="1:24" s="16" customFormat="1" ht="16.5" thickBot="1">
      <c r="D244" s="351" t="s">
        <v>65</v>
      </c>
      <c r="E244" s="352">
        <f>SUBTOTAL(9,E245:E249)</f>
        <v>7246002.1920800004</v>
      </c>
      <c r="J244" s="46"/>
    </row>
    <row r="245" spans="1:24" s="16" customFormat="1" outlineLevel="1">
      <c r="A245" s="420" t="str">
        <f t="shared" ref="A245:A249" si="131">G245</f>
        <v>Cancelado</v>
      </c>
      <c r="B245" s="420">
        <f t="shared" ref="B245:B249" si="132">IF(I245&lt;=-1,1,IF(I245&lt;=5,2,IF(I245&lt;=15,3,IF(H245&lt;=60,4))))</f>
        <v>3</v>
      </c>
      <c r="C245" s="356" t="s">
        <v>1130</v>
      </c>
      <c r="D245" s="357" t="s">
        <v>1430</v>
      </c>
      <c r="E245" s="8">
        <v>1498061.01128</v>
      </c>
      <c r="F245" s="715">
        <v>46094</v>
      </c>
      <c r="G245" s="16" t="s">
        <v>20</v>
      </c>
      <c r="H245" s="16">
        <f>IF(OR(G245="Sin pagar",G245="Pagar"),NETWORKDAYS($J$99,F245,'Festivos Colombia'!$A$3:$A$22),0)</f>
        <v>0</v>
      </c>
      <c r="I245" s="16">
        <f>NETWORKDAYS($J$99,F245,'Festivos Colombia'!$A$3:$A$22)</f>
        <v>10</v>
      </c>
      <c r="J245" s="46">
        <f t="shared" ref="J245:J249" si="133">H245</f>
        <v>0</v>
      </c>
      <c r="K245" s="359"/>
      <c r="L245" s="96"/>
      <c r="M245" s="310"/>
      <c r="N245" s="310"/>
      <c r="O245" s="310"/>
      <c r="P245" s="310"/>
      <c r="Q245" s="310"/>
      <c r="R245" s="310"/>
      <c r="S245" s="310"/>
      <c r="T245" s="310"/>
      <c r="U245" s="310"/>
      <c r="V245" s="310"/>
      <c r="W245" s="310"/>
      <c r="X245" s="310"/>
    </row>
    <row r="246" spans="1:24" s="16" customFormat="1" outlineLevel="1">
      <c r="A246" s="420" t="str">
        <f t="shared" si="131"/>
        <v>Cancelado</v>
      </c>
      <c r="B246" s="420">
        <f t="shared" si="132"/>
        <v>3</v>
      </c>
      <c r="C246" s="356" t="s">
        <v>1132</v>
      </c>
      <c r="D246" s="357" t="s">
        <v>1133</v>
      </c>
      <c r="E246" s="8">
        <v>241804.18079999997</v>
      </c>
      <c r="F246" s="715">
        <v>46094</v>
      </c>
      <c r="G246" s="16" t="s">
        <v>20</v>
      </c>
      <c r="H246" s="16">
        <f>IF(OR(G246="Sin pagar",G246="Pagar"),NETWORKDAYS($J$99,F246,'Festivos Colombia'!$A$3:$A$22),0)</f>
        <v>0</v>
      </c>
      <c r="I246" s="16">
        <f>NETWORKDAYS($J$99,F246,'Festivos Colombia'!$A$3:$A$22)</f>
        <v>10</v>
      </c>
      <c r="J246" s="46">
        <f t="shared" si="133"/>
        <v>0</v>
      </c>
      <c r="K246" s="359"/>
      <c r="L246" s="96"/>
      <c r="M246" s="310"/>
      <c r="N246" s="310"/>
      <c r="O246" s="310"/>
      <c r="P246" s="310"/>
      <c r="Q246" s="310"/>
      <c r="R246" s="310"/>
      <c r="S246" s="310"/>
      <c r="T246" s="310"/>
      <c r="U246" s="310"/>
      <c r="V246" s="310"/>
      <c r="W246" s="310"/>
      <c r="X246" s="310"/>
    </row>
    <row r="247" spans="1:24" s="16" customFormat="1" outlineLevel="1">
      <c r="A247" s="420" t="str">
        <f t="shared" ref="A247" si="134">G247</f>
        <v>Sin Pagar</v>
      </c>
      <c r="B247" s="420">
        <f t="shared" ref="B247" si="135">IF(I247&lt;=-1,1,IF(I247&lt;=5,2,IF(I247&lt;=15,3,IF(H247&lt;=60,4))))</f>
        <v>4</v>
      </c>
      <c r="C247" s="356" t="s">
        <v>1481</v>
      </c>
      <c r="D247" s="357" t="s">
        <v>1133</v>
      </c>
      <c r="E247" s="8">
        <f>197076*0</f>
        <v>0</v>
      </c>
      <c r="F247" s="715">
        <v>46125</v>
      </c>
      <c r="G247" s="16" t="s">
        <v>5</v>
      </c>
      <c r="H247" s="16">
        <f>IF(OR(G247="Sin pagar",G247="Pagar"),NETWORKDAYS($J$99,F247,'Festivos Colombia'!$A$3:$A$22),0)</f>
        <v>28</v>
      </c>
      <c r="I247" s="16">
        <f>NETWORKDAYS($J$99,F247,'Festivos Colombia'!$A$3:$A$22)</f>
        <v>28</v>
      </c>
      <c r="J247" s="46">
        <f t="shared" ref="J247" si="136">H247</f>
        <v>28</v>
      </c>
      <c r="K247" s="359"/>
      <c r="L247" s="96"/>
      <c r="M247" s="310"/>
      <c r="N247" s="310"/>
      <c r="O247" s="310"/>
      <c r="P247" s="310"/>
      <c r="Q247" s="310"/>
      <c r="R247" s="310"/>
      <c r="S247" s="310"/>
      <c r="T247" s="310"/>
      <c r="U247" s="310"/>
      <c r="V247" s="310"/>
      <c r="W247" s="310"/>
      <c r="X247" s="310"/>
    </row>
    <row r="248" spans="1:24" s="16" customFormat="1" outlineLevel="1">
      <c r="A248" s="420" t="str">
        <f t="shared" ref="A248" si="137">G248</f>
        <v>Sin Pagar</v>
      </c>
      <c r="B248" s="420">
        <f t="shared" ref="B248" si="138">IF(I248&lt;=-1,1,IF(I248&lt;=5,2,IF(I248&lt;=15,3,IF(H248&lt;=60,4))))</f>
        <v>4</v>
      </c>
      <c r="C248" s="356" t="s">
        <v>1428</v>
      </c>
      <c r="D248" s="357" t="s">
        <v>1429</v>
      </c>
      <c r="E248" s="375">
        <f>1563888*0</f>
        <v>0</v>
      </c>
      <c r="F248" s="7">
        <v>46128</v>
      </c>
      <c r="G248" s="16" t="s">
        <v>5</v>
      </c>
      <c r="H248" s="16">
        <f>IF(OR(G248="Sin pagar",G248="Pagar"),NETWORKDAYS($J$99,F248,'Festivos Colombia'!$A$3:$A$22),0)</f>
        <v>31</v>
      </c>
      <c r="I248" s="16">
        <f>NETWORKDAYS($J$99,F248,'Festivos Colombia'!$A$3:$A$22)</f>
        <v>31</v>
      </c>
      <c r="J248" s="46">
        <f t="shared" ref="J248" si="139">H248</f>
        <v>31</v>
      </c>
      <c r="K248" s="359"/>
      <c r="L248" s="96"/>
      <c r="M248" s="310"/>
      <c r="N248" s="310"/>
      <c r="O248" s="310"/>
      <c r="P248" s="310"/>
      <c r="Q248" s="310"/>
      <c r="R248" s="310"/>
      <c r="S248" s="310"/>
      <c r="T248" s="310"/>
      <c r="U248" s="310"/>
      <c r="V248" s="310"/>
      <c r="W248" s="310"/>
      <c r="X248" s="310"/>
    </row>
    <row r="249" spans="1:24" s="16" customFormat="1" ht="15.75" outlineLevel="1" thickBot="1">
      <c r="A249" s="310" t="str">
        <f t="shared" si="131"/>
        <v>Cancelado</v>
      </c>
      <c r="B249" s="310">
        <f t="shared" si="132"/>
        <v>3</v>
      </c>
      <c r="C249" s="356" t="s">
        <v>1196</v>
      </c>
      <c r="D249" s="357" t="s">
        <v>1013</v>
      </c>
      <c r="E249" s="358">
        <f>5506137</f>
        <v>5506137</v>
      </c>
      <c r="F249" s="353">
        <v>46101</v>
      </c>
      <c r="G249" s="16" t="s">
        <v>20</v>
      </c>
      <c r="H249" s="16">
        <f>IF(OR(G249="Sin pagar",G249="Pagar"),NETWORKDAYS($J$99,F249,'Festivos Colombia'!$A$3:$A$22),0)</f>
        <v>0</v>
      </c>
      <c r="I249" s="16">
        <f>NETWORKDAYS($J$99,F249,'Festivos Colombia'!$A$3:$A$22)</f>
        <v>15</v>
      </c>
      <c r="J249" s="46">
        <f t="shared" si="133"/>
        <v>0</v>
      </c>
      <c r="K249" s="359"/>
      <c r="L249" s="96"/>
      <c r="M249" s="310"/>
      <c r="N249" s="310"/>
      <c r="O249" s="310"/>
      <c r="P249" s="310"/>
      <c r="Q249" s="310"/>
      <c r="R249" s="310"/>
      <c r="S249" s="310"/>
      <c r="T249" s="310"/>
      <c r="U249" s="310"/>
      <c r="V249" s="310"/>
      <c r="W249" s="310"/>
      <c r="X249" s="310"/>
    </row>
    <row r="250" spans="1:24" s="16" customFormat="1" ht="16.5" thickBot="1">
      <c r="D250" s="351" t="s">
        <v>67</v>
      </c>
      <c r="E250" s="352">
        <f>SUBTOTAL(9,E251:E273)</f>
        <v>1562338371</v>
      </c>
      <c r="J250" s="46"/>
      <c r="L250" s="25"/>
      <c r="M250" s="84"/>
      <c r="O250" s="25"/>
    </row>
    <row r="251" spans="1:24" s="16" customFormat="1" outlineLevel="1">
      <c r="A251" s="16" t="str">
        <f t="shared" ref="A251" si="140">G251</f>
        <v>Cancelado</v>
      </c>
      <c r="B251" s="16">
        <f t="shared" ref="B251" si="141">IF(I251&lt;=-1,1,IF(I251&lt;=5,2,IF(I251&lt;=15,3,IF(H251&lt;=60,4))))</f>
        <v>3</v>
      </c>
      <c r="C251" s="60" t="s">
        <v>1534</v>
      </c>
      <c r="D251" s="733" t="s">
        <v>1535</v>
      </c>
      <c r="E251" s="508">
        <v>1000000</v>
      </c>
      <c r="F251" s="7">
        <v>46100</v>
      </c>
      <c r="G251" s="16" t="s">
        <v>20</v>
      </c>
      <c r="H251" s="16">
        <f>IF(OR(G251="Sin pagar",G251="Pagar"),NETWORKDAYS($J$99,F251,'Festivos Colombia'!$A$3:$A$22),0)</f>
        <v>0</v>
      </c>
      <c r="I251" s="16">
        <f>NETWORKDAYS($J$99,F251,'Festivos Colombia'!$A$3:$A$22)</f>
        <v>14</v>
      </c>
      <c r="J251" s="46">
        <f t="shared" ref="J251" si="142">H251</f>
        <v>0</v>
      </c>
      <c r="K251" s="58"/>
      <c r="L251" s="8"/>
      <c r="M251" s="8"/>
      <c r="N251" s="53"/>
    </row>
    <row r="252" spans="1:24" s="16" customFormat="1" outlineLevel="1">
      <c r="A252" s="16" t="str">
        <f t="shared" ref="A252" si="143">G252</f>
        <v>Cancelado</v>
      </c>
      <c r="B252" s="16">
        <f t="shared" ref="B252" si="144">IF(I252&lt;=-1,1,IF(I252&lt;=5,2,IF(I252&lt;=15,3,IF(H252&lt;=60,4))))</f>
        <v>4</v>
      </c>
      <c r="C252" s="60" t="s">
        <v>1330</v>
      </c>
      <c r="D252" s="683" t="s">
        <v>1393</v>
      </c>
      <c r="E252" s="508">
        <v>172530460</v>
      </c>
      <c r="F252" s="7">
        <v>46108</v>
      </c>
      <c r="G252" s="16" t="s">
        <v>20</v>
      </c>
      <c r="H252" s="16">
        <f>IF(OR(G252="Sin pagar",G252="Pagar"),NETWORKDAYS($J$99,F252,'Festivos Colombia'!$A$3:$A$22),0)</f>
        <v>0</v>
      </c>
      <c r="I252" s="16">
        <f>NETWORKDAYS($J$99,F252,'Festivos Colombia'!$A$3:$A$22)</f>
        <v>19</v>
      </c>
      <c r="J252" s="46">
        <f t="shared" ref="J252" si="145">H252</f>
        <v>0</v>
      </c>
      <c r="K252" s="58"/>
      <c r="L252" s="8"/>
      <c r="M252" s="8"/>
      <c r="N252" s="53"/>
    </row>
    <row r="253" spans="1:24" s="16" customFormat="1" outlineLevel="1">
      <c r="C253" s="60"/>
      <c r="D253" s="683" t="s">
        <v>956</v>
      </c>
      <c r="E253" s="508">
        <v>28736036</v>
      </c>
      <c r="F253" s="7">
        <v>46108</v>
      </c>
      <c r="G253" s="16" t="s">
        <v>20</v>
      </c>
      <c r="H253" s="16">
        <f>IF(OR(G253="Sin pagar",G253="Pagar"),NETWORKDAYS($J$99,F253,'Festivos Colombia'!$A$3:$A$22),0)</f>
        <v>0</v>
      </c>
      <c r="I253" s="16">
        <f>NETWORKDAYS($J$99,F253,'Festivos Colombia'!$A$3:$A$22)</f>
        <v>19</v>
      </c>
      <c r="J253" s="46">
        <f t="shared" ref="J253:J270" si="146">H253</f>
        <v>0</v>
      </c>
      <c r="K253" s="58"/>
      <c r="L253" s="8"/>
      <c r="M253" s="8"/>
      <c r="N253" s="53"/>
    </row>
    <row r="254" spans="1:24" s="16" customFormat="1" outlineLevel="1">
      <c r="C254" s="60"/>
      <c r="D254" s="683" t="s">
        <v>957</v>
      </c>
      <c r="E254" s="508">
        <v>13247564</v>
      </c>
      <c r="F254" s="7">
        <v>46108</v>
      </c>
      <c r="G254" s="16" t="s">
        <v>20</v>
      </c>
      <c r="H254" s="16">
        <f>IF(OR(G254="Sin pagar",G254="Pagar"),NETWORKDAYS($J$99,F254,'Festivos Colombia'!$A$3:$A$22),0)</f>
        <v>0</v>
      </c>
      <c r="I254" s="16">
        <f>NETWORKDAYS($J$99,F254,'Festivos Colombia'!$A$3:$A$22)</f>
        <v>19</v>
      </c>
      <c r="J254" s="46">
        <f t="shared" si="146"/>
        <v>0</v>
      </c>
      <c r="K254" s="58"/>
      <c r="L254" s="8"/>
      <c r="M254" s="8"/>
      <c r="N254" s="53"/>
    </row>
    <row r="255" spans="1:24" s="16" customFormat="1" outlineLevel="1">
      <c r="C255" s="60"/>
      <c r="D255" s="683" t="s">
        <v>958</v>
      </c>
      <c r="E255" s="508">
        <v>2842696</v>
      </c>
      <c r="F255" s="7">
        <v>46108</v>
      </c>
      <c r="G255" s="16" t="s">
        <v>20</v>
      </c>
      <c r="H255" s="16">
        <f>IF(OR(G255="Sin pagar",G255="Pagar"),NETWORKDAYS($J$99,F255,'Festivos Colombia'!$A$3:$A$22),0)</f>
        <v>0</v>
      </c>
      <c r="I255" s="16">
        <f>NETWORKDAYS($J$99,F255,'Festivos Colombia'!$A$3:$A$22)</f>
        <v>19</v>
      </c>
      <c r="J255" s="46">
        <f t="shared" si="146"/>
        <v>0</v>
      </c>
      <c r="K255" s="58"/>
      <c r="L255" s="8"/>
      <c r="M255" s="8"/>
      <c r="N255" s="53"/>
    </row>
    <row r="256" spans="1:24" s="16" customFormat="1" outlineLevel="1">
      <c r="C256" s="60"/>
      <c r="D256" s="683" t="s">
        <v>959</v>
      </c>
      <c r="E256" s="508">
        <f>292487078</f>
        <v>292487078</v>
      </c>
      <c r="F256" s="7">
        <v>46108</v>
      </c>
      <c r="G256" s="16" t="s">
        <v>20</v>
      </c>
      <c r="H256" s="16">
        <f>IF(OR(G256="Sin pagar",G256="Pagar"),NETWORKDAYS($J$99,F256,'Festivos Colombia'!$A$3:$A$22),0)</f>
        <v>0</v>
      </c>
      <c r="I256" s="16">
        <f>NETWORKDAYS($J$99,F256,'Festivos Colombia'!$A$3:$A$22)</f>
        <v>19</v>
      </c>
      <c r="J256" s="46">
        <f t="shared" si="146"/>
        <v>0</v>
      </c>
      <c r="K256" s="58"/>
      <c r="L256" s="8"/>
      <c r="M256" s="8"/>
      <c r="N256" s="53"/>
    </row>
    <row r="257" spans="1:14" s="16" customFormat="1" outlineLevel="1">
      <c r="C257" s="60"/>
      <c r="D257" s="683" t="s">
        <v>960</v>
      </c>
      <c r="E257" s="508">
        <v>7338849</v>
      </c>
      <c r="F257" s="7">
        <v>46108</v>
      </c>
      <c r="G257" s="16" t="s">
        <v>20</v>
      </c>
      <c r="H257" s="16">
        <f>IF(OR(G257="Sin pagar",G257="Pagar"),NETWORKDAYS($J$99,F257,'Festivos Colombia'!$A$3:$A$22),0)</f>
        <v>0</v>
      </c>
      <c r="I257" s="16">
        <f>NETWORKDAYS($J$99,F257,'Festivos Colombia'!$A$3:$A$22)</f>
        <v>19</v>
      </c>
      <c r="J257" s="46">
        <f t="shared" si="146"/>
        <v>0</v>
      </c>
      <c r="K257" s="58"/>
      <c r="L257" s="8"/>
      <c r="M257" s="8"/>
      <c r="N257" s="53"/>
    </row>
    <row r="258" spans="1:14" s="16" customFormat="1" outlineLevel="1">
      <c r="C258" s="60"/>
      <c r="D258" s="683" t="s">
        <v>961</v>
      </c>
      <c r="E258" s="508">
        <f>785005821+3264128</f>
        <v>788269949</v>
      </c>
      <c r="F258" s="7">
        <v>46108</v>
      </c>
      <c r="G258" s="16" t="s">
        <v>20</v>
      </c>
      <c r="H258" s="16">
        <f>IF(OR(G258="Sin pagar",G258="Pagar"),NETWORKDAYS($J$99,F258,'Festivos Colombia'!$A$3:$A$22),0)</f>
        <v>0</v>
      </c>
      <c r="I258" s="16">
        <f>NETWORKDAYS($J$99,F258,'Festivos Colombia'!$A$3:$A$22)</f>
        <v>19</v>
      </c>
      <c r="J258" s="46">
        <f t="shared" si="146"/>
        <v>0</v>
      </c>
      <c r="K258" s="58"/>
      <c r="L258" s="8"/>
      <c r="M258" s="8"/>
      <c r="N258" s="53"/>
    </row>
    <row r="259" spans="1:14" s="16" customFormat="1" outlineLevel="1">
      <c r="C259" s="60"/>
      <c r="D259" s="683" t="s">
        <v>962</v>
      </c>
      <c r="E259" s="508">
        <v>9259167</v>
      </c>
      <c r="F259" s="7">
        <v>46108</v>
      </c>
      <c r="G259" s="16" t="s">
        <v>20</v>
      </c>
      <c r="H259" s="16">
        <f>IF(OR(G259="Sin pagar",G259="Pagar"),NETWORKDAYS($J$99,F259,'Festivos Colombia'!$A$3:$A$22),0)</f>
        <v>0</v>
      </c>
      <c r="I259" s="16">
        <f>NETWORKDAYS($J$99,F259,'Festivos Colombia'!$A$3:$A$22)</f>
        <v>19</v>
      </c>
      <c r="J259" s="46">
        <f t="shared" si="146"/>
        <v>0</v>
      </c>
      <c r="K259" s="58"/>
      <c r="L259" s="8"/>
      <c r="M259" s="8"/>
      <c r="N259" s="53"/>
    </row>
    <row r="260" spans="1:14" s="16" customFormat="1" outlineLevel="1">
      <c r="C260" s="60"/>
      <c r="D260" s="683" t="s">
        <v>963</v>
      </c>
      <c r="E260" s="508">
        <v>19151707</v>
      </c>
      <c r="F260" s="7">
        <v>46108</v>
      </c>
      <c r="G260" s="16" t="s">
        <v>20</v>
      </c>
      <c r="H260" s="16">
        <f>IF(OR(G260="Sin pagar",G260="Pagar"),NETWORKDAYS($J$99,F260,'Festivos Colombia'!$A$3:$A$22),0)</f>
        <v>0</v>
      </c>
      <c r="I260" s="16">
        <f>NETWORKDAYS($J$99,F260,'Festivos Colombia'!$A$3:$A$22)</f>
        <v>19</v>
      </c>
      <c r="J260" s="46">
        <f t="shared" si="146"/>
        <v>0</v>
      </c>
      <c r="K260" s="58"/>
      <c r="L260" s="8"/>
      <c r="M260" s="8"/>
      <c r="N260" s="53"/>
    </row>
    <row r="261" spans="1:14" s="16" customFormat="1" outlineLevel="1">
      <c r="C261" s="60"/>
      <c r="D261" s="683" t="s">
        <v>964</v>
      </c>
      <c r="E261" s="508">
        <v>6495192</v>
      </c>
      <c r="F261" s="7">
        <v>46108</v>
      </c>
      <c r="G261" s="16" t="s">
        <v>20</v>
      </c>
      <c r="H261" s="16">
        <f>IF(OR(G261="Sin pagar",G261="Pagar"),NETWORKDAYS($J$99,F261,'Festivos Colombia'!$A$3:$A$22),0)</f>
        <v>0</v>
      </c>
      <c r="I261" s="16">
        <f>NETWORKDAYS($J$99,F261,'Festivos Colombia'!$A$3:$A$22)</f>
        <v>19</v>
      </c>
      <c r="J261" s="46">
        <f t="shared" si="146"/>
        <v>0</v>
      </c>
      <c r="K261" s="58"/>
      <c r="L261" s="8"/>
      <c r="M261" s="8"/>
      <c r="N261" s="53"/>
    </row>
    <row r="262" spans="1:14" s="16" customFormat="1" outlineLevel="1">
      <c r="C262" s="60"/>
      <c r="D262" s="683" t="s">
        <v>965</v>
      </c>
      <c r="E262" s="508">
        <v>47285365</v>
      </c>
      <c r="F262" s="7">
        <v>46108</v>
      </c>
      <c r="G262" s="16" t="s">
        <v>20</v>
      </c>
      <c r="H262" s="16">
        <f>IF(OR(G262="Sin pagar",G262="Pagar"),NETWORKDAYS($J$99,F262,'Festivos Colombia'!$A$3:$A$22),0)</f>
        <v>0</v>
      </c>
      <c r="I262" s="16">
        <f>NETWORKDAYS($J$99,F262,'Festivos Colombia'!$A$3:$A$22)</f>
        <v>19</v>
      </c>
      <c r="J262" s="46">
        <f t="shared" si="146"/>
        <v>0</v>
      </c>
      <c r="K262" s="58"/>
      <c r="L262" s="8"/>
      <c r="M262" s="8"/>
      <c r="N262" s="53"/>
    </row>
    <row r="263" spans="1:14" s="16" customFormat="1" outlineLevel="1">
      <c r="C263" s="60"/>
      <c r="D263" s="683" t="s">
        <v>966</v>
      </c>
      <c r="E263" s="508">
        <v>12323248</v>
      </c>
      <c r="F263" s="7">
        <v>46108</v>
      </c>
      <c r="G263" s="16" t="s">
        <v>20</v>
      </c>
      <c r="H263" s="16">
        <f>IF(OR(G263="Sin pagar",G263="Pagar"),NETWORKDAYS($J$99,F263,'Festivos Colombia'!$A$3:$A$22),0)</f>
        <v>0</v>
      </c>
      <c r="I263" s="16">
        <f>NETWORKDAYS($J$99,F263,'Festivos Colombia'!$A$3:$A$22)</f>
        <v>19</v>
      </c>
      <c r="J263" s="46">
        <f t="shared" si="146"/>
        <v>0</v>
      </c>
      <c r="K263" s="58"/>
      <c r="L263" s="8"/>
      <c r="M263" s="8"/>
      <c r="N263" s="53"/>
    </row>
    <row r="264" spans="1:14" s="16" customFormat="1" outlineLevel="1">
      <c r="C264" s="60"/>
      <c r="D264" s="683" t="s">
        <v>967</v>
      </c>
      <c r="E264" s="508">
        <f>26050177-3264128</f>
        <v>22786049</v>
      </c>
      <c r="F264" s="7">
        <v>46108</v>
      </c>
      <c r="G264" s="16" t="s">
        <v>20</v>
      </c>
      <c r="H264" s="16">
        <f>IF(OR(G264="Sin pagar",G264="Pagar"),NETWORKDAYS($J$99,F264,'Festivos Colombia'!$A$3:$A$22),0)</f>
        <v>0</v>
      </c>
      <c r="I264" s="16">
        <f>NETWORKDAYS($J$99,F264,'Festivos Colombia'!$A$3:$A$22)</f>
        <v>19</v>
      </c>
      <c r="J264" s="46">
        <f t="shared" si="146"/>
        <v>0</v>
      </c>
      <c r="K264" s="58"/>
      <c r="L264" s="8"/>
      <c r="M264" s="8"/>
      <c r="N264" s="53"/>
    </row>
    <row r="265" spans="1:14" s="16" customFormat="1" outlineLevel="1">
      <c r="C265" s="60"/>
      <c r="D265" s="683" t="s">
        <v>968</v>
      </c>
      <c r="E265" s="508">
        <v>3264128</v>
      </c>
      <c r="F265" s="7">
        <v>46108</v>
      </c>
      <c r="G265" s="16" t="s">
        <v>20</v>
      </c>
      <c r="H265" s="16">
        <f>IF(OR(G265="Sin pagar",G265="Pagar"),NETWORKDAYS($J$99,F265,'Festivos Colombia'!$A$3:$A$22),0)</f>
        <v>0</v>
      </c>
      <c r="I265" s="16">
        <f>NETWORKDAYS($J$99,F265,'Festivos Colombia'!$A$3:$A$22)</f>
        <v>19</v>
      </c>
      <c r="J265" s="46">
        <f t="shared" si="146"/>
        <v>0</v>
      </c>
      <c r="K265" s="58"/>
      <c r="L265" s="8"/>
      <c r="M265" s="8"/>
      <c r="N265" s="53"/>
    </row>
    <row r="266" spans="1:14" s="16" customFormat="1" outlineLevel="1">
      <c r="C266" s="60"/>
      <c r="D266" s="683" t="s">
        <v>969</v>
      </c>
      <c r="E266" s="508">
        <v>1280000</v>
      </c>
      <c r="F266" s="7">
        <v>46108</v>
      </c>
      <c r="G266" s="16" t="s">
        <v>20</v>
      </c>
      <c r="H266" s="16">
        <f>IF(OR(G266="Sin pagar",G266="Pagar"),NETWORKDAYS($J$99,F266,'Festivos Colombia'!$A$3:$A$22),0)</f>
        <v>0</v>
      </c>
      <c r="I266" s="16">
        <f>NETWORKDAYS($J$99,F266,'Festivos Colombia'!$A$3:$A$22)</f>
        <v>19</v>
      </c>
      <c r="J266" s="46">
        <f t="shared" si="146"/>
        <v>0</v>
      </c>
      <c r="K266" s="58"/>
      <c r="L266" s="8"/>
      <c r="M266" s="8"/>
      <c r="N266" s="53"/>
    </row>
    <row r="267" spans="1:14" s="16" customFormat="1" outlineLevel="1">
      <c r="C267" s="60"/>
      <c r="D267" s="683" t="s">
        <v>970</v>
      </c>
      <c r="E267" s="508">
        <v>44310885</v>
      </c>
      <c r="F267" s="7">
        <v>46108</v>
      </c>
      <c r="G267" s="16" t="s">
        <v>20</v>
      </c>
      <c r="H267" s="16">
        <f>IF(OR(G267="Sin pagar",G267="Pagar"),NETWORKDAYS($J$99,F267,'Festivos Colombia'!$A$3:$A$22),0)</f>
        <v>0</v>
      </c>
      <c r="I267" s="16">
        <f>NETWORKDAYS($J$99,F267,'Festivos Colombia'!$A$3:$A$22)</f>
        <v>19</v>
      </c>
      <c r="J267" s="46">
        <f t="shared" si="146"/>
        <v>0</v>
      </c>
      <c r="K267" s="58"/>
      <c r="L267" s="8"/>
      <c r="M267" s="8"/>
      <c r="N267" s="53"/>
    </row>
    <row r="268" spans="1:14" s="16" customFormat="1" outlineLevel="1">
      <c r="C268" s="60"/>
      <c r="D268" s="683" t="s">
        <v>971</v>
      </c>
      <c r="E268" s="508">
        <v>59228852</v>
      </c>
      <c r="F268" s="7">
        <v>46108</v>
      </c>
      <c r="G268" s="16" t="s">
        <v>20</v>
      </c>
      <c r="H268" s="16">
        <f>IF(OR(G268="Sin pagar",G268="Pagar"),NETWORKDAYS($J$99,F268,'Festivos Colombia'!$A$3:$A$22),0)</f>
        <v>0</v>
      </c>
      <c r="I268" s="16">
        <f>NETWORKDAYS($J$99,F268,'Festivos Colombia'!$A$3:$A$22)</f>
        <v>19</v>
      </c>
      <c r="J268" s="46">
        <f t="shared" si="146"/>
        <v>0</v>
      </c>
      <c r="K268" s="58"/>
      <c r="L268" s="8"/>
      <c r="M268" s="8"/>
      <c r="N268" s="53"/>
    </row>
    <row r="269" spans="1:14" s="16" customFormat="1" outlineLevel="1">
      <c r="C269" s="60"/>
      <c r="D269" s="683" t="s">
        <v>972</v>
      </c>
      <c r="E269" s="508">
        <v>11074092</v>
      </c>
      <c r="F269" s="7">
        <v>46108</v>
      </c>
      <c r="G269" s="16" t="s">
        <v>20</v>
      </c>
      <c r="H269" s="16">
        <f>IF(OR(G269="Sin pagar",G269="Pagar"),NETWORKDAYS($J$99,F269,'Festivos Colombia'!$A$3:$A$22),0)</f>
        <v>0</v>
      </c>
      <c r="I269" s="16">
        <f>NETWORKDAYS($J$99,F269,'Festivos Colombia'!$A$3:$A$22)</f>
        <v>19</v>
      </c>
      <c r="J269" s="46">
        <f t="shared" si="146"/>
        <v>0</v>
      </c>
      <c r="K269" s="58"/>
      <c r="L269" s="8"/>
      <c r="M269" s="8"/>
      <c r="N269" s="53"/>
    </row>
    <row r="270" spans="1:14" s="16" customFormat="1" outlineLevel="1">
      <c r="C270" s="60"/>
      <c r="D270" s="683" t="s">
        <v>1584</v>
      </c>
      <c r="E270" s="508">
        <v>5336000</v>
      </c>
      <c r="F270" s="7">
        <v>46108</v>
      </c>
      <c r="G270" s="16" t="s">
        <v>20</v>
      </c>
      <c r="H270" s="16">
        <f>IF(OR(G270="Sin pagar",G270="Pagar"),NETWORKDAYS($J$99,F270,'Festivos Colombia'!$A$3:$A$22),0)</f>
        <v>0</v>
      </c>
      <c r="I270" s="16">
        <f>NETWORKDAYS($J$99,F270,'Festivos Colombia'!$A$3:$A$22)</f>
        <v>19</v>
      </c>
      <c r="J270" s="46">
        <f t="shared" si="146"/>
        <v>0</v>
      </c>
      <c r="K270" s="58"/>
      <c r="L270" s="8"/>
      <c r="M270" s="8"/>
      <c r="N270" s="53"/>
    </row>
    <row r="271" spans="1:14" s="16" customFormat="1" ht="14.25" customHeight="1" outlineLevel="1">
      <c r="A271" s="16" t="str">
        <f>G271</f>
        <v>Cancelado</v>
      </c>
      <c r="B271" s="16">
        <f>IF(I271&lt;=-1,1,IF(I271&lt;=5,2,IF(I271&lt;=15,3,IF(H271&lt;=60,4))))</f>
        <v>4</v>
      </c>
      <c r="C271" s="60" t="s">
        <v>114</v>
      </c>
      <c r="D271" s="9" t="s">
        <v>123</v>
      </c>
      <c r="E271" s="8">
        <v>1112000</v>
      </c>
      <c r="F271" s="7">
        <v>46108</v>
      </c>
      <c r="G271" s="16" t="s">
        <v>20</v>
      </c>
      <c r="H271" s="16">
        <f>IF(OR(G271="Sin pagar",G271="Pagar"),NETWORKDAYS($J$99,F271,'Festivos Colombia'!$A$3:$A$22),0)</f>
        <v>0</v>
      </c>
      <c r="I271" s="16">
        <f>NETWORKDAYS($J$99,F271,'Festivos Colombia'!$A$3:$A$22)</f>
        <v>19</v>
      </c>
      <c r="J271" s="46">
        <f t="shared" ref="J271:J272" si="147">H271</f>
        <v>0</v>
      </c>
      <c r="K271" s="58"/>
      <c r="M271" s="25"/>
    </row>
    <row r="272" spans="1:14" s="16" customFormat="1" outlineLevel="1">
      <c r="A272" s="16" t="str">
        <f>G272</f>
        <v>Cancelado</v>
      </c>
      <c r="B272" s="16">
        <f>IF(I272&lt;=-1,1,IF(I272&lt;=5,2,IF(I272&lt;=15,3,IF(H272&lt;=60,4))))</f>
        <v>4</v>
      </c>
      <c r="C272" s="56" t="s">
        <v>1596</v>
      </c>
      <c r="D272" s="9" t="s">
        <v>1304</v>
      </c>
      <c r="E272" s="8">
        <v>12097393</v>
      </c>
      <c r="F272" s="7">
        <v>46108</v>
      </c>
      <c r="G272" s="16" t="s">
        <v>20</v>
      </c>
      <c r="H272" s="16">
        <f>IF(OR(G272="Sin pagar",G272="Pagar"),NETWORKDAYS($J$99,F272,'Festivos Colombia'!$A$3:$A$22),0)</f>
        <v>0</v>
      </c>
      <c r="I272" s="16">
        <f>NETWORKDAYS($J$99,F272,'Festivos Colombia'!$A$3:$A$22)</f>
        <v>19</v>
      </c>
      <c r="J272" s="46">
        <f t="shared" si="147"/>
        <v>0</v>
      </c>
      <c r="K272" s="58"/>
      <c r="M272" s="25"/>
    </row>
    <row r="273" spans="1:24" s="16" customFormat="1" ht="15.75" outlineLevel="1" thickBot="1">
      <c r="A273" s="16" t="str">
        <f>G273</f>
        <v>Cancelado</v>
      </c>
      <c r="B273" s="16">
        <f>IF(I273&lt;=-1,1,IF(I273&lt;=5,2,IF(I273&lt;=15,3,IF(H273&lt;=60,4))))</f>
        <v>4</v>
      </c>
      <c r="C273" s="56"/>
      <c r="D273" s="9" t="s">
        <v>1617</v>
      </c>
      <c r="E273" s="8">
        <v>881661</v>
      </c>
      <c r="F273" s="7">
        <v>46111</v>
      </c>
      <c r="G273" s="16" t="s">
        <v>20</v>
      </c>
      <c r="H273" s="16">
        <f>IF(OR(G273="Sin pagar",G273="Pagar"),NETWORKDAYS($J$99,F273,'Festivos Colombia'!$A$3:$A$22),0)</f>
        <v>0</v>
      </c>
      <c r="I273" s="16">
        <f>NETWORKDAYS($J$99,F273,'Festivos Colombia'!$A$3:$A$22)</f>
        <v>20</v>
      </c>
      <c r="J273" s="46">
        <f t="shared" ref="J273" si="148">H273</f>
        <v>0</v>
      </c>
      <c r="K273" s="58"/>
      <c r="M273" s="25"/>
    </row>
    <row r="274" spans="1:24" s="16" customFormat="1" ht="16.5" thickBot="1">
      <c r="C274" s="24"/>
      <c r="D274" s="351" t="s">
        <v>71</v>
      </c>
      <c r="E274" s="352">
        <f>SUBTOTAL(9,E275:E281)</f>
        <v>163292993</v>
      </c>
      <c r="J274" s="46"/>
      <c r="K274" s="25"/>
    </row>
    <row r="275" spans="1:24" s="16" customFormat="1" outlineLevel="1">
      <c r="A275" s="16" t="e">
        <f>#REF!</f>
        <v>#REF!</v>
      </c>
      <c r="B275" s="16">
        <f t="shared" ref="B275" si="149">IF(I275&lt;=-1,1,IF(I275&lt;=5,2,IF(I275&lt;=15,3,IF(H275&lt;=60,4))))</f>
        <v>2</v>
      </c>
      <c r="C275" s="24"/>
      <c r="D275" s="9" t="s">
        <v>1634</v>
      </c>
      <c r="E275" s="8">
        <v>6235813</v>
      </c>
      <c r="F275" s="7">
        <v>46082</v>
      </c>
      <c r="G275" s="16" t="s">
        <v>20</v>
      </c>
      <c r="H275" s="16">
        <f>IF(OR(G275="Sin pagar",G275="Pagar"),NETWORKDAYS($J$99,F275,'Festivos Colombia'!$A$3:$A$22),0)</f>
        <v>0</v>
      </c>
      <c r="I275" s="16">
        <f>NETWORKDAYS($J$99,F275,'Festivos Colombia'!$A$3:$A$22)</f>
        <v>0</v>
      </c>
      <c r="J275" s="46">
        <f t="shared" ref="J275" si="150">H275</f>
        <v>0</v>
      </c>
      <c r="K275" s="58"/>
      <c r="L275" s="25"/>
      <c r="M275" s="41"/>
    </row>
    <row r="276" spans="1:24" s="16" customFormat="1" outlineLevel="1">
      <c r="A276" s="16" t="e">
        <f>#REF!</f>
        <v>#REF!</v>
      </c>
      <c r="B276" s="16">
        <f t="shared" ref="B276" si="151">IF(I276&lt;=-1,1,IF(I276&lt;=5,2,IF(I276&lt;=15,3,IF(H276&lt;=60,4))))</f>
        <v>3</v>
      </c>
      <c r="C276" s="24"/>
      <c r="D276" s="9" t="s">
        <v>1635</v>
      </c>
      <c r="E276" s="8">
        <v>3589219</v>
      </c>
      <c r="F276" s="7">
        <v>46094</v>
      </c>
      <c r="G276" s="16" t="s">
        <v>20</v>
      </c>
      <c r="H276" s="16">
        <f>IF(OR(G276="Sin pagar",G276="Pagar"),NETWORKDAYS($J$99,F276,'Festivos Colombia'!$A$3:$A$22),0)</f>
        <v>0</v>
      </c>
      <c r="I276" s="16">
        <f>NETWORKDAYS($J$99,F276,'Festivos Colombia'!$A$3:$A$22)</f>
        <v>10</v>
      </c>
      <c r="J276" s="46">
        <f t="shared" ref="J276" si="152">H276</f>
        <v>0</v>
      </c>
      <c r="K276" s="58"/>
      <c r="L276" s="25"/>
      <c r="M276" s="41"/>
    </row>
    <row r="277" spans="1:24" s="16" customFormat="1" outlineLevel="1">
      <c r="A277" s="16" t="e">
        <f>#REF!</f>
        <v>#REF!</v>
      </c>
      <c r="B277" s="16">
        <f t="shared" ref="B277:B278" si="153">IF(I277&lt;=-1,1,IF(I277&lt;=5,2,IF(I277&lt;=15,3,IF(H277&lt;=60,4))))</f>
        <v>3</v>
      </c>
      <c r="C277" s="24"/>
      <c r="D277" s="9" t="s">
        <v>1636</v>
      </c>
      <c r="E277" s="8">
        <v>1862000</v>
      </c>
      <c r="F277" s="7">
        <v>46101</v>
      </c>
      <c r="G277" s="16" t="s">
        <v>20</v>
      </c>
      <c r="H277" s="16">
        <f>IF(OR(G277="Sin pagar",G277="Pagar"),NETWORKDAYS($J$99,F277,'Festivos Colombia'!$A$3:$A$22),0)</f>
        <v>0</v>
      </c>
      <c r="I277" s="16">
        <f>NETWORKDAYS($J$99,F277,'Festivos Colombia'!$A$3:$A$22)</f>
        <v>15</v>
      </c>
      <c r="J277" s="46">
        <f t="shared" ref="J277:J278" si="154">H277</f>
        <v>0</v>
      </c>
      <c r="K277" s="58"/>
      <c r="L277" s="25"/>
      <c r="M277" s="41"/>
    </row>
    <row r="278" spans="1:24" s="16" customFormat="1" outlineLevel="1">
      <c r="A278" s="16" t="e">
        <f>#REF!</f>
        <v>#REF!</v>
      </c>
      <c r="B278" s="16">
        <f t="shared" si="153"/>
        <v>4</v>
      </c>
      <c r="C278" s="24"/>
      <c r="D278" s="9" t="s">
        <v>1637</v>
      </c>
      <c r="E278" s="8">
        <v>1167961</v>
      </c>
      <c r="F278" s="353">
        <v>46108</v>
      </c>
      <c r="G278" s="16" t="s">
        <v>20</v>
      </c>
      <c r="H278" s="16">
        <f>IF(OR(G278="Sin pagar",G278="Pagar"),NETWORKDAYS($J$99,F278,'Festivos Colombia'!$A$3:$A$22),0)</f>
        <v>0</v>
      </c>
      <c r="I278" s="16">
        <f>NETWORKDAYS($J$99,F278,'Festivos Colombia'!$A$3:$A$22)</f>
        <v>19</v>
      </c>
      <c r="J278" s="46">
        <f t="shared" si="154"/>
        <v>0</v>
      </c>
      <c r="K278" s="58"/>
      <c r="L278" s="25"/>
      <c r="M278" s="41"/>
    </row>
    <row r="279" spans="1:24" s="16" customFormat="1" outlineLevel="1">
      <c r="A279" s="16" t="e">
        <f>#REF!</f>
        <v>#REF!</v>
      </c>
      <c r="B279" s="16">
        <f t="shared" ref="B279" si="155">IF(I279&lt;=-1,1,IF(I279&lt;=5,2,IF(I279&lt;=15,3,IF(H279&lt;=60,4))))</f>
        <v>4</v>
      </c>
      <c r="C279" s="24"/>
      <c r="D279" s="9" t="s">
        <v>1638</v>
      </c>
      <c r="E279" s="8">
        <v>8890544</v>
      </c>
      <c r="F279" s="353">
        <v>46108</v>
      </c>
      <c r="G279" s="16" t="s">
        <v>20</v>
      </c>
      <c r="H279" s="16">
        <f>IF(OR(G279="Sin pagar",G279="Pagar"),NETWORKDAYS($J$99,F279,'Festivos Colombia'!$A$3:$A$22),0)</f>
        <v>0</v>
      </c>
      <c r="I279" s="16">
        <f>NETWORKDAYS($J$99,F279,'Festivos Colombia'!$A$3:$A$22)</f>
        <v>19</v>
      </c>
      <c r="J279" s="46">
        <f t="shared" ref="J279" si="156">H279</f>
        <v>0</v>
      </c>
      <c r="K279" s="58"/>
      <c r="L279" s="25"/>
      <c r="M279" s="41"/>
    </row>
    <row r="280" spans="1:24" s="16" customFormat="1" outlineLevel="1">
      <c r="A280" s="16" t="e">
        <f>#REF!</f>
        <v>#REF!</v>
      </c>
      <c r="B280" s="16">
        <f t="shared" ref="B280" si="157">IF(I280&lt;=-1,1,IF(I280&lt;=5,2,IF(I280&lt;=15,3,IF(H280&lt;=60,4))))</f>
        <v>4</v>
      </c>
      <c r="C280" s="24"/>
      <c r="D280" s="9" t="s">
        <v>1639</v>
      </c>
      <c r="E280" s="8">
        <v>2568864</v>
      </c>
      <c r="F280" s="353">
        <v>46112</v>
      </c>
      <c r="G280" s="16" t="s">
        <v>20</v>
      </c>
      <c r="H280" s="16">
        <f>IF(OR(G280="Sin pagar",G280="Pagar"),NETWORKDAYS($J$99,F280,'Festivos Colombia'!$A$3:$A$22),0)</f>
        <v>0</v>
      </c>
      <c r="I280" s="16">
        <f>NETWORKDAYS($J$99,F280,'Festivos Colombia'!$A$3:$A$22)</f>
        <v>21</v>
      </c>
      <c r="J280" s="46">
        <f t="shared" ref="J280" si="158">H280</f>
        <v>0</v>
      </c>
      <c r="K280" s="58"/>
      <c r="L280" s="25"/>
      <c r="M280" s="41"/>
    </row>
    <row r="281" spans="1:24" s="16" customFormat="1" ht="15.75" outlineLevel="1" thickBot="1">
      <c r="A281" s="16" t="e">
        <f>#REF!</f>
        <v>#REF!</v>
      </c>
      <c r="B281" s="16">
        <f t="shared" ref="B281" si="159">IF(I281&lt;=-1,1,IF(I281&lt;=5,2,IF(I281&lt;=15,3,IF(H281&lt;=60,4))))</f>
        <v>4</v>
      </c>
      <c r="C281" s="24"/>
      <c r="D281" s="9" t="s">
        <v>1640</v>
      </c>
      <c r="E281" s="8">
        <v>138978592</v>
      </c>
      <c r="F281" s="353">
        <v>46118</v>
      </c>
      <c r="G281" s="16" t="s">
        <v>20</v>
      </c>
      <c r="H281" s="16">
        <f>IF(OR(G281="Sin pagar",G281="Pagar"),NETWORKDAYS($J$99,F281,'Festivos Colombia'!$A$3:$A$22),0)</f>
        <v>0</v>
      </c>
      <c r="I281" s="16">
        <f>NETWORKDAYS($J$99,F281,'Festivos Colombia'!$A$3:$A$22)</f>
        <v>23</v>
      </c>
      <c r="J281" s="46">
        <f t="shared" ref="J281" si="160">H281</f>
        <v>0</v>
      </c>
      <c r="K281" s="58"/>
      <c r="L281" s="25"/>
      <c r="M281" s="41"/>
    </row>
    <row r="282" spans="1:24" s="16" customFormat="1" ht="16.5" thickBot="1">
      <c r="C282" s="36"/>
      <c r="D282" s="351" t="s">
        <v>72</v>
      </c>
      <c r="E282" s="352">
        <f>SUBTOTAL(9,E283:E291)</f>
        <v>6072186</v>
      </c>
      <c r="J282" s="46"/>
      <c r="K282" s="25"/>
      <c r="M282" s="25"/>
    </row>
    <row r="283" spans="1:24" s="16" customFormat="1" ht="15" customHeight="1" outlineLevel="1">
      <c r="A283" s="310" t="str">
        <f t="shared" ref="A283" si="161">G283</f>
        <v>Cancelado</v>
      </c>
      <c r="B283" s="310">
        <f t="shared" ref="B283" si="162">IF(I283&lt;=-1,1,IF(I283&lt;=5,2,IF(I283&lt;=15,3,IF(H283&lt;=60,4))))</f>
        <v>2</v>
      </c>
      <c r="C283" s="709" t="s">
        <v>1450</v>
      </c>
      <c r="D283" s="708" t="s">
        <v>1449</v>
      </c>
      <c r="E283" s="350">
        <v>250000</v>
      </c>
      <c r="F283" s="7">
        <v>46086</v>
      </c>
      <c r="G283" s="16" t="s">
        <v>20</v>
      </c>
      <c r="H283" s="16">
        <f>IF(OR(G283="Sin pagar",G283="Pagar"),NETWORKDAYS($J$99,F283,'Festivos Colombia'!$A$3:$A$22),0)</f>
        <v>0</v>
      </c>
      <c r="I283" s="16">
        <f>NETWORKDAYS($J$99,F283,'Festivos Colombia'!$A$3:$A$22)</f>
        <v>4</v>
      </c>
      <c r="J283" s="46">
        <f t="shared" ref="J283" si="163">H283</f>
        <v>0</v>
      </c>
      <c r="K283" s="312"/>
      <c r="L283" s="310"/>
      <c r="M283" s="313"/>
      <c r="N283" s="310"/>
      <c r="O283" s="310"/>
      <c r="P283" s="310"/>
      <c r="Q283" s="310"/>
      <c r="R283" s="310"/>
      <c r="S283" s="310"/>
      <c r="T283" s="310"/>
      <c r="U283" s="310"/>
      <c r="V283" s="310"/>
      <c r="W283" s="310"/>
      <c r="X283" s="310"/>
    </row>
    <row r="284" spans="1:24" s="16" customFormat="1" ht="15" customHeight="1" outlineLevel="1">
      <c r="A284" s="310" t="str">
        <f t="shared" ref="A284" si="164">G284</f>
        <v>Cancelado</v>
      </c>
      <c r="B284" s="310">
        <f t="shared" ref="B284" si="165">IF(I284&lt;=-1,1,IF(I284&lt;=5,2,IF(I284&lt;=15,3,IF(H284&lt;=60,4))))</f>
        <v>3</v>
      </c>
      <c r="C284" s="709" t="s">
        <v>1450</v>
      </c>
      <c r="D284" s="708" t="s">
        <v>1449</v>
      </c>
      <c r="E284" s="350">
        <v>307800</v>
      </c>
      <c r="F284" s="7">
        <v>46090</v>
      </c>
      <c r="G284" s="16" t="s">
        <v>20</v>
      </c>
      <c r="H284" s="16">
        <f>IF(OR(G284="Sin pagar",G284="Pagar"),NETWORKDAYS($J$99,F284,'Festivos Colombia'!$A$3:$A$22),0)</f>
        <v>0</v>
      </c>
      <c r="I284" s="16">
        <f>NETWORKDAYS($J$99,F284,'Festivos Colombia'!$A$3:$A$22)</f>
        <v>6</v>
      </c>
      <c r="J284" s="46">
        <f t="shared" ref="J284" si="166">H284</f>
        <v>0</v>
      </c>
      <c r="K284" s="312"/>
      <c r="L284" s="310"/>
      <c r="M284" s="313"/>
      <c r="N284" s="310"/>
      <c r="O284" s="310"/>
      <c r="P284" s="310"/>
      <c r="Q284" s="310"/>
      <c r="R284" s="310"/>
      <c r="S284" s="310"/>
      <c r="T284" s="310"/>
      <c r="U284" s="310"/>
      <c r="V284" s="310"/>
      <c r="W284" s="310"/>
      <c r="X284" s="310"/>
    </row>
    <row r="285" spans="1:24" s="16" customFormat="1" ht="15" customHeight="1" outlineLevel="1">
      <c r="A285" s="310" t="str">
        <f t="shared" ref="A285" si="167">G285</f>
        <v>Cancelado</v>
      </c>
      <c r="B285" s="310">
        <f t="shared" ref="B285" si="168">IF(I285&lt;=-1,1,IF(I285&lt;=5,2,IF(I285&lt;=15,3,IF(H285&lt;=60,4))))</f>
        <v>2</v>
      </c>
      <c r="C285" s="42">
        <v>10025785</v>
      </c>
      <c r="D285" s="683" t="s">
        <v>1427</v>
      </c>
      <c r="E285" s="350">
        <v>12100</v>
      </c>
      <c r="F285" s="7">
        <v>46086</v>
      </c>
      <c r="G285" s="16" t="s">
        <v>20</v>
      </c>
      <c r="H285" s="16">
        <f>IF(OR(G285="Sin pagar",G285="Pagar"),NETWORKDAYS($J$99,F285,'Festivos Colombia'!$A$3:$A$22),0)</f>
        <v>0</v>
      </c>
      <c r="I285" s="16">
        <f>NETWORKDAYS($J$99,F285,'Festivos Colombia'!$A$3:$A$22)</f>
        <v>4</v>
      </c>
      <c r="J285" s="46">
        <f t="shared" ref="J285" si="169">H285</f>
        <v>0</v>
      </c>
      <c r="K285" s="312"/>
      <c r="L285" s="310"/>
      <c r="M285" s="313"/>
      <c r="N285" s="310"/>
      <c r="O285" s="310"/>
      <c r="P285" s="310"/>
      <c r="Q285" s="310"/>
      <c r="R285" s="310"/>
      <c r="S285" s="310"/>
      <c r="T285" s="310"/>
      <c r="U285" s="310"/>
      <c r="V285" s="310"/>
      <c r="W285" s="310"/>
      <c r="X285" s="310"/>
    </row>
    <row r="286" spans="1:24" s="16" customFormat="1" ht="15" customHeight="1" outlineLevel="1">
      <c r="A286" s="310" t="str">
        <f t="shared" ref="A286" si="170">G286</f>
        <v>Cancelado</v>
      </c>
      <c r="B286" s="310">
        <f t="shared" ref="B286" si="171">IF(I286&lt;=-1,1,IF(I286&lt;=5,2,IF(I286&lt;=15,3,IF(H286&lt;=60,4))))</f>
        <v>3</v>
      </c>
      <c r="C286" s="295" t="s">
        <v>38</v>
      </c>
      <c r="D286" s="734" t="s">
        <v>1536</v>
      </c>
      <c r="E286" s="350">
        <v>703528</v>
      </c>
      <c r="F286" s="353">
        <v>46101</v>
      </c>
      <c r="G286" s="16" t="s">
        <v>20</v>
      </c>
      <c r="H286" s="16">
        <f>IF(OR(G286="Sin pagar",G286="Pagar"),NETWORKDAYS($J$99,F286,'Festivos Colombia'!$A$3:$A$22),0)</f>
        <v>0</v>
      </c>
      <c r="I286" s="16">
        <f>NETWORKDAYS($J$99,F286,'Festivos Colombia'!$A$3:$A$22)</f>
        <v>15</v>
      </c>
      <c r="J286" s="46">
        <f t="shared" ref="J286" si="172">H286</f>
        <v>0</v>
      </c>
      <c r="K286" s="312"/>
      <c r="L286" s="310"/>
      <c r="M286" s="313"/>
      <c r="N286" s="310"/>
      <c r="O286" s="310"/>
      <c r="P286" s="310"/>
      <c r="Q286" s="310"/>
      <c r="R286" s="310"/>
      <c r="S286" s="310"/>
      <c r="T286" s="310"/>
      <c r="U286" s="310"/>
      <c r="V286" s="310"/>
      <c r="W286" s="310"/>
      <c r="X286" s="310"/>
    </row>
    <row r="287" spans="1:24" s="16" customFormat="1" ht="15" customHeight="1" outlineLevel="1">
      <c r="A287" s="310" t="str">
        <f t="shared" ref="A287" si="173">G287</f>
        <v>Cancelado</v>
      </c>
      <c r="B287" s="310">
        <f t="shared" ref="B287" si="174">IF(I287&lt;=-1,1,IF(I287&lt;=5,2,IF(I287&lt;=15,3,IF(H287&lt;=60,4))))</f>
        <v>4</v>
      </c>
      <c r="C287" s="295" t="s">
        <v>1572</v>
      </c>
      <c r="D287" s="758" t="s">
        <v>1573</v>
      </c>
      <c r="E287" s="350">
        <v>328258</v>
      </c>
      <c r="F287" s="353">
        <v>46106</v>
      </c>
      <c r="G287" s="16" t="s">
        <v>20</v>
      </c>
      <c r="H287" s="16">
        <f>IF(OR(G287="Sin pagar",G287="Pagar"),NETWORKDAYS($J$99,F287,'Festivos Colombia'!$A$3:$A$22),0)</f>
        <v>0</v>
      </c>
      <c r="I287" s="16">
        <f>NETWORKDAYS($J$99,F287,'Festivos Colombia'!$A$3:$A$22)</f>
        <v>17</v>
      </c>
      <c r="J287" s="46">
        <f t="shared" ref="J287" si="175">H287</f>
        <v>0</v>
      </c>
      <c r="K287" s="312"/>
      <c r="L287" s="310"/>
      <c r="M287" s="313"/>
      <c r="N287" s="310"/>
      <c r="O287" s="310"/>
      <c r="P287" s="310"/>
      <c r="Q287" s="310"/>
      <c r="R287" s="310"/>
      <c r="S287" s="310"/>
      <c r="T287" s="310"/>
      <c r="U287" s="310"/>
      <c r="V287" s="310"/>
      <c r="W287" s="310"/>
      <c r="X287" s="310"/>
    </row>
    <row r="288" spans="1:24" s="16" customFormat="1" ht="15" customHeight="1" outlineLevel="1">
      <c r="A288" s="310" t="str">
        <f t="shared" ref="A288" si="176">G288</f>
        <v>Cancelado</v>
      </c>
      <c r="B288" s="310">
        <f t="shared" ref="B288" si="177">IF(I288&lt;=-1,1,IF(I288&lt;=5,2,IF(I288&lt;=15,3,IF(H288&lt;=60,4))))</f>
        <v>4</v>
      </c>
      <c r="C288" s="295" t="s">
        <v>38</v>
      </c>
      <c r="D288" s="763" t="s">
        <v>1595</v>
      </c>
      <c r="E288" s="350">
        <v>200000</v>
      </c>
      <c r="F288" s="353">
        <v>46108</v>
      </c>
      <c r="G288" s="16" t="s">
        <v>20</v>
      </c>
      <c r="H288" s="16">
        <f>IF(OR(G288="Sin pagar",G288="Pagar"),NETWORKDAYS($J$99,F288,'Festivos Colombia'!$A$3:$A$22),0)</f>
        <v>0</v>
      </c>
      <c r="I288" s="16">
        <f>NETWORKDAYS($J$99,F288,'Festivos Colombia'!$A$3:$A$22)</f>
        <v>19</v>
      </c>
      <c r="J288" s="46">
        <f t="shared" ref="J288" si="178">H288</f>
        <v>0</v>
      </c>
      <c r="K288" s="312"/>
      <c r="L288" s="310"/>
      <c r="M288" s="313"/>
      <c r="N288" s="310"/>
      <c r="O288" s="310"/>
      <c r="P288" s="310"/>
      <c r="Q288" s="310"/>
      <c r="R288" s="310"/>
      <c r="S288" s="310"/>
      <c r="T288" s="310"/>
      <c r="U288" s="310"/>
      <c r="V288" s="310"/>
      <c r="W288" s="310"/>
      <c r="X288" s="310"/>
    </row>
    <row r="289" spans="1:24" s="16" customFormat="1" ht="15" customHeight="1" outlineLevel="1">
      <c r="A289" s="310" t="str">
        <f t="shared" ref="A289" si="179">G289</f>
        <v>Cancelado</v>
      </c>
      <c r="B289" s="310">
        <f t="shared" ref="B289" si="180">IF(I289&lt;=-1,1,IF(I289&lt;=5,2,IF(I289&lt;=15,3,IF(H289&lt;=60,4))))</f>
        <v>4</v>
      </c>
      <c r="C289" s="325"/>
      <c r="D289" s="683" t="s">
        <v>1391</v>
      </c>
      <c r="E289" s="350">
        <v>3970500</v>
      </c>
      <c r="F289" s="7">
        <v>46112</v>
      </c>
      <c r="G289" s="16" t="s">
        <v>20</v>
      </c>
      <c r="H289" s="16">
        <f>IF(OR(G289="Sin pagar",G289="Pagar"),NETWORKDAYS($J$99,F289,'Festivos Colombia'!$A$3:$A$22),0)</f>
        <v>0</v>
      </c>
      <c r="I289" s="16">
        <f>NETWORKDAYS($J$99,F289,'Festivos Colombia'!$A$3:$A$22)</f>
        <v>21</v>
      </c>
      <c r="J289" s="46">
        <f t="shared" ref="J289" si="181">H289</f>
        <v>0</v>
      </c>
      <c r="K289" s="312"/>
      <c r="L289" s="310"/>
      <c r="M289" s="313"/>
      <c r="N289" s="310"/>
      <c r="O289" s="310"/>
      <c r="P289" s="310"/>
      <c r="Q289" s="310"/>
      <c r="R289" s="310"/>
      <c r="S289" s="310"/>
      <c r="T289" s="310"/>
      <c r="U289" s="310"/>
      <c r="V289" s="310"/>
      <c r="W289" s="310"/>
      <c r="X289" s="310"/>
    </row>
    <row r="290" spans="1:24" s="16" customFormat="1" ht="15" customHeight="1" outlineLevel="1">
      <c r="A290" s="310" t="str">
        <f t="shared" ref="A290" si="182">G290</f>
        <v>Cancelado</v>
      </c>
      <c r="B290" s="310">
        <f t="shared" ref="B290" si="183">IF(I290&lt;=-1,1,IF(I290&lt;=5,2,IF(I290&lt;=15,3,IF(H290&lt;=60,4))))</f>
        <v>4</v>
      </c>
      <c r="C290" s="325"/>
      <c r="D290" s="683" t="s">
        <v>1102</v>
      </c>
      <c r="E290" s="350">
        <f>(89512000/2)*0</f>
        <v>0</v>
      </c>
      <c r="F290" s="7">
        <v>46112</v>
      </c>
      <c r="G290" s="16" t="s">
        <v>20</v>
      </c>
      <c r="H290" s="16">
        <f>IF(OR(G290="Sin pagar",G290="Pagar"),NETWORKDAYS($J$99,F290,'Festivos Colombia'!$A$3:$A$22),0)</f>
        <v>0</v>
      </c>
      <c r="I290" s="16">
        <f>NETWORKDAYS($J$99,F290,'Festivos Colombia'!$A$3:$A$22)</f>
        <v>21</v>
      </c>
      <c r="J290" s="46">
        <f t="shared" ref="J290" si="184">H290</f>
        <v>0</v>
      </c>
      <c r="K290" s="312"/>
      <c r="L290" s="310"/>
      <c r="M290" s="313"/>
      <c r="N290" s="310"/>
      <c r="O290" s="310"/>
      <c r="P290" s="310"/>
      <c r="Q290" s="310"/>
      <c r="R290" s="310"/>
      <c r="S290" s="310"/>
      <c r="T290" s="310"/>
      <c r="U290" s="310"/>
      <c r="V290" s="310"/>
      <c r="W290" s="310"/>
      <c r="X290" s="310"/>
    </row>
    <row r="291" spans="1:24" s="16" customFormat="1" ht="15" customHeight="1" outlineLevel="1" thickBot="1">
      <c r="A291" s="310" t="str">
        <f t="shared" ref="A291" si="185">G291</f>
        <v>Cancelado</v>
      </c>
      <c r="B291" s="310">
        <f t="shared" ref="B291" si="186">IF(I291&lt;=-1,1,IF(I291&lt;=5,2,IF(I291&lt;=15,3,IF(H291&lt;=60,4))))</f>
        <v>4</v>
      </c>
      <c r="C291" s="325"/>
      <c r="D291" s="780" t="s">
        <v>1666</v>
      </c>
      <c r="E291" s="350">
        <v>300000</v>
      </c>
      <c r="F291" s="7">
        <v>46119</v>
      </c>
      <c r="G291" s="16" t="s">
        <v>20</v>
      </c>
      <c r="H291" s="16">
        <f>IF(OR(G291="Sin pagar",G291="Pagar"),NETWORKDAYS($J$99,F291,'Festivos Colombia'!$A$3:$A$22),0)</f>
        <v>0</v>
      </c>
      <c r="I291" s="16">
        <f>NETWORKDAYS($J$99,F291,'Festivos Colombia'!$A$3:$A$22)</f>
        <v>24</v>
      </c>
      <c r="J291" s="46">
        <f t="shared" ref="J291" si="187">H291</f>
        <v>0</v>
      </c>
      <c r="K291" s="312"/>
      <c r="L291" s="310"/>
      <c r="M291" s="313"/>
      <c r="N291" s="310"/>
      <c r="O291" s="310"/>
      <c r="P291" s="310"/>
      <c r="Q291" s="310"/>
      <c r="R291" s="310"/>
      <c r="S291" s="310"/>
      <c r="T291" s="310"/>
      <c r="U291" s="310"/>
      <c r="V291" s="310"/>
      <c r="W291" s="310"/>
      <c r="X291" s="310"/>
    </row>
    <row r="292" spans="1:24" s="16" customFormat="1" ht="14.25" customHeight="1">
      <c r="C292" s="24"/>
      <c r="D292" s="85" t="s">
        <v>73</v>
      </c>
      <c r="E292" s="360">
        <f>SUBTOTAL(9,E101:E291)</f>
        <v>2715664341.9842997</v>
      </c>
      <c r="L292" s="69"/>
      <c r="M292" s="69"/>
      <c r="N292" s="69"/>
      <c r="O292" s="69"/>
      <c r="S292" s="69"/>
      <c r="T292" s="69"/>
      <c r="U292" s="69"/>
    </row>
    <row r="293" spans="1:24" ht="15.75">
      <c r="B293" s="16"/>
      <c r="E293" s="346"/>
      <c r="F293" s="5"/>
      <c r="G293" s="5"/>
      <c r="H293" s="5"/>
      <c r="I293" s="5"/>
      <c r="J293" s="5"/>
      <c r="K293" s="5"/>
    </row>
    <row r="294" spans="1:24" ht="15.75">
      <c r="B294" s="16"/>
      <c r="D294" s="86" t="s">
        <v>74</v>
      </c>
      <c r="E294" s="4">
        <f>E96-E292</f>
        <v>772774870.70750046</v>
      </c>
      <c r="F294" s="87"/>
      <c r="G294" s="88"/>
      <c r="J294" s="88"/>
      <c r="K294" s="88"/>
    </row>
    <row r="295" spans="1:24" s="89" customFormat="1" ht="15.75">
      <c r="B295" s="16"/>
      <c r="C295" s="90"/>
      <c r="D295" s="86" t="s">
        <v>75</v>
      </c>
      <c r="E295" s="91">
        <f>IF($E$96=0,0,E294/$E$96)</f>
        <v>0.22152453392220664</v>
      </c>
      <c r="F295" s="92"/>
      <c r="G295" s="690"/>
      <c r="J295" s="93"/>
      <c r="K295" s="88"/>
      <c r="L295" s="69"/>
      <c r="M295" s="69"/>
      <c r="N295" s="69"/>
      <c r="O295" s="69"/>
      <c r="S295" s="69"/>
      <c r="T295" s="69"/>
      <c r="U295" s="69"/>
    </row>
    <row r="296" spans="1:24" ht="15.75" thickBot="1">
      <c r="B296" s="16"/>
      <c r="E296" s="346"/>
      <c r="F296" s="92"/>
      <c r="G296" s="690"/>
      <c r="J296" s="171"/>
      <c r="K296" s="88"/>
    </row>
    <row r="297" spans="1:24" s="16" customFormat="1" ht="15.75" thickBot="1">
      <c r="A297" s="69"/>
      <c r="C297" s="70"/>
      <c r="D297" s="173" t="s">
        <v>76</v>
      </c>
      <c r="E297" s="174"/>
      <c r="F297" s="362"/>
      <c r="G297" s="69"/>
      <c r="H297" s="69"/>
      <c r="I297" s="69"/>
      <c r="J297" s="69"/>
      <c r="K297" s="69"/>
      <c r="L297" s="69"/>
      <c r="M297" s="69"/>
      <c r="N297" s="69"/>
      <c r="O297" s="69"/>
      <c r="P297" s="69"/>
      <c r="Q297" s="69"/>
      <c r="R297" s="69"/>
      <c r="S297" s="69"/>
      <c r="T297" s="69"/>
      <c r="U297" s="69"/>
      <c r="V297" s="69"/>
      <c r="W297" s="69"/>
      <c r="X297" s="69"/>
    </row>
    <row r="298" spans="1:24">
      <c r="B298" s="16"/>
      <c r="D298" s="143" t="s">
        <v>77</v>
      </c>
      <c r="E298" s="363" t="s">
        <v>78</v>
      </c>
      <c r="F298" s="88"/>
    </row>
    <row r="299" spans="1:24">
      <c r="B299" s="16"/>
      <c r="D299" s="364" t="s">
        <v>79</v>
      </c>
      <c r="E299" s="365" t="s">
        <v>80</v>
      </c>
      <c r="F299" s="88"/>
    </row>
    <row r="300" spans="1:24">
      <c r="F300" s="596"/>
      <c r="G300" s="604"/>
      <c r="J300" s="604"/>
    </row>
    <row r="301" spans="1:24">
      <c r="D301" s="811"/>
      <c r="E301" s="812"/>
      <c r="G301" s="605"/>
      <c r="J301" s="606"/>
    </row>
    <row r="302" spans="1:24" ht="5.25" customHeight="1">
      <c r="D302" s="366"/>
      <c r="E302" s="346"/>
      <c r="K302" s="101"/>
    </row>
    <row r="303" spans="1:24">
      <c r="D303" s="747" t="s">
        <v>1547</v>
      </c>
      <c r="E303" s="346">
        <v>0</v>
      </c>
      <c r="F303" s="346"/>
      <c r="G303" s="88"/>
      <c r="J303" s="88"/>
      <c r="K303" s="101"/>
    </row>
    <row r="304" spans="1:24" ht="15.75" thickBot="1">
      <c r="D304" s="366" t="s">
        <v>89</v>
      </c>
      <c r="E304" s="376">
        <f>(E303*4)/1000</f>
        <v>0</v>
      </c>
      <c r="F304" s="346"/>
      <c r="G304" s="346"/>
      <c r="J304" s="346"/>
    </row>
    <row r="305" spans="3:14" ht="15.75" thickTop="1">
      <c r="D305" s="94" t="s">
        <v>90</v>
      </c>
      <c r="E305" s="61">
        <f>E303+E304</f>
        <v>0</v>
      </c>
      <c r="F305" s="61"/>
      <c r="G305" s="61"/>
      <c r="J305" s="61"/>
      <c r="K305" s="101"/>
    </row>
    <row r="306" spans="3:14">
      <c r="D306" s="94"/>
      <c r="E306" s="61"/>
      <c r="G306" s="88"/>
      <c r="J306" s="270"/>
      <c r="K306" s="101"/>
      <c r="L306" s="171"/>
    </row>
    <row r="307" spans="3:14">
      <c r="D307" s="366"/>
      <c r="E307" s="346"/>
      <c r="F307" s="240"/>
      <c r="G307" s="88"/>
      <c r="K307" s="101"/>
    </row>
    <row r="308" spans="3:14">
      <c r="D308" s="777" t="s">
        <v>1649</v>
      </c>
      <c r="E308" s="346">
        <v>9189970.6300000008</v>
      </c>
      <c r="F308" s="346"/>
      <c r="G308" s="88"/>
      <c r="H308" s="240"/>
      <c r="I308" s="88"/>
      <c r="J308" s="595"/>
      <c r="K308" s="284"/>
      <c r="N308" s="362"/>
    </row>
    <row r="309" spans="3:14" ht="15.75" thickBot="1">
      <c r="D309" s="778" t="s">
        <v>1650</v>
      </c>
      <c r="E309" s="746">
        <f>763886099.63-301200</f>
        <v>763584899.63</v>
      </c>
      <c r="F309" s="759"/>
      <c r="G309" s="88"/>
      <c r="H309" s="346"/>
      <c r="I309" s="346"/>
      <c r="J309" s="346"/>
      <c r="K309" s="101"/>
      <c r="L309" s="346"/>
      <c r="M309" s="88"/>
      <c r="N309" s="362"/>
    </row>
    <row r="310" spans="3:14" ht="15.75" thickTop="1">
      <c r="D310" s="103" t="s">
        <v>81</v>
      </c>
      <c r="E310" s="93">
        <f>SUM(E308:E309)</f>
        <v>772774870.25999999</v>
      </c>
      <c r="F310" s="346"/>
      <c r="G310" s="598"/>
      <c r="H310" s="240"/>
      <c r="I310" s="88"/>
      <c r="J310" s="595"/>
      <c r="K310" s="101"/>
      <c r="N310" s="362"/>
    </row>
    <row r="311" spans="3:14" ht="14.25" customHeight="1">
      <c r="D311" s="367"/>
      <c r="E311" s="361"/>
      <c r="F311" s="346"/>
      <c r="G311" s="598"/>
      <c r="H311" s="595"/>
      <c r="I311" s="598"/>
      <c r="J311" s="595"/>
      <c r="K311" s="101"/>
      <c r="N311" s="362"/>
    </row>
    <row r="312" spans="3:14">
      <c r="D312" s="269" t="s">
        <v>91</v>
      </c>
      <c r="E312" s="270">
        <f>E310-E305</f>
        <v>772774870.25999999</v>
      </c>
      <c r="F312" s="346"/>
      <c r="G312" s="598"/>
      <c r="H312" s="595"/>
      <c r="I312" s="598"/>
      <c r="J312" s="595"/>
      <c r="K312" s="278"/>
    </row>
    <row r="313" spans="3:14">
      <c r="D313" s="269"/>
      <c r="E313" s="270"/>
      <c r="F313" s="346"/>
      <c r="G313" s="607"/>
      <c r="H313" s="595"/>
      <c r="I313" s="598"/>
      <c r="J313" s="595"/>
      <c r="K313" s="278"/>
    </row>
    <row r="314" spans="3:14">
      <c r="G314" s="596"/>
    </row>
    <row r="315" spans="3:14">
      <c r="G315" s="596"/>
    </row>
    <row r="316" spans="3:14">
      <c r="D316" s="779" t="s">
        <v>1651</v>
      </c>
      <c r="E316" s="314">
        <v>42967.01</v>
      </c>
      <c r="F316" s="314">
        <v>43246.46</v>
      </c>
      <c r="G316" s="170">
        <f>E316-F316</f>
        <v>-279.44999999999709</v>
      </c>
      <c r="K316" s="314">
        <v>2616.5500000000002</v>
      </c>
    </row>
    <row r="317" spans="3:14">
      <c r="D317" s="779" t="s">
        <v>1652</v>
      </c>
      <c r="E317" s="723">
        <v>36606225.825670041</v>
      </c>
      <c r="F317" s="369">
        <f>E317/480</f>
        <v>76262.970470145912</v>
      </c>
      <c r="G317" s="175">
        <f>F317+E318</f>
        <v>105138.20047014591</v>
      </c>
    </row>
    <row r="318" spans="3:14">
      <c r="C318" s="69"/>
      <c r="D318" s="779" t="s">
        <v>1653</v>
      </c>
      <c r="E318" s="314">
        <v>28875.23</v>
      </c>
    </row>
    <row r="319" spans="3:14">
      <c r="C319" s="69"/>
      <c r="D319" s="574" t="s">
        <v>1654</v>
      </c>
      <c r="E319" s="315">
        <v>523366.30346177786</v>
      </c>
      <c r="F319" s="370">
        <f>E319/7.46</f>
        <v>70156.340946619021</v>
      </c>
      <c r="G319" s="175">
        <f>F319+E320</f>
        <v>76652.830946619011</v>
      </c>
      <c r="L319" s="372"/>
      <c r="M319" s="372"/>
    </row>
    <row r="320" spans="3:14">
      <c r="C320" s="69"/>
      <c r="D320" s="574" t="s">
        <v>1655</v>
      </c>
      <c r="E320" s="314">
        <v>6496.4899999999907</v>
      </c>
    </row>
    <row r="321" spans="3:12">
      <c r="C321" s="69"/>
      <c r="D321" s="574" t="s">
        <v>1656</v>
      </c>
      <c r="E321" s="316">
        <v>382280.32127186365</v>
      </c>
      <c r="F321" s="377">
        <f>E321/3.52</f>
        <v>108602.36399768853</v>
      </c>
      <c r="G321" s="175">
        <f>F321+E322+F323+E324</f>
        <v>124251.85399004209</v>
      </c>
      <c r="K321" s="329"/>
      <c r="L321" s="329"/>
    </row>
    <row r="322" spans="3:12">
      <c r="C322" s="69"/>
      <c r="D322" s="574" t="s">
        <v>1657</v>
      </c>
      <c r="E322" s="314">
        <v>15140.983713283786</v>
      </c>
      <c r="F322" s="368"/>
      <c r="G322" s="341"/>
      <c r="J322" s="328"/>
    </row>
    <row r="323" spans="3:12">
      <c r="C323" s="69"/>
      <c r="D323" s="574" t="s">
        <v>1658</v>
      </c>
      <c r="E323" s="316">
        <v>1714.38</v>
      </c>
      <c r="F323" s="377">
        <f>E323/3.44</f>
        <v>498.36627906976747</v>
      </c>
      <c r="G323" s="341"/>
      <c r="J323" s="328"/>
    </row>
    <row r="324" spans="3:12">
      <c r="C324" s="69"/>
      <c r="D324" s="574" t="s">
        <v>1659</v>
      </c>
      <c r="E324" s="314">
        <v>10.14</v>
      </c>
      <c r="J324" s="328"/>
    </row>
    <row r="325" spans="3:12">
      <c r="C325" s="69"/>
      <c r="D325" s="574" t="s">
        <v>1660</v>
      </c>
      <c r="E325" s="331">
        <v>292927.05</v>
      </c>
      <c r="F325" s="297"/>
      <c r="G325" s="171"/>
    </row>
    <row r="326" spans="3:12">
      <c r="C326" s="69"/>
      <c r="D326" s="499"/>
      <c r="E326" s="371"/>
      <c r="F326" s="371"/>
      <c r="G326" s="171"/>
    </row>
    <row r="327" spans="3:12" ht="16.5" customHeight="1">
      <c r="C327" s="69"/>
      <c r="D327" s="760" t="s">
        <v>1614</v>
      </c>
      <c r="E327" s="315">
        <f>51472.96*0</f>
        <v>0</v>
      </c>
      <c r="F327" s="119" t="s">
        <v>82</v>
      </c>
      <c r="J327" s="368"/>
      <c r="K327" s="170"/>
    </row>
    <row r="328" spans="3:12">
      <c r="C328" s="69"/>
      <c r="D328" s="243"/>
      <c r="E328" s="371"/>
      <c r="F328" s="371"/>
      <c r="G328" s="171"/>
    </row>
    <row r="330" spans="3:12">
      <c r="D330" s="366" t="s">
        <v>2</v>
      </c>
      <c r="E330" s="346">
        <v>13</v>
      </c>
    </row>
    <row r="331" spans="3:12">
      <c r="D331" s="366" t="s">
        <v>158</v>
      </c>
      <c r="E331" s="346">
        <v>17</v>
      </c>
    </row>
    <row r="332" spans="3:12">
      <c r="D332" s="366"/>
      <c r="E332" s="378"/>
    </row>
    <row r="334" spans="3:12">
      <c r="E334" s="314">
        <f>18091.99+2</f>
        <v>18093.990000000002</v>
      </c>
    </row>
    <row r="337" spans="4:11">
      <c r="D337" s="748" t="s">
        <v>1514</v>
      </c>
      <c r="E337" s="750">
        <v>3000</v>
      </c>
      <c r="F337" s="749" t="s">
        <v>1519</v>
      </c>
    </row>
    <row r="338" spans="4:11">
      <c r="D338" s="748" t="s">
        <v>1515</v>
      </c>
      <c r="E338" s="750">
        <v>2200</v>
      </c>
      <c r="F338" s="749" t="s">
        <v>1519</v>
      </c>
    </row>
    <row r="339" spans="4:11">
      <c r="D339" s="729" t="s">
        <v>1516</v>
      </c>
      <c r="E339" s="314">
        <v>6000</v>
      </c>
      <c r="F339" s="728" t="s">
        <v>1520</v>
      </c>
      <c r="G339" s="71">
        <v>170000</v>
      </c>
      <c r="J339" s="314">
        <f>G339/3704.87</f>
        <v>45.885550640103432</v>
      </c>
      <c r="K339" s="170">
        <f>E339+J339</f>
        <v>6045.8855506401032</v>
      </c>
    </row>
    <row r="340" spans="4:11">
      <c r="D340" s="729" t="s">
        <v>1517</v>
      </c>
      <c r="E340" s="314">
        <v>3894</v>
      </c>
      <c r="F340" s="728" t="s">
        <v>238</v>
      </c>
      <c r="G340" s="71">
        <f>(210084+39915.86)+100000</f>
        <v>349999.86</v>
      </c>
      <c r="J340" s="314">
        <f t="shared" ref="J340" si="188">G340/3704.87</f>
        <v>94.470213529759477</v>
      </c>
      <c r="K340" s="170">
        <f>E340+J340</f>
        <v>3988.4702135297593</v>
      </c>
    </row>
    <row r="341" spans="4:11">
      <c r="D341" s="729" t="s">
        <v>1518</v>
      </c>
      <c r="E341" s="314">
        <v>3000</v>
      </c>
      <c r="F341" s="728" t="s">
        <v>1521</v>
      </c>
      <c r="G341" s="71">
        <f>(210084+39915.86)+100000</f>
        <v>349999.86</v>
      </c>
      <c r="J341" s="314">
        <f>(G341/3704.87)+0.17</f>
        <v>94.640213529759478</v>
      </c>
      <c r="K341" s="170">
        <f>E341+J341</f>
        <v>3094.6402135297594</v>
      </c>
    </row>
    <row r="342" spans="4:11">
      <c r="E342" s="170">
        <f>SUM(E337:E341)</f>
        <v>18094</v>
      </c>
      <c r="G342" s="88">
        <v>900000</v>
      </c>
      <c r="J342" s="170">
        <f>SUM(J339:J341)</f>
        <v>234.99597769962239</v>
      </c>
      <c r="K342" s="175">
        <f>SUM(K339:K341)</f>
        <v>13128.995977699622</v>
      </c>
    </row>
    <row r="345" spans="4:11">
      <c r="E345" s="170">
        <f>SUM(E339:E341)</f>
        <v>12894</v>
      </c>
      <c r="J345" s="170">
        <f>+J342+E345</f>
        <v>13128.995977699622</v>
      </c>
    </row>
    <row r="347" spans="4:11">
      <c r="F347" s="71"/>
    </row>
  </sheetData>
  <protectedRanges>
    <protectedRange sqref="E296 F96:G96 E33:E36 E23:F23 J81:J82 E31:F32 E14:E22 E26:E30 J59:J65 E228 E42:E45 E5:F9 E37:F41 E225" name="Presupuestos"/>
    <protectedRange sqref="E100" name="Presupuestos_1"/>
    <protectedRange sqref="E24:E25" name="Presupuestos_4"/>
    <protectedRange sqref="K115" name="Presupuestos_1_1_1_1"/>
    <protectedRange sqref="K271:K273" name="Presupuestos_2_1"/>
    <protectedRange sqref="K220" name="Presupuestos_7"/>
    <protectedRange sqref="E108:E110" name="Presupuestos_10"/>
    <protectedRange sqref="E119:E120 E188 E213 E116:E117 E124 E204 E191:E197 E216 E134:E136 E218 E130:E132" name="Presupuestos_13_1"/>
    <protectedRange sqref="E138:E139" name="Presupuestos_14"/>
    <protectedRange sqref="E141:E143" name="Presupuestos_2_3"/>
    <protectedRange sqref="E128 E121:E123 E118 E190 E203 E200 E208:E212 E133 E217" name="Presupuestos_16_1"/>
    <protectedRange sqref="E201" name="Presupuestos_5_1_2"/>
    <protectedRange sqref="E230:E241" name="Presupuestos_18"/>
    <protectedRange sqref="E245:E249" name="Presupuestos_20"/>
    <protectedRange sqref="E271:E273" name="Presupuestos_5_2_1"/>
    <protectedRange sqref="E103" name="Presupuestos_6_2"/>
    <protectedRange sqref="E205:E207" name="Presupuestos_5_3_1"/>
    <protectedRange sqref="E220" name="Presupuestos_7_1_1"/>
    <protectedRange sqref="J31" name="Presupuestos_2"/>
    <protectedRange sqref="E155 E157:E158" name="Presupuestos_15_1"/>
    <protectedRange sqref="E160:E179" name="Presupuestos_15_3"/>
    <protectedRange sqref="E189 E214:E215" name="Presupuestos_5_3_1_1"/>
    <protectedRange sqref="E242:E243" name="Presupuestos_18_1"/>
    <protectedRange sqref="E202" name="Presupuestos_16_1_2"/>
    <protectedRange sqref="E198:E199" name="Presupuestos_16_1_3"/>
    <protectedRange sqref="E125:E127 E129" name="Presupuestos_13_1_1"/>
    <protectedRange sqref="E226:E227 L226:L227" name="Presupuestos_3"/>
  </protectedRanges>
  <autoFilter ref="C100:K291" xr:uid="{00000000-0009-0000-0000-000002000000}"/>
  <mergeCells count="1">
    <mergeCell ref="D301:E301"/>
  </mergeCells>
  <conditionalFormatting sqref="E342">
    <cfRule type="cellIs" dxfId="69" priority="5" operator="lessThan">
      <formula>0</formula>
    </cfRule>
    <cfRule type="cellIs" dxfId="68" priority="6" operator="between">
      <formula>6</formula>
      <formula>15</formula>
    </cfRule>
    <cfRule type="cellIs" dxfId="67" priority="7" operator="between">
      <formula>1</formula>
      <formula>5</formula>
    </cfRule>
    <cfRule type="cellIs" dxfId="66" priority="8" operator="between">
      <formula>16</formula>
      <formula>60</formula>
    </cfRule>
  </conditionalFormatting>
  <conditionalFormatting sqref="E345">
    <cfRule type="cellIs" dxfId="65" priority="9" operator="lessThan">
      <formula>0</formula>
    </cfRule>
    <cfRule type="cellIs" dxfId="64" priority="10" operator="between">
      <formula>6</formula>
      <formula>15</formula>
    </cfRule>
    <cfRule type="cellIs" dxfId="63" priority="11" operator="between">
      <formula>1</formula>
      <formula>5</formula>
    </cfRule>
    <cfRule type="cellIs" dxfId="62" priority="12" operator="between">
      <formula>16</formula>
      <formula>60</formula>
    </cfRule>
  </conditionalFormatting>
  <conditionalFormatting sqref="H311:H313">
    <cfRule type="cellIs" dxfId="61" priority="16" operator="lessThan">
      <formula>0</formula>
    </cfRule>
    <cfRule type="cellIs" dxfId="60" priority="17" operator="between">
      <formula>6</formula>
      <formula>15</formula>
    </cfRule>
    <cfRule type="cellIs" dxfId="59" priority="18" operator="between">
      <formula>1</formula>
      <formula>5</formula>
    </cfRule>
    <cfRule type="cellIs" dxfId="58" priority="19" operator="between">
      <formula>16</formula>
      <formula>60</formula>
    </cfRule>
  </conditionalFormatting>
  <conditionalFormatting sqref="J1:J10 J14:J65 J67:J300 J306:J338 J342:J1048576">
    <cfRule type="cellIs" dxfId="57" priority="26" operator="lessThan">
      <formula>0</formula>
    </cfRule>
  </conditionalFormatting>
  <conditionalFormatting sqref="J1:J10 J105:J225 J228:J300 J306:J338 J342:J1048576">
    <cfRule type="cellIs" dxfId="56" priority="37" operator="between">
      <formula>1</formula>
      <formula>5</formula>
    </cfRule>
    <cfRule type="cellIs" dxfId="55" priority="38" operator="between">
      <formula>16</formula>
      <formula>60</formula>
    </cfRule>
  </conditionalFormatting>
  <conditionalFormatting sqref="J14:J65 J67:J104 J106 J275:J281">
    <cfRule type="cellIs" dxfId="54" priority="20" operator="between">
      <formula>6</formula>
      <formula>15</formula>
    </cfRule>
    <cfRule type="cellIs" dxfId="53" priority="21" operator="between">
      <formula>1</formula>
      <formula>5</formula>
    </cfRule>
    <cfRule type="cellIs" dxfId="52" priority="22" operator="between">
      <formula>16</formula>
      <formula>60</formula>
    </cfRule>
  </conditionalFormatting>
  <conditionalFormatting sqref="J105:J225 J228:J300 J1:J10 J306:J338 J342:J1048576">
    <cfRule type="cellIs" dxfId="51" priority="36" operator="between">
      <formula>6</formula>
      <formula>15</formula>
    </cfRule>
  </conditionalFormatting>
  <conditionalFormatting sqref="J108:J110">
    <cfRule type="cellIs" dxfId="50" priority="23" operator="between">
      <formula>6</formula>
      <formula>15</formula>
    </cfRule>
    <cfRule type="cellIs" dxfId="49" priority="24" operator="between">
      <formula>1</formula>
      <formula>5</formula>
    </cfRule>
    <cfRule type="cellIs" dxfId="48" priority="25" operator="between">
      <formula>16</formula>
      <formula>60</formula>
    </cfRule>
  </conditionalFormatting>
  <conditionalFormatting sqref="J138:J139 J153">
    <cfRule type="cellIs" dxfId="47" priority="33" operator="between">
      <formula>6</formula>
      <formula>15</formula>
    </cfRule>
    <cfRule type="cellIs" dxfId="46" priority="34" operator="between">
      <formula>1</formula>
      <formula>5</formula>
    </cfRule>
    <cfRule type="cellIs" dxfId="45" priority="35" operator="between">
      <formula>16</formula>
      <formula>60</formula>
    </cfRule>
  </conditionalFormatting>
  <conditionalFormatting sqref="J220">
    <cfRule type="cellIs" dxfId="44" priority="30" operator="between">
      <formula>6</formula>
      <formula>15</formula>
    </cfRule>
    <cfRule type="cellIs" dxfId="43" priority="31" operator="between">
      <formula>1</formula>
      <formula>5</formula>
    </cfRule>
    <cfRule type="cellIs" dxfId="42" priority="32" operator="between">
      <formula>16</formula>
      <formula>60</formula>
    </cfRule>
  </conditionalFormatting>
  <conditionalFormatting sqref="J222:J223">
    <cfRule type="cellIs" dxfId="41" priority="27" operator="between">
      <formula>6</formula>
      <formula>15</formula>
    </cfRule>
    <cfRule type="cellIs" dxfId="40" priority="28" operator="between">
      <formula>1</formula>
      <formula>5</formula>
    </cfRule>
    <cfRule type="cellIs" dxfId="39" priority="29" operator="between">
      <formula>16</formula>
      <formula>60</formula>
    </cfRule>
  </conditionalFormatting>
  <conditionalFormatting sqref="J226:J228">
    <cfRule type="cellIs" dxfId="38" priority="2" operator="between">
      <formula>6</formula>
      <formula>15</formula>
    </cfRule>
    <cfRule type="cellIs" dxfId="37" priority="3" operator="between">
      <formula>1</formula>
      <formula>5</formula>
    </cfRule>
    <cfRule type="cellIs" dxfId="36" priority="4" operator="between">
      <formula>16</formula>
      <formula>60</formula>
    </cfRule>
  </conditionalFormatting>
  <dataValidations count="5">
    <dataValidation type="list" allowBlank="1" showInputMessage="1" showErrorMessage="1" sqref="F45 F42:F43" xr:uid="{AEC98E5D-6A19-4F0B-B6F5-FE75DB1CBCAA}">
      <formula1>"10%,15%,20%,21%,22%,23%,24%,25%,26%,27%,28%,29%,30%,35%,40%,50%,100%"</formula1>
    </dataValidation>
    <dataValidation type="list" allowBlank="1" showInputMessage="1" showErrorMessage="1" sqref="G297:G299 G138:G139 G108:G110 G220 G222:G223 G245:G249 G102:G106 G188:G218 G112:G114 G251:G273 G116:G136 G141:G143 G157:G186 G145:G151 G230:G243 G153:G155 G275:G281 G225:G228 G283:G291" xr:uid="{DDE849C8-31BD-4D3C-8129-B06FDDB443BF}">
      <formula1>"Cancelado,Pagar,Sin Pagar"</formula1>
    </dataValidation>
    <dataValidation type="list" allowBlank="1" showInputMessage="1" showErrorMessage="1" sqref="E99" xr:uid="{40628972-0A9E-42E0-8918-256726891F13}">
      <formula1>"ENERO,FEBRERO,MARZO,ABRIL,MAYO,JUNIO,JULIO,AGOSTO,SEPTIEMBRE,OCTUBRE,NOVIEMBRE,DICIEMBRE"</formula1>
    </dataValidation>
    <dataValidation type="list" allowBlank="1" showInputMessage="1" showErrorMessage="1" sqref="F46" xr:uid="{FFB82843-94D9-41F2-A8F8-F52ACAA7A395}">
      <formula1>"25%,50%,75%,80%,90%,95%,100%"</formula1>
    </dataValidation>
    <dataValidation type="list" allowBlank="1" showInputMessage="1" showErrorMessage="1" sqref="C6:C9 C11:C45 C47:C95" xr:uid="{568932D8-EE24-4D8E-81C5-CBE67487331E}">
      <formula1>"Pagado, Sin Pagar"</formula1>
    </dataValidation>
  </dataValidations>
  <pageMargins left="0.7" right="0.7" top="0.75" bottom="0.75" header="0.3" footer="0.3"/>
  <pageSetup paperSize="9" orientation="portrait" r:id="rId1"/>
  <ignoredErrors>
    <ignoredError sqref="G21:G22 G87:G95 J102:J103 J229:J240 J133:J134 J289:J290 J180:J217 J105:J131 J136:J178 G72:G84 G47:G70 J219:J227 J288 J242:J287" unlockedFormula="1"/>
    <ignoredError sqref="C283" numberStoredAsText="1"/>
    <ignoredError sqref="E345" formulaRange="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9A4C-0AC6-45D1-ACA0-732E9528D239}">
  <dimension ref="A1:X249"/>
  <sheetViews>
    <sheetView showGridLines="0" topLeftCell="C192" zoomScaleNormal="100" workbookViewId="0">
      <selection activeCell="E204" sqref="E204"/>
      <extLst>
        <ext xmlns:xlsdti="http://schemas.microsoft.com/office/spreadsheetml/2023/showDataTypeIcons" uri="{77bfe23e-c014-4d31-8a63-9c772dbf06b6}">
          <xlsdti:showDataTypeIcons visible="0"/>
        </ext>
      </extLst>
    </sheetView>
  </sheetViews>
  <sheetFormatPr baseColWidth="10" defaultColWidth="11.42578125" defaultRowHeight="15" outlineLevelRow="1"/>
  <cols>
    <col min="1" max="1" width="10.140625" style="69" hidden="1" customWidth="1"/>
    <col min="2" max="2" width="6.5703125" style="69" hidden="1" customWidth="1"/>
    <col min="3" max="3" width="18.140625" style="70" customWidth="1"/>
    <col min="4" max="4" width="81.42578125" style="69" customWidth="1"/>
    <col min="5" max="5" width="24.42578125" style="71" customWidth="1"/>
    <col min="6" max="6" width="24.7109375" style="69" customWidth="1"/>
    <col min="7" max="7" width="14.7109375" style="69" customWidth="1"/>
    <col min="8" max="9" width="9.42578125" style="69" hidden="1" customWidth="1"/>
    <col min="10" max="10" width="15.85546875" style="69" customWidth="1"/>
    <col min="11" max="11" width="19.5703125" style="69" customWidth="1"/>
    <col min="12" max="12" width="21.5703125" style="69" bestFit="1" customWidth="1"/>
    <col min="13" max="13" width="15.7109375" style="69" customWidth="1"/>
    <col min="14" max="14" width="13.85546875" style="69" bestFit="1" customWidth="1"/>
    <col min="15" max="17" width="15.85546875" style="69" customWidth="1"/>
    <col min="18" max="18" width="14.5703125" style="69" bestFit="1" customWidth="1"/>
    <col min="19" max="19" width="13.140625" style="69" bestFit="1" customWidth="1"/>
    <col min="20" max="20" width="26.140625" style="69" customWidth="1"/>
    <col min="21" max="21" width="19.28515625" style="69" bestFit="1" customWidth="1"/>
    <col min="22" max="22" width="15.28515625" style="69" bestFit="1" customWidth="1"/>
    <col min="23" max="23" width="14" style="69" bestFit="1" customWidth="1"/>
    <col min="24" max="24" width="13" style="69" bestFit="1" customWidth="1"/>
    <col min="25" max="16384" width="11.42578125" style="69"/>
  </cols>
  <sheetData>
    <row r="1" spans="1:11" ht="15" hidden="1" customHeight="1">
      <c r="E1" s="346">
        <v>42400</v>
      </c>
    </row>
    <row r="2" spans="1:11">
      <c r="E2" s="23"/>
      <c r="I2" s="16">
        <v>1</v>
      </c>
    </row>
    <row r="3" spans="1:11">
      <c r="E3" s="23"/>
      <c r="I3" s="16">
        <v>2</v>
      </c>
    </row>
    <row r="4" spans="1:11" s="21" customFormat="1" ht="15.75">
      <c r="D4" s="20" t="s">
        <v>1</v>
      </c>
      <c r="E4" s="19">
        <f>SUBTOTAL(9,E5:E5)</f>
        <v>772774870.70750046</v>
      </c>
      <c r="F4" s="22"/>
      <c r="I4" s="16">
        <v>3</v>
      </c>
    </row>
    <row r="5" spans="1:11" s="16" customFormat="1" outlineLevel="1">
      <c r="C5" s="24"/>
      <c r="D5" s="9" t="s">
        <v>2</v>
      </c>
      <c r="E5" s="350">
        <f>MARZO!E294</f>
        <v>772774870.70750046</v>
      </c>
      <c r="F5" s="350"/>
      <c r="G5" s="350"/>
      <c r="I5" s="16">
        <v>4</v>
      </c>
    </row>
    <row r="6" spans="1:11" s="16" customFormat="1" ht="15.75">
      <c r="C6" s="24"/>
      <c r="D6" s="20" t="s">
        <v>3</v>
      </c>
      <c r="E6" s="19">
        <f>SUBTOTAL(9,E7:E36)</f>
        <v>277142497.66999996</v>
      </c>
      <c r="F6" s="99"/>
    </row>
    <row r="7" spans="1:11" s="16" customFormat="1" ht="14.25" customHeight="1" outlineLevel="1">
      <c r="A7" s="24"/>
      <c r="B7" s="347"/>
      <c r="C7" s="350" t="s">
        <v>5</v>
      </c>
      <c r="D7" s="780" t="s">
        <v>1751</v>
      </c>
      <c r="E7" s="788">
        <v>2031584.61</v>
      </c>
      <c r="F7" s="241"/>
      <c r="G7" s="25"/>
      <c r="J7" s="25"/>
      <c r="K7" s="25"/>
    </row>
    <row r="8" spans="1:11" s="16" customFormat="1" ht="14.25" customHeight="1" outlineLevel="1">
      <c r="A8" s="24"/>
      <c r="B8" s="347"/>
      <c r="C8" s="350" t="s">
        <v>5</v>
      </c>
      <c r="D8" s="780" t="s">
        <v>1722</v>
      </c>
      <c r="E8" s="774">
        <v>34362712.649999999</v>
      </c>
      <c r="F8" s="8"/>
      <c r="G8" s="25"/>
      <c r="J8" s="25"/>
      <c r="K8" s="25"/>
    </row>
    <row r="9" spans="1:11" s="16" customFormat="1" ht="14.25" customHeight="1" outlineLevel="1">
      <c r="A9" s="24"/>
      <c r="B9" s="347"/>
      <c r="C9" s="350" t="s">
        <v>5</v>
      </c>
      <c r="D9" s="780" t="s">
        <v>1723</v>
      </c>
      <c r="E9" s="774">
        <v>2104000</v>
      </c>
      <c r="F9" s="8"/>
      <c r="G9" s="25"/>
      <c r="J9" s="25"/>
      <c r="K9" s="25"/>
    </row>
    <row r="10" spans="1:11" s="16" customFormat="1" outlineLevel="1">
      <c r="C10" s="8" t="s">
        <v>4</v>
      </c>
      <c r="D10" s="9" t="s">
        <v>1724</v>
      </c>
      <c r="E10" s="774">
        <v>2804648.13</v>
      </c>
      <c r="F10" s="8"/>
      <c r="G10" s="25"/>
      <c r="K10" s="25"/>
    </row>
    <row r="11" spans="1:11" s="16" customFormat="1" outlineLevel="1">
      <c r="C11" s="8" t="s">
        <v>5</v>
      </c>
      <c r="D11" s="9" t="s">
        <v>1725</v>
      </c>
      <c r="E11" s="774">
        <v>6766084.2000000002</v>
      </c>
      <c r="F11" s="8"/>
      <c r="G11" s="25"/>
      <c r="K11" s="25"/>
    </row>
    <row r="12" spans="1:11" s="16" customFormat="1" outlineLevel="1">
      <c r="C12" s="8" t="s">
        <v>5</v>
      </c>
      <c r="D12" s="780" t="s">
        <v>1733</v>
      </c>
      <c r="E12" s="774">
        <f>3646434.25*0</f>
        <v>0</v>
      </c>
      <c r="F12" s="8"/>
      <c r="G12" s="25"/>
      <c r="K12" s="25"/>
    </row>
    <row r="13" spans="1:11" s="16" customFormat="1" outlineLevel="1">
      <c r="C13" s="774" t="s">
        <v>5</v>
      </c>
      <c r="D13" s="780" t="s">
        <v>1734</v>
      </c>
      <c r="E13" s="774">
        <v>252331.2</v>
      </c>
      <c r="F13" s="8"/>
      <c r="G13" s="25"/>
      <c r="K13" s="25"/>
    </row>
    <row r="14" spans="1:11" s="16" customFormat="1" outlineLevel="1">
      <c r="C14" s="8" t="s">
        <v>5</v>
      </c>
      <c r="D14" s="9" t="s">
        <v>1726</v>
      </c>
      <c r="E14" s="774">
        <v>2015276.25</v>
      </c>
      <c r="F14" s="8"/>
      <c r="G14" s="25"/>
      <c r="K14" s="25"/>
    </row>
    <row r="15" spans="1:11" s="16" customFormat="1" outlineLevel="1">
      <c r="C15" s="350" t="s">
        <v>5</v>
      </c>
      <c r="D15" s="9" t="s">
        <v>1738</v>
      </c>
      <c r="E15" s="774">
        <f>'MONETIZACIONES PEND'!$R$14</f>
        <v>41243759</v>
      </c>
      <c r="F15" s="349"/>
      <c r="G15" s="137"/>
      <c r="K15" s="25"/>
    </row>
    <row r="16" spans="1:11" s="16" customFormat="1" outlineLevel="1">
      <c r="C16" s="350" t="s">
        <v>5</v>
      </c>
      <c r="D16" s="9" t="s">
        <v>1739</v>
      </c>
      <c r="E16" s="774">
        <f>'MONETIZACIONES PEND'!$R$15</f>
        <v>21043637</v>
      </c>
      <c r="F16" s="349"/>
      <c r="G16" s="137"/>
      <c r="K16" s="25"/>
    </row>
    <row r="17" spans="3:11" s="16" customFormat="1" outlineLevel="1">
      <c r="C17" s="350" t="s">
        <v>5</v>
      </c>
      <c r="D17" s="9" t="s">
        <v>1740</v>
      </c>
      <c r="E17" s="774">
        <f>'MONETIZACIONES PEND'!$R$16</f>
        <v>5300165</v>
      </c>
      <c r="F17" s="349"/>
      <c r="G17" s="137"/>
      <c r="K17" s="25"/>
    </row>
    <row r="18" spans="3:11" s="16" customFormat="1" outlineLevel="1">
      <c r="C18" s="350" t="s">
        <v>5</v>
      </c>
      <c r="D18" s="9" t="s">
        <v>109</v>
      </c>
      <c r="E18" s="774">
        <f>7528323*0</f>
        <v>0</v>
      </c>
      <c r="F18" s="349"/>
      <c r="G18" s="137"/>
      <c r="K18" s="25"/>
    </row>
    <row r="19" spans="3:11" s="16" customFormat="1" outlineLevel="1">
      <c r="C19" s="350" t="s">
        <v>5</v>
      </c>
      <c r="D19" s="9" t="s">
        <v>1070</v>
      </c>
      <c r="E19" s="774">
        <v>987674.51</v>
      </c>
      <c r="F19" s="136"/>
      <c r="G19" s="25"/>
      <c r="K19" s="25"/>
    </row>
    <row r="20" spans="3:11" s="16" customFormat="1" outlineLevel="1">
      <c r="C20" s="350" t="s">
        <v>5</v>
      </c>
      <c r="D20" s="9" t="s">
        <v>778</v>
      </c>
      <c r="E20" s="774">
        <v>12075000.880000001</v>
      </c>
      <c r="F20" s="136"/>
      <c r="G20" s="25"/>
      <c r="K20" s="25"/>
    </row>
    <row r="21" spans="3:11" s="16" customFormat="1" outlineLevel="1">
      <c r="C21" s="350" t="s">
        <v>5</v>
      </c>
      <c r="D21" s="780" t="s">
        <v>1735</v>
      </c>
      <c r="E21" s="774">
        <f>3182508.68*0</f>
        <v>0</v>
      </c>
      <c r="F21" s="97"/>
      <c r="K21" s="25"/>
    </row>
    <row r="22" spans="3:11" s="16" customFormat="1" outlineLevel="1">
      <c r="C22" s="789" t="s">
        <v>5</v>
      </c>
      <c r="D22" s="780" t="s">
        <v>1727</v>
      </c>
      <c r="E22" s="774">
        <v>920132.14</v>
      </c>
      <c r="F22" s="169"/>
      <c r="K22" s="25"/>
    </row>
    <row r="23" spans="3:11" s="16" customFormat="1" outlineLevel="1">
      <c r="C23" s="350" t="s">
        <v>5</v>
      </c>
      <c r="D23" s="9" t="s">
        <v>1728</v>
      </c>
      <c r="E23" s="774">
        <v>20244754</v>
      </c>
      <c r="F23" s="241"/>
      <c r="G23" s="25"/>
      <c r="K23" s="25"/>
    </row>
    <row r="24" spans="3:11" s="16" customFormat="1" ht="14.25" customHeight="1" outlineLevel="1">
      <c r="C24" s="350" t="s">
        <v>5</v>
      </c>
      <c r="D24" s="780" t="s">
        <v>1729</v>
      </c>
      <c r="E24" s="790">
        <v>24139258</v>
      </c>
      <c r="F24" s="539"/>
      <c r="G24" s="25"/>
      <c r="J24" s="241"/>
      <c r="K24" s="25"/>
    </row>
    <row r="25" spans="3:11" s="16" customFormat="1" ht="14.25" customHeight="1" outlineLevel="1">
      <c r="C25" s="350" t="s">
        <v>5</v>
      </c>
      <c r="D25" s="780" t="s">
        <v>1742</v>
      </c>
      <c r="E25" s="790">
        <f>'MONETIZACIONES PEND'!$R$12</f>
        <v>6825500</v>
      </c>
      <c r="F25" s="539"/>
      <c r="G25" s="25"/>
      <c r="J25" s="241"/>
      <c r="K25" s="25"/>
    </row>
    <row r="26" spans="3:11" s="16" customFormat="1" outlineLevel="1">
      <c r="C26" s="350" t="s">
        <v>5</v>
      </c>
      <c r="D26" s="780" t="s">
        <v>1413</v>
      </c>
      <c r="E26" s="774">
        <f>1719065*0</f>
        <v>0</v>
      </c>
      <c r="F26" s="172"/>
      <c r="I26" s="16">
        <v>4</v>
      </c>
      <c r="K26" s="25"/>
    </row>
    <row r="27" spans="3:11" s="16" customFormat="1" outlineLevel="1">
      <c r="C27" s="350" t="s">
        <v>5</v>
      </c>
      <c r="D27" s="780" t="s">
        <v>1736</v>
      </c>
      <c r="E27" s="774">
        <f>667948.35*0</f>
        <v>0</v>
      </c>
      <c r="F27" s="97"/>
      <c r="K27" s="25"/>
    </row>
    <row r="28" spans="3:11" s="16" customFormat="1" outlineLevel="1">
      <c r="C28" s="350" t="s">
        <v>5</v>
      </c>
      <c r="D28" s="780" t="s">
        <v>1737</v>
      </c>
      <c r="E28" s="774">
        <f>24527869*0</f>
        <v>0</v>
      </c>
      <c r="F28" s="97"/>
      <c r="K28" s="25"/>
    </row>
    <row r="29" spans="3:11" s="16" customFormat="1" outlineLevel="1">
      <c r="C29" s="350" t="s">
        <v>5</v>
      </c>
      <c r="D29" s="9" t="s">
        <v>1567</v>
      </c>
      <c r="E29" s="774">
        <f>2013039</f>
        <v>2013039</v>
      </c>
      <c r="F29" s="97"/>
      <c r="K29" s="25"/>
    </row>
    <row r="30" spans="3:11" s="16" customFormat="1" outlineLevel="1">
      <c r="C30" s="348" t="s">
        <v>4</v>
      </c>
      <c r="D30" s="231" t="s">
        <v>1415</v>
      </c>
      <c r="E30" s="772">
        <f>1264316.04</f>
        <v>1264316.04</v>
      </c>
      <c r="F30" s="241"/>
      <c r="K30" s="25"/>
    </row>
    <row r="31" spans="3:11" s="16" customFormat="1" outlineLevel="1">
      <c r="C31" s="8" t="s">
        <v>5</v>
      </c>
      <c r="D31" s="9" t="s">
        <v>1410</v>
      </c>
      <c r="E31" s="774">
        <f>177905</f>
        <v>177905</v>
      </c>
      <c r="F31" s="8"/>
      <c r="G31" s="25"/>
      <c r="K31" s="25"/>
    </row>
    <row r="32" spans="3:11" s="16" customFormat="1" outlineLevel="1">
      <c r="C32" s="350" t="s">
        <v>5</v>
      </c>
      <c r="D32" s="9" t="s">
        <v>1730</v>
      </c>
      <c r="E32" s="774">
        <v>1451213.81</v>
      </c>
      <c r="F32" s="349"/>
      <c r="K32" s="25"/>
    </row>
    <row r="33" spans="3:21" s="16" customFormat="1" outlineLevel="1">
      <c r="C33" s="350" t="s">
        <v>5</v>
      </c>
      <c r="D33" s="9" t="s">
        <v>1731</v>
      </c>
      <c r="E33" s="774">
        <v>18093866.329999998</v>
      </c>
      <c r="F33" s="349"/>
      <c r="K33" s="25"/>
    </row>
    <row r="34" spans="3:21" s="16" customFormat="1" outlineLevel="1">
      <c r="C34" s="350" t="s">
        <v>5</v>
      </c>
      <c r="D34" s="9" t="s">
        <v>1565</v>
      </c>
      <c r="E34" s="774">
        <f>2033960.42</f>
        <v>2033960.42</v>
      </c>
      <c r="F34" s="100"/>
      <c r="K34" s="25"/>
    </row>
    <row r="35" spans="3:21" s="16" customFormat="1" outlineLevel="1">
      <c r="C35" s="350" t="s">
        <v>5</v>
      </c>
      <c r="D35" s="9" t="s">
        <v>1743</v>
      </c>
      <c r="E35" s="774">
        <f>SUM('MONETIZACIONES PEND'!$R$9:$R$11)</f>
        <v>21070829.5</v>
      </c>
      <c r="F35" s="100"/>
      <c r="K35" s="25"/>
    </row>
    <row r="36" spans="3:21" s="16" customFormat="1" outlineLevel="1">
      <c r="C36" s="350" t="s">
        <v>5</v>
      </c>
      <c r="D36" s="9" t="s">
        <v>1741</v>
      </c>
      <c r="E36" s="774">
        <f>'MONETIZACIONES PEND'!$R$13</f>
        <v>47920850</v>
      </c>
      <c r="F36" s="100"/>
      <c r="K36" s="25"/>
    </row>
    <row r="37" spans="3:21" s="16" customFormat="1" ht="15" customHeight="1">
      <c r="C37" s="24"/>
      <c r="D37" s="20" t="s">
        <v>1405</v>
      </c>
      <c r="E37" s="19">
        <f>SUBTOTAL(9,E38:E86)</f>
        <v>2828512488.671092</v>
      </c>
      <c r="F37" s="72">
        <v>1</v>
      </c>
      <c r="S37" s="26"/>
    </row>
    <row r="38" spans="3:21" s="16" customFormat="1" outlineLevel="1">
      <c r="C38" s="8" t="s">
        <v>5</v>
      </c>
      <c r="D38" s="9" t="s">
        <v>1702</v>
      </c>
      <c r="E38" s="41">
        <v>1570694.5392724636</v>
      </c>
      <c r="F38" s="624"/>
      <c r="G38" s="25"/>
      <c r="S38" s="26"/>
    </row>
    <row r="39" spans="3:21" s="16" customFormat="1" outlineLevel="1">
      <c r="C39" s="8" t="s">
        <v>5</v>
      </c>
      <c r="D39" s="780" t="s">
        <v>1669</v>
      </c>
      <c r="E39" s="41">
        <v>14278927.274793396</v>
      </c>
      <c r="F39" s="624"/>
      <c r="G39" s="25"/>
      <c r="S39" s="26"/>
    </row>
    <row r="40" spans="3:21" s="16" customFormat="1" outlineLevel="1">
      <c r="C40" s="8" t="s">
        <v>5</v>
      </c>
      <c r="D40" s="9" t="s">
        <v>1744</v>
      </c>
      <c r="E40" s="8">
        <f>'MONETIZACIONES PEND'!$Q$18</f>
        <v>470071.34720000002</v>
      </c>
      <c r="F40" s="350"/>
      <c r="G40" s="25"/>
      <c r="J40" s="73"/>
      <c r="K40" s="8"/>
      <c r="L40" s="286"/>
      <c r="M40" s="30"/>
      <c r="T40" s="74"/>
      <c r="U40" s="74"/>
    </row>
    <row r="41" spans="3:21" s="16" customFormat="1" outlineLevel="1">
      <c r="C41" s="8" t="s">
        <v>5</v>
      </c>
      <c r="D41" s="9" t="s">
        <v>1745</v>
      </c>
      <c r="E41" s="8">
        <f>'MONETIZACIONES PEND'!$Q$19</f>
        <v>4273385.8048</v>
      </c>
      <c r="F41" s="350"/>
      <c r="G41" s="25"/>
      <c r="J41" s="73"/>
      <c r="K41" s="8"/>
      <c r="L41" s="286"/>
      <c r="M41" s="30"/>
      <c r="T41" s="74"/>
      <c r="U41" s="74"/>
    </row>
    <row r="42" spans="3:21" s="16" customFormat="1" outlineLevel="1">
      <c r="C42" s="8" t="s">
        <v>5</v>
      </c>
      <c r="D42" s="780" t="s">
        <v>1703</v>
      </c>
      <c r="E42" s="41">
        <v>546032.49034493207</v>
      </c>
      <c r="F42" s="350"/>
      <c r="G42" s="25"/>
      <c r="J42" s="73"/>
      <c r="K42" s="8"/>
      <c r="L42" s="286"/>
      <c r="M42" s="30"/>
      <c r="T42" s="74"/>
      <c r="U42" s="74"/>
    </row>
    <row r="43" spans="3:21" s="16" customFormat="1" outlineLevel="1">
      <c r="C43" s="8" t="s">
        <v>5</v>
      </c>
      <c r="D43" s="780" t="s">
        <v>1668</v>
      </c>
      <c r="E43" s="41">
        <v>4963927.7998266928</v>
      </c>
      <c r="F43" s="350"/>
      <c r="G43" s="25"/>
      <c r="J43" s="73"/>
      <c r="K43" s="8"/>
      <c r="L43" s="286"/>
      <c r="M43" s="30"/>
      <c r="T43" s="74"/>
      <c r="U43" s="74"/>
    </row>
    <row r="44" spans="3:21" s="16" customFormat="1" outlineLevel="1">
      <c r="C44" s="8" t="s">
        <v>5</v>
      </c>
      <c r="D44" s="9" t="s">
        <v>1670</v>
      </c>
      <c r="E44" s="41">
        <v>2944619.7269184655</v>
      </c>
      <c r="F44" s="727"/>
      <c r="G44" s="25"/>
      <c r="J44" s="52"/>
      <c r="K44" s="25"/>
      <c r="L44" s="26"/>
      <c r="M44" s="26"/>
    </row>
    <row r="45" spans="3:21" s="16" customFormat="1" outlineLevel="1">
      <c r="C45" s="8" t="s">
        <v>5</v>
      </c>
      <c r="D45" s="9" t="s">
        <v>1671</v>
      </c>
      <c r="E45" s="41">
        <v>53538585.593504563</v>
      </c>
      <c r="F45" s="727"/>
      <c r="G45" s="25"/>
      <c r="J45" s="52"/>
      <c r="L45" s="26"/>
      <c r="M45" s="26"/>
    </row>
    <row r="46" spans="3:21" s="16" customFormat="1" outlineLevel="1">
      <c r="C46" s="8" t="s">
        <v>5</v>
      </c>
      <c r="D46" s="9" t="s">
        <v>1672</v>
      </c>
      <c r="E46" s="41">
        <v>1221537.8950699079</v>
      </c>
      <c r="F46" s="350"/>
      <c r="G46" s="25"/>
      <c r="J46" s="52"/>
      <c r="K46" s="8"/>
      <c r="L46" s="286"/>
      <c r="M46" s="30"/>
      <c r="T46" s="74"/>
      <c r="U46" s="74"/>
    </row>
    <row r="47" spans="3:21" s="16" customFormat="1" outlineLevel="1">
      <c r="C47" s="8" t="s">
        <v>5</v>
      </c>
      <c r="D47" s="9" t="s">
        <v>1673</v>
      </c>
      <c r="E47" s="41">
        <v>12215378.95069908</v>
      </c>
      <c r="F47" s="350"/>
      <c r="G47" s="25"/>
      <c r="J47" s="52"/>
      <c r="K47" s="8"/>
      <c r="L47" s="286"/>
      <c r="M47" s="30"/>
      <c r="T47" s="74"/>
      <c r="U47" s="74"/>
    </row>
    <row r="48" spans="3:21" s="16" customFormat="1" outlineLevel="1">
      <c r="C48" s="8" t="s">
        <v>5</v>
      </c>
      <c r="D48" s="9" t="s">
        <v>1674</v>
      </c>
      <c r="E48" s="41">
        <v>799725.69611375674</v>
      </c>
      <c r="F48" s="727"/>
      <c r="G48" s="25"/>
      <c r="J48" s="52"/>
      <c r="K48" s="8"/>
      <c r="L48" s="286"/>
      <c r="M48" s="30"/>
      <c r="T48" s="74"/>
      <c r="U48" s="74"/>
    </row>
    <row r="49" spans="3:23" s="16" customFormat="1" outlineLevel="1">
      <c r="C49" s="8" t="s">
        <v>5</v>
      </c>
      <c r="D49" s="9" t="s">
        <v>1675</v>
      </c>
      <c r="E49" s="41">
        <v>1997970.1634842008</v>
      </c>
      <c r="F49" s="727"/>
      <c r="G49" s="25"/>
      <c r="J49" s="52"/>
      <c r="K49" s="8"/>
      <c r="L49" s="286"/>
      <c r="M49" s="30"/>
      <c r="T49" s="74"/>
      <c r="U49" s="74"/>
    </row>
    <row r="50" spans="3:23" s="16" customFormat="1" outlineLevel="1">
      <c r="C50" s="8" t="s">
        <v>5</v>
      </c>
      <c r="D50" s="9" t="s">
        <v>1676</v>
      </c>
      <c r="E50" s="41">
        <v>4792287.0722563472</v>
      </c>
      <c r="F50" s="727"/>
      <c r="G50" s="25"/>
      <c r="J50" s="73"/>
      <c r="K50" s="8"/>
      <c r="L50" s="286"/>
      <c r="M50" s="30"/>
      <c r="T50" s="74"/>
      <c r="U50" s="74"/>
    </row>
    <row r="51" spans="3:23" s="16" customFormat="1" outlineLevel="1">
      <c r="C51" s="8" t="s">
        <v>5</v>
      </c>
      <c r="D51" s="9" t="s">
        <v>1677</v>
      </c>
      <c r="E51" s="41">
        <v>75902155.817802206</v>
      </c>
      <c r="F51" s="727"/>
      <c r="G51" s="25"/>
      <c r="J51" s="73"/>
      <c r="K51" s="8"/>
      <c r="L51" s="286"/>
      <c r="M51" s="30"/>
      <c r="T51" s="74"/>
      <c r="U51" s="74"/>
    </row>
    <row r="52" spans="3:23" s="16" customFormat="1" outlineLevel="1">
      <c r="C52" s="8" t="s">
        <v>5</v>
      </c>
      <c r="D52" s="683" t="s">
        <v>1400</v>
      </c>
      <c r="E52" s="41">
        <v>717615.65</v>
      </c>
      <c r="F52" s="435"/>
      <c r="G52" s="25"/>
      <c r="J52" s="242"/>
      <c r="K52" s="8"/>
      <c r="L52" s="286"/>
      <c r="M52" s="30"/>
      <c r="T52" s="74"/>
      <c r="U52" s="74"/>
    </row>
    <row r="53" spans="3:23" s="16" customFormat="1" outlineLevel="1">
      <c r="C53" s="8" t="s">
        <v>5</v>
      </c>
      <c r="D53" s="683" t="s">
        <v>1402</v>
      </c>
      <c r="E53" s="41">
        <v>7176043.7855000002</v>
      </c>
      <c r="F53" s="435"/>
      <c r="G53" s="25"/>
      <c r="J53" s="242"/>
      <c r="K53" s="8"/>
      <c r="L53" s="286"/>
      <c r="M53" s="30"/>
      <c r="T53" s="74"/>
      <c r="U53" s="74"/>
    </row>
    <row r="54" spans="3:23" s="16" customFormat="1" outlineLevel="1">
      <c r="C54" s="8" t="s">
        <v>5</v>
      </c>
      <c r="D54" s="683" t="s">
        <v>1401</v>
      </c>
      <c r="E54" s="41">
        <v>479299.62549999997</v>
      </c>
      <c r="F54" s="435"/>
      <c r="G54" s="25"/>
      <c r="J54" s="242"/>
      <c r="K54" s="8"/>
      <c r="L54" s="286"/>
      <c r="M54" s="30"/>
      <c r="T54" s="74"/>
      <c r="U54" s="74"/>
    </row>
    <row r="55" spans="3:23" s="16" customFormat="1" outlineLevel="1">
      <c r="C55" s="8" t="s">
        <v>5</v>
      </c>
      <c r="D55" s="683" t="s">
        <v>1403</v>
      </c>
      <c r="E55" s="41">
        <v>4792883.5405000001</v>
      </c>
      <c r="F55" s="435"/>
      <c r="G55" s="25"/>
      <c r="J55" s="242"/>
      <c r="K55" s="8"/>
      <c r="L55" s="286"/>
      <c r="M55" s="30"/>
      <c r="T55" s="74"/>
      <c r="U55" s="74"/>
    </row>
    <row r="56" spans="3:23" s="16" customFormat="1" outlineLevel="1">
      <c r="C56" s="8" t="s">
        <v>5</v>
      </c>
      <c r="D56" s="650" t="s">
        <v>1244</v>
      </c>
      <c r="E56" s="41">
        <v>352448.87949999998</v>
      </c>
      <c r="F56" s="8"/>
      <c r="G56" s="25"/>
      <c r="J56" s="242"/>
      <c r="K56" s="8"/>
      <c r="L56" s="286"/>
      <c r="M56" s="30"/>
      <c r="T56" s="74"/>
      <c r="U56" s="74"/>
    </row>
    <row r="57" spans="3:23" s="16" customFormat="1" outlineLevel="1">
      <c r="C57" s="8" t="s">
        <v>5</v>
      </c>
      <c r="D57" s="650" t="s">
        <v>1245</v>
      </c>
      <c r="E57" s="41">
        <v>3524562.7223999999</v>
      </c>
      <c r="F57" s="8"/>
      <c r="G57" s="25"/>
      <c r="J57" s="242"/>
      <c r="K57" s="8"/>
      <c r="L57" s="286"/>
      <c r="M57" s="30"/>
      <c r="T57" s="74"/>
      <c r="U57" s="74"/>
    </row>
    <row r="58" spans="3:23" s="16" customFormat="1" outlineLevel="1">
      <c r="C58" s="8" t="s">
        <v>5</v>
      </c>
      <c r="D58" s="782" t="s">
        <v>1582</v>
      </c>
      <c r="E58" s="41">
        <v>462859.45139999996</v>
      </c>
      <c r="F58" s="435"/>
      <c r="G58" s="25"/>
      <c r="J58" s="242"/>
      <c r="K58" s="8"/>
      <c r="L58" s="286"/>
      <c r="M58" s="30"/>
      <c r="T58" s="74"/>
      <c r="U58" s="74"/>
    </row>
    <row r="59" spans="3:23">
      <c r="C59" s="8" t="s">
        <v>5</v>
      </c>
      <c r="D59" s="782" t="s">
        <v>1583</v>
      </c>
      <c r="E59" s="784">
        <v>4628742.3688000003</v>
      </c>
      <c r="G59" s="25"/>
    </row>
    <row r="60" spans="3:23" s="16" customFormat="1" outlineLevel="1">
      <c r="C60" s="8" t="s">
        <v>5</v>
      </c>
      <c r="D60" s="780" t="s">
        <v>1678</v>
      </c>
      <c r="E60" s="41">
        <v>3345894.3041707226</v>
      </c>
      <c r="F60" s="350"/>
      <c r="G60" s="25"/>
      <c r="J60" s="73"/>
      <c r="L60" s="26"/>
      <c r="M60" s="26"/>
    </row>
    <row r="61" spans="3:23" s="16" customFormat="1" outlineLevel="1">
      <c r="C61" s="8" t="s">
        <v>5</v>
      </c>
      <c r="D61" s="780" t="s">
        <v>1679</v>
      </c>
      <c r="E61" s="41">
        <v>59692503.873623565</v>
      </c>
      <c r="F61" s="350"/>
      <c r="G61" s="25"/>
      <c r="J61" s="73"/>
      <c r="L61" s="26"/>
      <c r="M61" s="26"/>
    </row>
    <row r="62" spans="3:23" s="16" customFormat="1" outlineLevel="1">
      <c r="C62" s="8" t="s">
        <v>5</v>
      </c>
      <c r="D62" s="9" t="s">
        <v>1680</v>
      </c>
      <c r="E62" s="41">
        <v>1338816.8865855152</v>
      </c>
      <c r="F62" s="532"/>
      <c r="G62" s="25"/>
      <c r="K62" s="25"/>
      <c r="S62" s="35"/>
      <c r="U62" s="25"/>
      <c r="V62" s="102"/>
      <c r="W62" s="26"/>
    </row>
    <row r="63" spans="3:23" s="16" customFormat="1" outlineLevel="1">
      <c r="C63" s="8" t="s">
        <v>5</v>
      </c>
      <c r="D63" s="9" t="s">
        <v>1681</v>
      </c>
      <c r="E63" s="41">
        <v>14875837.319014488</v>
      </c>
      <c r="F63" s="532"/>
      <c r="G63" s="25"/>
      <c r="K63" s="25"/>
      <c r="S63" s="35"/>
      <c r="U63" s="25"/>
      <c r="V63" s="102"/>
      <c r="W63" s="26"/>
    </row>
    <row r="64" spans="3:23" s="16" customFormat="1" outlineLevel="1">
      <c r="C64" s="8" t="s">
        <v>5</v>
      </c>
      <c r="D64" s="9" t="s">
        <v>1682</v>
      </c>
      <c r="E64" s="41">
        <v>698811.99510000006</v>
      </c>
      <c r="F64" s="489"/>
      <c r="G64" s="25"/>
      <c r="J64" s="73"/>
      <c r="K64" s="25"/>
      <c r="L64" s="286"/>
      <c r="M64" s="30"/>
      <c r="T64" s="74"/>
      <c r="U64" s="74"/>
    </row>
    <row r="65" spans="3:21" s="16" customFormat="1" outlineLevel="1">
      <c r="C65" s="8" t="s">
        <v>5</v>
      </c>
      <c r="D65" s="9" t="s">
        <v>1682</v>
      </c>
      <c r="E65" s="41">
        <v>7704505.5750000002</v>
      </c>
      <c r="F65" s="489"/>
      <c r="G65" s="25"/>
      <c r="J65" s="73"/>
      <c r="K65" s="25"/>
      <c r="L65" s="286"/>
      <c r="M65" s="30"/>
      <c r="T65" s="74"/>
      <c r="U65" s="74"/>
    </row>
    <row r="66" spans="3:21" s="16" customFormat="1" outlineLevel="1">
      <c r="C66" s="8" t="s">
        <v>5</v>
      </c>
      <c r="D66" s="9" t="s">
        <v>1683</v>
      </c>
      <c r="E66" s="41">
        <v>21745758.691800002</v>
      </c>
      <c r="F66" s="489"/>
      <c r="G66" s="25"/>
      <c r="J66" s="73"/>
      <c r="K66" s="25"/>
      <c r="L66" s="286"/>
      <c r="M66" s="30"/>
      <c r="T66" s="74"/>
      <c r="U66" s="74"/>
    </row>
    <row r="67" spans="3:21" s="16" customFormat="1" outlineLevel="1">
      <c r="C67" s="8" t="s">
        <v>5</v>
      </c>
      <c r="D67" s="9" t="s">
        <v>1684</v>
      </c>
      <c r="E67" s="41">
        <v>686318871.97529995</v>
      </c>
      <c r="F67" s="489"/>
      <c r="G67" s="25"/>
      <c r="J67" s="73"/>
      <c r="K67" s="25"/>
      <c r="L67" s="286"/>
      <c r="M67" s="30"/>
      <c r="T67" s="74"/>
      <c r="U67" s="74"/>
    </row>
    <row r="68" spans="3:21" s="16" customFormat="1" outlineLevel="1">
      <c r="C68" s="8" t="s">
        <v>5</v>
      </c>
      <c r="D68" s="9" t="s">
        <v>1685</v>
      </c>
      <c r="E68" s="41">
        <v>788259.62503854989</v>
      </c>
      <c r="F68" s="489"/>
      <c r="G68" s="25"/>
      <c r="J68" s="73"/>
      <c r="K68" s="25"/>
      <c r="L68" s="286"/>
      <c r="M68" s="30"/>
      <c r="T68" s="74"/>
      <c r="U68" s="74"/>
    </row>
    <row r="69" spans="3:21" s="16" customFormat="1" outlineLevel="1">
      <c r="C69" s="8" t="s">
        <v>5</v>
      </c>
      <c r="D69" s="9" t="s">
        <v>1490</v>
      </c>
      <c r="E69" s="41">
        <v>7882450.4653614489</v>
      </c>
      <c r="F69" s="489"/>
      <c r="G69" s="25"/>
      <c r="J69" s="73"/>
      <c r="K69" s="25"/>
      <c r="L69" s="286"/>
      <c r="M69" s="30"/>
      <c r="T69" s="74"/>
      <c r="U69" s="74"/>
    </row>
    <row r="70" spans="3:21" s="16" customFormat="1" ht="14.25" customHeight="1" outlineLevel="1">
      <c r="C70" s="8" t="s">
        <v>5</v>
      </c>
      <c r="D70" s="9" t="s">
        <v>1686</v>
      </c>
      <c r="E70" s="41">
        <v>510186.42479999998</v>
      </c>
      <c r="F70" s="8"/>
      <c r="G70" s="25"/>
      <c r="J70" s="52"/>
      <c r="L70" s="26"/>
      <c r="M70" s="26"/>
      <c r="U70" s="288"/>
    </row>
    <row r="71" spans="3:21" s="16" customFormat="1" ht="14.25" customHeight="1" outlineLevel="1">
      <c r="C71" s="8" t="s">
        <v>5</v>
      </c>
      <c r="D71" s="9" t="s">
        <v>1687</v>
      </c>
      <c r="E71" s="41">
        <v>4638085.2576000001</v>
      </c>
      <c r="F71" s="8"/>
      <c r="G71" s="25"/>
      <c r="J71" s="52"/>
      <c r="L71" s="26"/>
      <c r="M71" s="26"/>
      <c r="U71" s="288"/>
    </row>
    <row r="72" spans="3:21" s="16" customFormat="1" outlineLevel="1">
      <c r="C72" s="8" t="s">
        <v>5</v>
      </c>
      <c r="D72" s="9" t="s">
        <v>1688</v>
      </c>
      <c r="E72" s="41">
        <v>3613174.8160595368</v>
      </c>
      <c r="F72" s="727"/>
      <c r="G72" s="25"/>
      <c r="S72" s="26"/>
      <c r="U72" s="287"/>
    </row>
    <row r="73" spans="3:21" s="16" customFormat="1" outlineLevel="1">
      <c r="C73" s="8" t="s">
        <v>5</v>
      </c>
      <c r="D73" s="9" t="s">
        <v>1689</v>
      </c>
      <c r="E73" s="41">
        <v>60219309.761540465</v>
      </c>
      <c r="F73" s="727"/>
      <c r="G73" s="25"/>
      <c r="S73" s="26"/>
      <c r="U73" s="287"/>
    </row>
    <row r="74" spans="3:21" s="16" customFormat="1" outlineLevel="1">
      <c r="C74" s="8" t="s">
        <v>5</v>
      </c>
      <c r="D74" s="9" t="s">
        <v>1690</v>
      </c>
      <c r="E74" s="41">
        <v>5786118.2043779045</v>
      </c>
      <c r="F74" s="727"/>
      <c r="G74" s="25"/>
      <c r="J74" s="241"/>
      <c r="K74" s="8"/>
      <c r="L74" s="286"/>
      <c r="M74" s="30"/>
      <c r="T74" s="74"/>
      <c r="U74" s="74"/>
    </row>
    <row r="75" spans="3:21" s="16" customFormat="1" outlineLevel="1">
      <c r="C75" s="8" t="s">
        <v>5</v>
      </c>
      <c r="D75" s="9" t="s">
        <v>1691</v>
      </c>
      <c r="E75" s="41">
        <v>72326237.982222095</v>
      </c>
      <c r="F75" s="727"/>
      <c r="G75" s="25"/>
      <c r="J75" s="241"/>
      <c r="K75" s="8"/>
      <c r="L75" s="286"/>
      <c r="M75" s="30"/>
      <c r="T75" s="74"/>
      <c r="U75" s="74"/>
    </row>
    <row r="76" spans="3:21" s="16" customFormat="1" outlineLevel="1">
      <c r="C76" s="8" t="s">
        <v>5</v>
      </c>
      <c r="D76" s="9" t="s">
        <v>1692</v>
      </c>
      <c r="E76" s="41">
        <v>877475.37806309655</v>
      </c>
      <c r="F76" s="727"/>
      <c r="G76" s="25"/>
      <c r="J76" s="73"/>
      <c r="K76" s="25"/>
      <c r="S76" s="35"/>
      <c r="U76" s="25"/>
    </row>
    <row r="77" spans="3:21" s="16" customFormat="1" outlineLevel="1">
      <c r="C77" s="8" t="s">
        <v>5</v>
      </c>
      <c r="D77" s="9" t="s">
        <v>1693</v>
      </c>
      <c r="E77" s="41">
        <v>12016513.441936903</v>
      </c>
      <c r="F77" s="727"/>
      <c r="G77" s="25"/>
      <c r="J77" s="73"/>
      <c r="K77" s="25"/>
      <c r="S77" s="35"/>
      <c r="U77" s="25"/>
    </row>
    <row r="78" spans="3:21" s="16" customFormat="1" outlineLevel="1">
      <c r="C78" s="8" t="s">
        <v>5</v>
      </c>
      <c r="D78" s="9" t="s">
        <v>1694</v>
      </c>
      <c r="E78" s="41">
        <v>2339876.56</v>
      </c>
      <c r="F78" s="727"/>
      <c r="G78" s="25"/>
      <c r="J78" s="73"/>
      <c r="K78" s="25"/>
      <c r="S78" s="35"/>
      <c r="U78" s="25"/>
    </row>
    <row r="79" spans="3:21" s="16" customFormat="1" outlineLevel="1">
      <c r="C79" s="8" t="s">
        <v>5</v>
      </c>
      <c r="D79" s="9" t="s">
        <v>1695</v>
      </c>
      <c r="E79" s="41">
        <v>13320855.359999999</v>
      </c>
      <c r="F79" s="727"/>
      <c r="G79" s="25"/>
      <c r="J79" s="73"/>
      <c r="S79" s="35"/>
      <c r="U79" s="25"/>
    </row>
    <row r="80" spans="3:21" s="16" customFormat="1" outlineLevel="1">
      <c r="C80" s="8" t="s">
        <v>5</v>
      </c>
      <c r="D80" s="9" t="s">
        <v>1697</v>
      </c>
      <c r="E80" s="41">
        <v>1524795325.8927038</v>
      </c>
      <c r="F80" s="727"/>
      <c r="G80" s="25"/>
      <c r="J80" s="326"/>
      <c r="L80" s="26"/>
      <c r="M80" s="26"/>
    </row>
    <row r="81" spans="1:24" s="16" customFormat="1" outlineLevel="1">
      <c r="C81" s="8" t="s">
        <v>5</v>
      </c>
      <c r="D81" s="9" t="s">
        <v>1696</v>
      </c>
      <c r="E81" s="41">
        <v>3216554.1384510556</v>
      </c>
      <c r="F81" s="727"/>
      <c r="G81" s="25"/>
      <c r="J81" s="326"/>
      <c r="L81" s="26"/>
      <c r="M81" s="26"/>
    </row>
    <row r="82" spans="1:24" s="16" customFormat="1" outlineLevel="1">
      <c r="C82" s="8" t="s">
        <v>5</v>
      </c>
      <c r="D82" s="9" t="s">
        <v>1698</v>
      </c>
      <c r="E82" s="41">
        <v>1568505.6851801719</v>
      </c>
      <c r="F82" s="624"/>
      <c r="G82" s="25"/>
      <c r="J82" s="326"/>
      <c r="K82" s="25"/>
      <c r="L82" s="26"/>
      <c r="M82" s="26"/>
    </row>
    <row r="83" spans="1:24" s="16" customFormat="1" outlineLevel="1">
      <c r="C83" s="8" t="s">
        <v>5</v>
      </c>
      <c r="D83" s="9" t="s">
        <v>1699</v>
      </c>
      <c r="E83" s="41">
        <v>87240843.921705037</v>
      </c>
      <c r="F83" s="624"/>
      <c r="G83" s="25"/>
      <c r="J83" s="73"/>
      <c r="K83" s="25"/>
      <c r="L83" s="104"/>
      <c r="M83" s="30"/>
      <c r="T83" s="74"/>
      <c r="U83" s="74"/>
    </row>
    <row r="84" spans="1:24" s="16" customFormat="1" outlineLevel="1">
      <c r="C84" s="8" t="s">
        <v>5</v>
      </c>
      <c r="D84" s="9" t="s">
        <v>1699</v>
      </c>
      <c r="E84" s="41">
        <v>2309967.8341362863</v>
      </c>
      <c r="F84" s="624"/>
      <c r="G84" s="25"/>
      <c r="J84" s="73"/>
      <c r="K84" s="25"/>
      <c r="L84" s="104"/>
      <c r="M84" s="30"/>
      <c r="T84" s="74"/>
      <c r="U84" s="74"/>
    </row>
    <row r="85" spans="1:24" s="16" customFormat="1" outlineLevel="1">
      <c r="C85" s="8" t="s">
        <v>5</v>
      </c>
      <c r="D85" s="9" t="s">
        <v>1700</v>
      </c>
      <c r="E85" s="41">
        <v>2283114.8581385151</v>
      </c>
      <c r="F85" s="727"/>
      <c r="G85" s="25"/>
      <c r="J85" s="73"/>
      <c r="K85" s="25"/>
      <c r="L85" s="104"/>
      <c r="M85" s="30"/>
      <c r="T85" s="74"/>
      <c r="U85" s="74"/>
    </row>
    <row r="86" spans="1:24" s="16" customFormat="1" outlineLevel="1">
      <c r="C86" s="8" t="s">
        <v>5</v>
      </c>
      <c r="D86" s="9" t="s">
        <v>1701</v>
      </c>
      <c r="E86" s="41">
        <v>25408876.247496799</v>
      </c>
      <c r="F86" s="727"/>
      <c r="G86" s="25"/>
      <c r="J86" s="73"/>
      <c r="K86" s="25"/>
      <c r="L86" s="104"/>
      <c r="M86" s="30"/>
      <c r="T86" s="74"/>
      <c r="U86" s="74"/>
    </row>
    <row r="87" spans="1:24" s="16" customFormat="1" ht="15.75">
      <c r="C87" s="24"/>
      <c r="D87" s="75" t="s">
        <v>8</v>
      </c>
      <c r="E87" s="18">
        <f>SUBTOTAL(9,E4:E86)</f>
        <v>3878429857.0485926</v>
      </c>
      <c r="F87" s="14"/>
      <c r="G87" s="14">
        <f>SUM(G6:G86)</f>
        <v>0</v>
      </c>
      <c r="J87" s="25"/>
      <c r="K87" s="76"/>
      <c r="L87" s="77"/>
      <c r="T87" s="78"/>
      <c r="U87" s="33"/>
      <c r="V87" s="26"/>
    </row>
    <row r="88" spans="1:24" s="16" customFormat="1" ht="15.75">
      <c r="C88" s="24"/>
      <c r="D88" s="79"/>
      <c r="E88" s="17"/>
      <c r="G88" s="80"/>
      <c r="T88" s="33"/>
      <c r="U88" s="33"/>
    </row>
    <row r="89" spans="1:24" s="16" customFormat="1" ht="15.75">
      <c r="C89" s="24"/>
      <c r="G89" s="25"/>
      <c r="K89" s="25"/>
      <c r="S89" s="12"/>
      <c r="T89" s="32"/>
      <c r="U89" s="10"/>
    </row>
    <row r="90" spans="1:24" s="16" customFormat="1" ht="15.75">
      <c r="C90" s="81" t="s">
        <v>9</v>
      </c>
      <c r="D90" s="81"/>
      <c r="E90" s="81" t="s">
        <v>1704</v>
      </c>
      <c r="F90" s="81" t="s">
        <v>10</v>
      </c>
      <c r="G90" s="81"/>
      <c r="H90" s="81"/>
      <c r="I90" s="81"/>
      <c r="J90" s="82">
        <v>46113</v>
      </c>
      <c r="K90" s="25"/>
      <c r="L90" s="10"/>
      <c r="M90" s="10"/>
      <c r="N90" s="10"/>
      <c r="O90" s="10"/>
      <c r="S90" s="12"/>
      <c r="W90" s="25"/>
      <c r="X90" s="25"/>
    </row>
    <row r="91" spans="1:24" s="16" customFormat="1" ht="16.5" thickBot="1">
      <c r="C91" s="48" t="s">
        <v>11</v>
      </c>
      <c r="D91" s="15" t="s">
        <v>12</v>
      </c>
      <c r="E91" s="14" t="s">
        <v>13</v>
      </c>
      <c r="F91" s="13" t="s">
        <v>14</v>
      </c>
      <c r="G91" s="12" t="s">
        <v>15</v>
      </c>
      <c r="H91" s="12"/>
      <c r="I91" s="12"/>
      <c r="J91" s="11" t="s">
        <v>16</v>
      </c>
      <c r="K91" s="11" t="s">
        <v>17</v>
      </c>
      <c r="S91" s="31"/>
      <c r="W91" s="25"/>
      <c r="X91" s="83"/>
    </row>
    <row r="92" spans="1:24" s="16" customFormat="1" ht="16.5" thickBot="1">
      <c r="D92" s="351" t="s">
        <v>18</v>
      </c>
      <c r="E92" s="352">
        <f>SUBTOTAL(9,E93:E95)</f>
        <v>17522648</v>
      </c>
      <c r="K92" s="25"/>
    </row>
    <row r="93" spans="1:24" s="16" customFormat="1" outlineLevel="1">
      <c r="A93" s="16" t="str">
        <f>G93</f>
        <v>Sin Pagar</v>
      </c>
      <c r="B93" s="16">
        <f>IF(I93&lt;=-1,1,IF(I93&lt;=5,2,IF(I93&lt;=15,3,IF(H93&lt;=60,4))))</f>
        <v>3</v>
      </c>
      <c r="C93" s="24"/>
      <c r="D93" s="347" t="s">
        <v>93</v>
      </c>
      <c r="E93" s="350">
        <v>4360000</v>
      </c>
      <c r="F93" s="7">
        <v>46126</v>
      </c>
      <c r="G93" s="16" t="s">
        <v>5</v>
      </c>
      <c r="H93" s="16">
        <f>IF(OR(G93="Sin pagar",G93="Pagar"),NETWORKDAYS($J$90,F93,'Festivos Colombia'!$A$3:$A$22),0)</f>
        <v>8</v>
      </c>
      <c r="I93" s="16">
        <f>NETWORKDAYS($J$90,F93,'Festivos Colombia'!$A$3:$A$22)</f>
        <v>8</v>
      </c>
      <c r="J93" s="46">
        <f>H93</f>
        <v>8</v>
      </c>
      <c r="K93" s="25"/>
      <c r="L93" s="25"/>
      <c r="M93" s="41"/>
    </row>
    <row r="94" spans="1:24" s="16" customFormat="1" outlineLevel="1">
      <c r="A94" s="16" t="str">
        <f>G94</f>
        <v>Sin Pagar</v>
      </c>
      <c r="B94" s="16">
        <f>IF(I94&lt;=-1,1,IF(I94&lt;=5,2,IF(I94&lt;=15,3,IF(H94&lt;=60,4))))</f>
        <v>3</v>
      </c>
      <c r="C94" s="24"/>
      <c r="D94" s="347" t="s">
        <v>19</v>
      </c>
      <c r="E94" s="350">
        <v>9500000</v>
      </c>
      <c r="F94" s="7">
        <v>46126</v>
      </c>
      <c r="G94" s="16" t="s">
        <v>5</v>
      </c>
      <c r="H94" s="16">
        <f>IF(OR(G94="Sin pagar",G94="Pagar"),NETWORKDAYS($J$90,F94,'Festivos Colombia'!$A$3:$A$22),0)</f>
        <v>8</v>
      </c>
      <c r="I94" s="16">
        <f>NETWORKDAYS($J$90,F94,'Festivos Colombia'!$A$3:$A$22)</f>
        <v>8</v>
      </c>
      <c r="J94" s="46">
        <f t="shared" ref="J94" si="0">H94</f>
        <v>8</v>
      </c>
      <c r="K94" s="25"/>
      <c r="L94" s="25"/>
      <c r="M94" s="41"/>
    </row>
    <row r="95" spans="1:24" s="16" customFormat="1" ht="15.75" outlineLevel="1" thickBot="1">
      <c r="A95" s="16" t="str">
        <f>G95</f>
        <v>Sin Pagar</v>
      </c>
      <c r="B95" s="16">
        <f>IF(I95&lt;=-1,1,IF(I95&lt;=5,2,IF(I95&lt;=15,3,IF(H95&lt;=60,4))))</f>
        <v>4</v>
      </c>
      <c r="C95" s="24"/>
      <c r="D95" s="347" t="s">
        <v>93</v>
      </c>
      <c r="E95" s="350">
        <v>3662648</v>
      </c>
      <c r="F95" s="7">
        <v>46142</v>
      </c>
      <c r="G95" s="16" t="s">
        <v>5</v>
      </c>
      <c r="H95" s="16">
        <f>IF(OR(G95="Sin pagar",G95="Pagar"),NETWORKDAYS($J$90,F95,'Festivos Colombia'!$A$3:$A$22),0)</f>
        <v>20</v>
      </c>
      <c r="I95" s="16">
        <f>NETWORKDAYS($J$90,F95,'Festivos Colombia'!$A$3:$A$22)</f>
        <v>20</v>
      </c>
      <c r="J95" s="46">
        <f>H95</f>
        <v>20</v>
      </c>
      <c r="K95" s="25"/>
      <c r="L95" s="25"/>
      <c r="M95" s="41"/>
    </row>
    <row r="96" spans="1:24" s="16" customFormat="1" ht="16.5" thickBot="1">
      <c r="C96" s="24"/>
      <c r="D96" s="351" t="s">
        <v>21</v>
      </c>
      <c r="E96" s="352">
        <f>SUBTOTAL(9,E97:E97)</f>
        <v>530117800</v>
      </c>
      <c r="F96" s="7"/>
      <c r="J96" s="29"/>
    </row>
    <row r="97" spans="1:21" s="16" customFormat="1" ht="15.75" outlineLevel="1" thickBot="1">
      <c r="A97" s="16" t="str">
        <f>G97</f>
        <v>Sin Pagar</v>
      </c>
      <c r="B97" s="16">
        <f>IF(I97&lt;=-1,1,IF(I97&lt;=5,2,IF(I97&lt;=15,3,IF(H97&lt;=60,4))))</f>
        <v>3</v>
      </c>
      <c r="C97" s="105">
        <v>176206200</v>
      </c>
      <c r="D97" s="95" t="s">
        <v>22</v>
      </c>
      <c r="E97" s="508">
        <v>530117800</v>
      </c>
      <c r="F97" s="7">
        <v>46127</v>
      </c>
      <c r="G97" s="16" t="s">
        <v>5</v>
      </c>
      <c r="H97" s="16">
        <f>IF(OR(G97="Sin pagar",G97="Pagar"),NETWORKDAYS($J$90,F97,'Festivos Colombia'!$A$3:$A$22),0)</f>
        <v>9</v>
      </c>
      <c r="I97" s="16">
        <f>NETWORKDAYS($J$90,F97,'Festivos Colombia'!$A$3:$A$22)</f>
        <v>9</v>
      </c>
      <c r="J97" s="46">
        <f t="shared" ref="J97" si="1">H97</f>
        <v>9</v>
      </c>
      <c r="K97" s="8"/>
      <c r="L97" s="25"/>
      <c r="M97" s="25"/>
    </row>
    <row r="98" spans="1:21" s="16" customFormat="1" ht="16.5" thickBot="1">
      <c r="C98" s="24"/>
      <c r="D98" s="351" t="s">
        <v>23</v>
      </c>
      <c r="E98" s="352">
        <f>SUBTOTAL(9,E99:E101)</f>
        <v>14755460</v>
      </c>
      <c r="K98" s="34"/>
      <c r="L98" s="25"/>
    </row>
    <row r="99" spans="1:21" s="16" customFormat="1" outlineLevel="1">
      <c r="A99" s="16" t="str">
        <f t="shared" ref="A99:A101" si="2">G99</f>
        <v>Sin Pagar</v>
      </c>
      <c r="B99" s="16">
        <f t="shared" ref="B99:B101" si="3">IF(I99&lt;=-1,1,IF(I99&lt;=5,2,IF(I99&lt;=15,3,IF(H99&lt;=60,4))))</f>
        <v>4</v>
      </c>
      <c r="C99" s="24"/>
      <c r="D99" s="9" t="s">
        <v>101</v>
      </c>
      <c r="E99" s="8">
        <v>1000000</v>
      </c>
      <c r="F99" s="7">
        <v>46142</v>
      </c>
      <c r="G99" s="16" t="s">
        <v>5</v>
      </c>
      <c r="H99" s="16">
        <f>IF(OR(G99="Sin pagar",G99="Pagar"),NETWORKDAYS($J$90,F99,'Festivos Colombia'!$A$3:$A$22),0)</f>
        <v>20</v>
      </c>
      <c r="I99" s="16">
        <f>NETWORKDAYS($J$90,F99,'Festivos Colombia'!$A$3:$A$22)</f>
        <v>20</v>
      </c>
      <c r="J99" s="46">
        <f t="shared" ref="J99:J105" si="4">H99</f>
        <v>20</v>
      </c>
      <c r="K99" s="25"/>
      <c r="L99" s="25"/>
    </row>
    <row r="100" spans="1:21" s="16" customFormat="1" outlineLevel="1">
      <c r="A100" s="16" t="str">
        <f t="shared" si="2"/>
        <v>Sin Pagar</v>
      </c>
      <c r="B100" s="16">
        <f t="shared" si="3"/>
        <v>4</v>
      </c>
      <c r="C100" s="24"/>
      <c r="D100" s="9" t="s">
        <v>24</v>
      </c>
      <c r="E100" s="8">
        <f>7600000+4000000</f>
        <v>11600000</v>
      </c>
      <c r="F100" s="7">
        <v>46142</v>
      </c>
      <c r="G100" s="16" t="s">
        <v>5</v>
      </c>
      <c r="H100" s="16">
        <f>IF(OR(G100="Sin pagar",G100="Pagar"),NETWORKDAYS($J$90,F100,'Festivos Colombia'!$A$3:$A$22),0)</f>
        <v>20</v>
      </c>
      <c r="I100" s="16">
        <f>NETWORKDAYS($J$90,F100,'Festivos Colombia'!$A$3:$A$22)</f>
        <v>20</v>
      </c>
      <c r="J100" s="46">
        <f t="shared" si="4"/>
        <v>20</v>
      </c>
      <c r="L100" s="25"/>
      <c r="M100" s="25"/>
    </row>
    <row r="101" spans="1:21" s="16" customFormat="1" ht="15.75" outlineLevel="1" thickBot="1">
      <c r="A101" s="16" t="str">
        <f t="shared" si="2"/>
        <v>Sin Pagar</v>
      </c>
      <c r="B101" s="16">
        <f t="shared" si="3"/>
        <v>4</v>
      </c>
      <c r="C101" s="24"/>
      <c r="D101" s="9" t="s">
        <v>102</v>
      </c>
      <c r="E101" s="8">
        <v>2155460</v>
      </c>
      <c r="F101" s="7">
        <v>46142</v>
      </c>
      <c r="G101" s="16" t="s">
        <v>5</v>
      </c>
      <c r="H101" s="16">
        <f>IF(OR(G101="Sin pagar",G101="Pagar"),NETWORKDAYS($J$90,F101,'Festivos Colombia'!$A$3:$A$22),0)</f>
        <v>20</v>
      </c>
      <c r="I101" s="16">
        <f>NETWORKDAYS($J$90,F101,'Festivos Colombia'!$A$3:$A$22)</f>
        <v>20</v>
      </c>
      <c r="J101" s="46">
        <f t="shared" si="4"/>
        <v>20</v>
      </c>
      <c r="K101" s="25"/>
      <c r="L101" s="25"/>
      <c r="M101" s="25"/>
    </row>
    <row r="102" spans="1:21" s="16" customFormat="1" ht="16.5" thickBot="1">
      <c r="C102" s="24"/>
      <c r="D102" s="351" t="s">
        <v>26</v>
      </c>
      <c r="E102" s="352">
        <f>SUBTOTAL(9,E103:E103)</f>
        <v>239676790</v>
      </c>
      <c r="J102" s="29">
        <f t="shared" si="4"/>
        <v>0</v>
      </c>
      <c r="K102" s="25"/>
      <c r="L102" s="25"/>
    </row>
    <row r="103" spans="1:21" s="16" customFormat="1" ht="15.75" outlineLevel="1" thickBot="1">
      <c r="A103" s="16" t="str">
        <f>G103</f>
        <v>Sin Pagar</v>
      </c>
      <c r="B103" s="16">
        <f>IF(I103&lt;=-1,1,IF(I103&lt;=5,2,IF(I103&lt;=15,3,IF(H103&lt;=60,4))))</f>
        <v>3</v>
      </c>
      <c r="C103" s="60"/>
      <c r="D103" s="9" t="s">
        <v>28</v>
      </c>
      <c r="E103" s="8">
        <v>239676790</v>
      </c>
      <c r="F103" s="353">
        <v>46132</v>
      </c>
      <c r="G103" s="16" t="s">
        <v>5</v>
      </c>
      <c r="H103" s="16">
        <f>IF(OR(G103="Sin pagar",G103="Pagar"),NETWORKDAYS($J$90,F103,'Festivos Colombia'!$A$3:$A$22),0)</f>
        <v>12</v>
      </c>
      <c r="I103" s="16">
        <f>NETWORKDAYS($J$90,F103,'Festivos Colombia'!$A$3:$A$22)</f>
        <v>12</v>
      </c>
      <c r="J103" s="46">
        <f>H103</f>
        <v>12</v>
      </c>
      <c r="K103" s="8"/>
      <c r="L103" s="41"/>
      <c r="M103" s="236"/>
    </row>
    <row r="104" spans="1:21" s="16" customFormat="1" ht="16.5" thickBot="1">
      <c r="C104" s="24"/>
      <c r="D104" s="351" t="s">
        <v>31</v>
      </c>
      <c r="E104" s="352">
        <f>SUBTOTAL(9,E105:E115)</f>
        <v>5605155.3600000003</v>
      </c>
      <c r="J104" s="29">
        <f t="shared" si="4"/>
        <v>0</v>
      </c>
      <c r="K104" s="34"/>
      <c r="L104" s="25"/>
      <c r="M104" s="25"/>
    </row>
    <row r="105" spans="1:21" s="16" customFormat="1" ht="14.25" customHeight="1" outlineLevel="1">
      <c r="A105" s="16" t="str">
        <f t="shared" ref="A105" si="5">G105</f>
        <v>Sin Pagar</v>
      </c>
      <c r="B105" s="16">
        <f t="shared" ref="B105" si="6">IF(I105&lt;=-1,1,IF(I105&lt;=5,2,IF(I105&lt;=15,3,IF(H105&lt;=60,4))))</f>
        <v>3</v>
      </c>
      <c r="C105" s="423" t="s">
        <v>1104</v>
      </c>
      <c r="D105" s="9" t="s">
        <v>1105</v>
      </c>
      <c r="E105" s="350">
        <f>1244113.7</f>
        <v>1244113.7</v>
      </c>
      <c r="F105" s="353">
        <v>46122</v>
      </c>
      <c r="G105" s="16" t="s">
        <v>5</v>
      </c>
      <c r="H105" s="16">
        <f>IF(OR(G105="Sin pagar",G105="Pagar"),NETWORKDAYS($J$90,F105,'Festivos Colombia'!$A$3:$A$22),0)</f>
        <v>6</v>
      </c>
      <c r="I105" s="16">
        <f>NETWORKDAYS($J$90,F105,'Festivos Colombia'!$A$3:$A$22)</f>
        <v>6</v>
      </c>
      <c r="J105" s="46">
        <f t="shared" si="4"/>
        <v>6</v>
      </c>
      <c r="K105" s="58" t="s">
        <v>44</v>
      </c>
      <c r="S105" s="27"/>
    </row>
    <row r="106" spans="1:21" s="16" customFormat="1" outlineLevel="1">
      <c r="A106" s="16" t="str">
        <f t="shared" ref="A106:A107" si="7">G106</f>
        <v>Sin Pagar</v>
      </c>
      <c r="B106" s="16">
        <f t="shared" ref="B106:B107" si="8">IF(I106&lt;=-1,1,IF(I106&lt;=5,2,IF(I106&lt;=15,3,IF(H106&lt;=60,4))))</f>
        <v>3</v>
      </c>
      <c r="C106" s="24" t="s">
        <v>1632</v>
      </c>
      <c r="D106" s="9" t="s">
        <v>32</v>
      </c>
      <c r="E106" s="8">
        <f>358066.76</f>
        <v>358066.76</v>
      </c>
      <c r="F106" s="353">
        <v>46122</v>
      </c>
      <c r="G106" s="16" t="s">
        <v>5</v>
      </c>
      <c r="H106" s="16">
        <f>IF(OR(G106="Sin pagar",G106="Pagar"),NETWORKDAYS($J$90,F106,'Festivos Colombia'!$A$3:$A$22),0)</f>
        <v>6</v>
      </c>
      <c r="I106" s="16">
        <f>NETWORKDAYS($J$90,F106,'Festivos Colombia'!$A$3:$A$22)</f>
        <v>6</v>
      </c>
      <c r="J106" s="46">
        <f t="shared" ref="J106:J107" si="9">H106</f>
        <v>6</v>
      </c>
      <c r="K106" s="58"/>
      <c r="L106" s="25"/>
    </row>
    <row r="107" spans="1:21" s="16" customFormat="1" outlineLevel="1">
      <c r="A107" s="16" t="str">
        <f t="shared" si="7"/>
        <v>Sin Pagar</v>
      </c>
      <c r="B107" s="16">
        <f t="shared" si="8"/>
        <v>3</v>
      </c>
      <c r="C107" s="24">
        <v>28184</v>
      </c>
      <c r="D107" s="9" t="s">
        <v>610</v>
      </c>
      <c r="E107" s="8">
        <f>634400</f>
        <v>634400</v>
      </c>
      <c r="F107" s="353">
        <v>46122</v>
      </c>
      <c r="G107" s="16" t="s">
        <v>5</v>
      </c>
      <c r="H107" s="16">
        <f>IF(OR(G107="Sin pagar",G107="Pagar"),NETWORKDAYS($J$90,F107,'Festivos Colombia'!$A$3:$A$22),0)</f>
        <v>6</v>
      </c>
      <c r="I107" s="16">
        <f>NETWORKDAYS($J$90,F107,'Festivos Colombia'!$A$3:$A$22)</f>
        <v>6</v>
      </c>
      <c r="J107" s="46">
        <f t="shared" si="9"/>
        <v>6</v>
      </c>
      <c r="K107" s="58"/>
      <c r="S107" s="27"/>
    </row>
    <row r="108" spans="1:21" s="16" customFormat="1" outlineLevel="1">
      <c r="A108" s="16" t="str">
        <f>G108</f>
        <v>Sin Pagar</v>
      </c>
      <c r="B108" s="16">
        <f>IF(I108&lt;=-1,1,IF(I108&lt;=5,2,IF(I108&lt;=15,3,IF(H108&lt;=60,4))))</f>
        <v>3</v>
      </c>
      <c r="C108" s="234" t="s">
        <v>1633</v>
      </c>
      <c r="D108" s="9" t="s">
        <v>33</v>
      </c>
      <c r="E108" s="8">
        <f>362715</f>
        <v>362715</v>
      </c>
      <c r="F108" s="353">
        <v>46123</v>
      </c>
      <c r="G108" s="16" t="s">
        <v>5</v>
      </c>
      <c r="H108" s="16">
        <f>IF(OR(G108="Sin pagar",G108="Pagar"),NETWORKDAYS($J$90,F108,'Festivos Colombia'!$A$3:$A$22),0)</f>
        <v>6</v>
      </c>
      <c r="I108" s="16">
        <f>NETWORKDAYS($J$90,F108,'Festivos Colombia'!$A$3:$A$22)</f>
        <v>6</v>
      </c>
      <c r="J108" s="46">
        <f>H108</f>
        <v>6</v>
      </c>
      <c r="K108" s="58"/>
      <c r="L108" s="14"/>
      <c r="M108" s="8"/>
    </row>
    <row r="109" spans="1:21" s="16" customFormat="1" outlineLevel="1">
      <c r="A109" s="16" t="str">
        <f t="shared" ref="A109" si="10">G109</f>
        <v>Sin Pagar</v>
      </c>
      <c r="B109" s="16">
        <f t="shared" ref="B109" si="11">IF(I109&lt;=-1,1,IF(I109&lt;=5,2,IF(I109&lt;=15,3,IF(H109&lt;=60,4))))</f>
        <v>3</v>
      </c>
      <c r="C109" s="234" t="s">
        <v>1627</v>
      </c>
      <c r="D109" s="9" t="s">
        <v>1628</v>
      </c>
      <c r="E109" s="8">
        <f>110900</f>
        <v>110900</v>
      </c>
      <c r="F109" s="353">
        <v>46129</v>
      </c>
      <c r="G109" s="16" t="s">
        <v>5</v>
      </c>
      <c r="H109" s="16">
        <f>IF(OR(G109="Sin pagar",G109="Pagar"),NETWORKDAYS($J$90,F109,'Festivos Colombia'!$A$3:$A$22),0)</f>
        <v>11</v>
      </c>
      <c r="I109" s="16">
        <f>NETWORKDAYS($J$90,F109,'Festivos Colombia'!$A$3:$A$22)</f>
        <v>11</v>
      </c>
      <c r="J109" s="46">
        <f t="shared" ref="J109" si="12">H109</f>
        <v>11</v>
      </c>
      <c r="K109" s="58"/>
      <c r="L109" s="14"/>
      <c r="M109" s="8"/>
    </row>
    <row r="110" spans="1:21" s="16" customFormat="1" outlineLevel="1">
      <c r="A110" s="16" t="str">
        <f t="shared" ref="A110:A115" si="13">G110</f>
        <v>Sin Pagar</v>
      </c>
      <c r="B110" s="16">
        <f t="shared" ref="B110:B115" si="14">IF(I110&lt;=-1,1,IF(I110&lt;=5,2,IF(I110&lt;=15,3,IF(H110&lt;=60,4))))</f>
        <v>3</v>
      </c>
      <c r="C110" s="56">
        <v>64</v>
      </c>
      <c r="D110" s="9" t="s">
        <v>34</v>
      </c>
      <c r="E110" s="350">
        <v>180000</v>
      </c>
      <c r="F110" s="353">
        <v>46129</v>
      </c>
      <c r="G110" s="16" t="s">
        <v>5</v>
      </c>
      <c r="H110" s="16">
        <f>IF(OR(G110="Sin pagar",G110="Pagar"),NETWORKDAYS($J$90,F110,'Festivos Colombia'!$A$3:$A$22),0)</f>
        <v>11</v>
      </c>
      <c r="I110" s="16">
        <f>NETWORKDAYS($J$90,F110,'Festivos Colombia'!$A$3:$A$22)</f>
        <v>11</v>
      </c>
      <c r="J110" s="46">
        <f t="shared" ref="J110:J115" si="15">H110</f>
        <v>11</v>
      </c>
      <c r="K110" s="58" t="s">
        <v>44</v>
      </c>
      <c r="L110" s="27"/>
      <c r="M110" s="27"/>
      <c r="N110" s="27"/>
      <c r="O110" s="27"/>
      <c r="T110" s="27"/>
      <c r="U110" s="27"/>
    </row>
    <row r="111" spans="1:21" s="16" customFormat="1" outlineLevel="1">
      <c r="A111" s="16" t="str">
        <f t="shared" si="13"/>
        <v>Sin Pagar</v>
      </c>
      <c r="B111" s="16">
        <f t="shared" si="14"/>
        <v>3</v>
      </c>
      <c r="C111" s="198" t="s">
        <v>1537</v>
      </c>
      <c r="D111" s="9" t="s">
        <v>35</v>
      </c>
      <c r="E111" s="350">
        <v>1504416</v>
      </c>
      <c r="F111" s="353">
        <v>46129</v>
      </c>
      <c r="G111" s="16" t="s">
        <v>5</v>
      </c>
      <c r="H111" s="16">
        <f>IF(OR(G111="Sin pagar",G111="Pagar"),NETWORKDAYS($J$90,F111,'Festivos Colombia'!$A$3:$A$22),0)</f>
        <v>11</v>
      </c>
      <c r="I111" s="16">
        <f>NETWORKDAYS($J$90,F111,'Festivos Colombia'!$A$3:$A$22)</f>
        <v>11</v>
      </c>
      <c r="J111" s="46">
        <f t="shared" si="15"/>
        <v>11</v>
      </c>
      <c r="K111" s="58" t="s">
        <v>44</v>
      </c>
      <c r="S111" s="27"/>
    </row>
    <row r="112" spans="1:21" s="16" customFormat="1" outlineLevel="1">
      <c r="A112" s="16" t="str">
        <f t="shared" si="13"/>
        <v>Sin Pagar</v>
      </c>
      <c r="B112" s="16">
        <f t="shared" si="14"/>
        <v>3</v>
      </c>
      <c r="C112" s="56">
        <v>6038761603</v>
      </c>
      <c r="D112" s="9" t="s">
        <v>1392</v>
      </c>
      <c r="E112" s="350">
        <v>810543.9</v>
      </c>
      <c r="F112" s="353">
        <v>46129</v>
      </c>
      <c r="G112" s="16" t="s">
        <v>5</v>
      </c>
      <c r="H112" s="16">
        <f>IF(OR(G112="Sin pagar",G112="Pagar"),NETWORKDAYS($J$90,F112,'Festivos Colombia'!$A$3:$A$22),0)</f>
        <v>11</v>
      </c>
      <c r="I112" s="16">
        <f>NETWORKDAYS($J$90,F112,'Festivos Colombia'!$A$3:$A$22)</f>
        <v>11</v>
      </c>
      <c r="J112" s="46">
        <f t="shared" si="15"/>
        <v>11</v>
      </c>
      <c r="K112" s="58" t="s">
        <v>44</v>
      </c>
      <c r="L112" s="27"/>
      <c r="M112" s="27"/>
      <c r="N112" s="27"/>
      <c r="O112" s="27"/>
      <c r="T112" s="27"/>
      <c r="U112" s="27"/>
    </row>
    <row r="113" spans="1:21" s="16" customFormat="1" outlineLevel="1">
      <c r="A113" s="16" t="str">
        <f t="shared" si="13"/>
        <v>Sin Pagar</v>
      </c>
      <c r="B113" s="16">
        <f t="shared" si="14"/>
        <v>4</v>
      </c>
      <c r="C113" s="785">
        <v>2</v>
      </c>
      <c r="D113" s="9" t="s">
        <v>1538</v>
      </c>
      <c r="E113" s="350">
        <v>300000</v>
      </c>
      <c r="F113" s="353">
        <v>46142</v>
      </c>
      <c r="G113" s="16" t="s">
        <v>5</v>
      </c>
      <c r="H113" s="16">
        <f>IF(OR(G113="Sin pagar",G113="Pagar"),NETWORKDAYS($J$90,F113,'Festivos Colombia'!$A$3:$A$22),0)</f>
        <v>20</v>
      </c>
      <c r="I113" s="16">
        <f>NETWORKDAYS($J$90,F113,'Festivos Colombia'!$A$3:$A$22)</f>
        <v>20</v>
      </c>
      <c r="J113" s="46">
        <f t="shared" si="15"/>
        <v>20</v>
      </c>
      <c r="K113" s="58" t="s">
        <v>44</v>
      </c>
      <c r="L113" s="27"/>
      <c r="M113" s="27"/>
      <c r="N113" s="27"/>
      <c r="O113" s="27"/>
      <c r="T113" s="27"/>
      <c r="U113" s="27"/>
    </row>
    <row r="114" spans="1:21" s="16" customFormat="1" ht="14.25" customHeight="1" outlineLevel="1">
      <c r="A114" s="16" t="str">
        <f t="shared" si="13"/>
        <v>Sin Pagar</v>
      </c>
      <c r="B114" s="16">
        <f t="shared" si="14"/>
        <v>4</v>
      </c>
      <c r="C114" s="767" t="s">
        <v>1616</v>
      </c>
      <c r="D114" s="9" t="s">
        <v>1352</v>
      </c>
      <c r="E114" s="350">
        <v>100000</v>
      </c>
      <c r="F114" s="353">
        <v>46142</v>
      </c>
      <c r="G114" s="16" t="s">
        <v>5</v>
      </c>
      <c r="H114" s="16">
        <f>IF(OR(G114="Sin pagar",G114="Pagar"),NETWORKDAYS($J$90,F114,'Festivos Colombia'!$A$3:$A$22),0)</f>
        <v>20</v>
      </c>
      <c r="I114" s="16">
        <f>NETWORKDAYS($J$90,F114,'Festivos Colombia'!$A$3:$A$22)</f>
        <v>20</v>
      </c>
      <c r="J114" s="46">
        <f t="shared" si="15"/>
        <v>20</v>
      </c>
      <c r="K114" s="58" t="s">
        <v>44</v>
      </c>
      <c r="S114" s="27"/>
    </row>
    <row r="115" spans="1:21" s="16" customFormat="1" ht="14.25" customHeight="1" outlineLevel="1" thickBot="1">
      <c r="A115" s="16" t="str">
        <f t="shared" si="13"/>
        <v>Cancelado</v>
      </c>
      <c r="B115" s="16">
        <f t="shared" si="14"/>
        <v>2</v>
      </c>
      <c r="C115" s="771" t="s">
        <v>1646</v>
      </c>
      <c r="D115" s="9" t="s">
        <v>1647</v>
      </c>
      <c r="E115" s="350">
        <f>252011.48*0</f>
        <v>0</v>
      </c>
      <c r="F115" s="353">
        <v>46118</v>
      </c>
      <c r="G115" s="16" t="s">
        <v>20</v>
      </c>
      <c r="H115" s="16">
        <f>IF(OR(G115="Sin pagar",G115="Pagar"),NETWORKDAYS($J$90,F115,'Festivos Colombia'!$A$3:$A$22),0)</f>
        <v>0</v>
      </c>
      <c r="I115" s="16">
        <f>NETWORKDAYS($J$90,F115,'Festivos Colombia'!$A$3:$A$22)</f>
        <v>2</v>
      </c>
      <c r="J115" s="46">
        <f t="shared" si="15"/>
        <v>0</v>
      </c>
      <c r="K115" s="58"/>
      <c r="S115" s="27"/>
    </row>
    <row r="116" spans="1:21" s="16" customFormat="1" ht="16.5" thickBot="1">
      <c r="D116" s="351" t="s">
        <v>39</v>
      </c>
      <c r="E116" s="352">
        <f>SUBTOTAL(9,E117:E118)</f>
        <v>1868879</v>
      </c>
      <c r="J116" s="46"/>
      <c r="L116" s="27"/>
      <c r="M116" s="27"/>
      <c r="N116" s="27"/>
      <c r="O116" s="27"/>
      <c r="T116" s="27"/>
      <c r="U116" s="27"/>
    </row>
    <row r="117" spans="1:21" s="16" customFormat="1" ht="14.25" customHeight="1" outlineLevel="1">
      <c r="A117" s="16" t="str">
        <f>G117</f>
        <v>Sin Pagar</v>
      </c>
      <c r="B117" s="16">
        <f>IF(I117&lt;=-1,1,IF(I117&lt;=5,2,IF(I117&lt;=15,3,IF(H117&lt;=60,4))))</f>
        <v>4</v>
      </c>
      <c r="C117" s="56" t="s">
        <v>1600</v>
      </c>
      <c r="D117" s="9" t="s">
        <v>1085</v>
      </c>
      <c r="E117" s="8">
        <v>1064823</v>
      </c>
      <c r="F117" s="7">
        <v>46139</v>
      </c>
      <c r="G117" s="16" t="s">
        <v>5</v>
      </c>
      <c r="H117" s="16">
        <f>IF(OR(G117="Sin pagar",G117="Pagar"),NETWORKDAYS($J$90,F117,'Festivos Colombia'!$A$3:$A$22),0)</f>
        <v>17</v>
      </c>
      <c r="I117" s="16">
        <f>NETWORKDAYS($J$90,F117,'Festivos Colombia'!$A$3:$A$22)</f>
        <v>17</v>
      </c>
      <c r="J117" s="46">
        <f>H117</f>
        <v>17</v>
      </c>
      <c r="K117" s="58" t="s">
        <v>44</v>
      </c>
      <c r="L117" s="8"/>
    </row>
    <row r="118" spans="1:21" s="16" customFormat="1" ht="15.75" outlineLevel="1" thickBot="1">
      <c r="A118" s="16" t="str">
        <f>G118</f>
        <v>Sin Pagar</v>
      </c>
      <c r="B118" s="16">
        <f>IF(I118&lt;=-1,1,IF(I118&lt;=5,2,IF(I118&lt;=15,3,IF(H118&lt;=60,4))))</f>
        <v>4</v>
      </c>
      <c r="C118" s="684" t="s">
        <v>1138</v>
      </c>
      <c r="D118" s="9" t="s">
        <v>40</v>
      </c>
      <c r="E118" s="350">
        <f>804056</f>
        <v>804056</v>
      </c>
      <c r="F118" s="7">
        <v>46139</v>
      </c>
      <c r="G118" s="16" t="s">
        <v>5</v>
      </c>
      <c r="H118" s="16">
        <f>IF(OR(G118="Sin pagar",G118="Pagar"),NETWORKDAYS($J$90,F118,'Festivos Colombia'!$A$3:$A$22),0)</f>
        <v>17</v>
      </c>
      <c r="I118" s="16">
        <f>NETWORKDAYS($J$90,F118,'Festivos Colombia'!$A$3:$A$22)</f>
        <v>17</v>
      </c>
      <c r="J118" s="46">
        <f t="shared" ref="J118" si="16">H118</f>
        <v>17</v>
      </c>
      <c r="K118" s="58" t="s">
        <v>44</v>
      </c>
    </row>
    <row r="119" spans="1:21" s="27" customFormat="1" ht="16.5" thickBot="1">
      <c r="A119" s="16"/>
      <c r="B119" s="16"/>
      <c r="D119" s="351" t="s">
        <v>41</v>
      </c>
      <c r="E119" s="352">
        <f>SUBTOTAL(9,E120:E122)</f>
        <v>11348818</v>
      </c>
      <c r="J119" s="46"/>
      <c r="K119" s="16"/>
      <c r="L119" s="16"/>
      <c r="M119" s="16"/>
      <c r="N119" s="16"/>
      <c r="O119" s="16"/>
      <c r="S119" s="16"/>
      <c r="T119" s="16"/>
      <c r="U119" s="16"/>
    </row>
    <row r="120" spans="1:21" s="27" customFormat="1" outlineLevel="1">
      <c r="A120" s="16" t="str">
        <f t="shared" ref="A120:A122" si="17">G120</f>
        <v>Sin Pagar</v>
      </c>
      <c r="B120" s="16">
        <f t="shared" ref="B120:B122" si="18">IF(I120&lt;=-1,1,IF(I120&lt;=5,2,IF(I120&lt;=15,3,IF(H120&lt;=60,4))))</f>
        <v>3</v>
      </c>
      <c r="C120" s="802" t="s">
        <v>1773</v>
      </c>
      <c r="D120" s="9" t="s">
        <v>42</v>
      </c>
      <c r="E120" s="681">
        <v>726513</v>
      </c>
      <c r="F120" s="682">
        <v>46122</v>
      </c>
      <c r="G120" s="16" t="s">
        <v>5</v>
      </c>
      <c r="H120" s="16">
        <f>IF(OR(G120="Sin pagar",G120="Pagar"),NETWORKDAYS($J$90,F120,'Festivos Colombia'!$A$3:$A$22),0)</f>
        <v>6</v>
      </c>
      <c r="I120" s="16">
        <f>NETWORKDAYS($J$90,F120,'Festivos Colombia'!$A$3:$A$22)</f>
        <v>6</v>
      </c>
      <c r="J120" s="46">
        <f t="shared" ref="J120:J122" si="19">H120</f>
        <v>6</v>
      </c>
      <c r="K120" s="58"/>
      <c r="L120" s="16"/>
      <c r="M120" s="16"/>
      <c r="N120" s="25"/>
      <c r="O120" s="16"/>
      <c r="S120" s="16"/>
      <c r="T120" s="16"/>
      <c r="U120" s="16"/>
    </row>
    <row r="121" spans="1:21" s="27" customFormat="1" outlineLevel="1">
      <c r="A121" s="16" t="str">
        <f t="shared" si="17"/>
        <v>Sin Pagar</v>
      </c>
      <c r="B121" s="16">
        <f t="shared" si="18"/>
        <v>4</v>
      </c>
      <c r="C121" s="795" t="s">
        <v>1752</v>
      </c>
      <c r="D121" s="9" t="s">
        <v>42</v>
      </c>
      <c r="E121" s="681">
        <v>726513</v>
      </c>
      <c r="F121" s="682">
        <v>46142</v>
      </c>
      <c r="G121" s="16" t="s">
        <v>5</v>
      </c>
      <c r="H121" s="16">
        <f>IF(OR(G121="Sin pagar",G121="Pagar"),NETWORKDAYS($J$90,F121,'Festivos Colombia'!$A$3:$A$22),0)</f>
        <v>20</v>
      </c>
      <c r="I121" s="16">
        <f>NETWORKDAYS($J$90,F121,'Festivos Colombia'!$A$3:$A$22)</f>
        <v>20</v>
      </c>
      <c r="J121" s="46">
        <f t="shared" si="19"/>
        <v>20</v>
      </c>
      <c r="K121" s="58"/>
      <c r="L121" s="16"/>
      <c r="M121" s="16"/>
      <c r="N121" s="25"/>
      <c r="O121" s="16"/>
      <c r="S121" s="16"/>
      <c r="T121" s="16"/>
      <c r="U121" s="16"/>
    </row>
    <row r="122" spans="1:21" s="27" customFormat="1" ht="15.75" outlineLevel="1" thickBot="1">
      <c r="A122" s="16" t="str">
        <f t="shared" si="17"/>
        <v>Sin Pagar</v>
      </c>
      <c r="B122" s="16">
        <f t="shared" si="18"/>
        <v>4</v>
      </c>
      <c r="C122" s="768">
        <v>14126873</v>
      </c>
      <c r="D122" s="9" t="s">
        <v>43</v>
      </c>
      <c r="E122" s="350">
        <f>9895792</f>
        <v>9895792</v>
      </c>
      <c r="F122" s="682">
        <v>46142</v>
      </c>
      <c r="G122" s="16" t="s">
        <v>5</v>
      </c>
      <c r="H122" s="16">
        <f>IF(OR(G122="Sin pagar",G122="Pagar"),NETWORKDAYS($J$90,F122,'Festivos Colombia'!$A$3:$A$22),0)</f>
        <v>20</v>
      </c>
      <c r="I122" s="16">
        <f>NETWORKDAYS($J$90,F122,'Festivos Colombia'!$A$3:$A$22)</f>
        <v>20</v>
      </c>
      <c r="J122" s="46">
        <f t="shared" si="19"/>
        <v>20</v>
      </c>
      <c r="K122" s="58"/>
      <c r="L122" s="16"/>
      <c r="M122" s="16"/>
      <c r="N122" s="25"/>
      <c r="O122" s="16"/>
      <c r="S122" s="16"/>
      <c r="T122" s="16"/>
      <c r="U122" s="16"/>
    </row>
    <row r="123" spans="1:21" s="16" customFormat="1" ht="16.5" thickBot="1">
      <c r="D123" s="351" t="s">
        <v>45</v>
      </c>
      <c r="E123" s="352">
        <f>SUBTOTAL(9,E124:E129)</f>
        <v>670000</v>
      </c>
      <c r="J123" s="46"/>
      <c r="K123" s="50"/>
    </row>
    <row r="124" spans="1:21" s="16" customFormat="1" outlineLevel="1">
      <c r="A124" s="16" t="str">
        <f>G124</f>
        <v>Sin Pagar</v>
      </c>
      <c r="B124" s="16">
        <f>IF(I124&lt;=-1,1,IF(I124&lt;=5,2,IF(I124&lt;=15,3,IF(H124&lt;=60,4))))</f>
        <v>3</v>
      </c>
      <c r="C124" s="24">
        <v>23</v>
      </c>
      <c r="D124" s="9" t="s">
        <v>95</v>
      </c>
      <c r="E124" s="8">
        <v>89000</v>
      </c>
      <c r="F124" s="353">
        <v>46122</v>
      </c>
      <c r="G124" s="16" t="s">
        <v>5</v>
      </c>
      <c r="H124" s="16">
        <f>IF(OR(G124="Sin pagar",G124="Pagar"),NETWORKDAYS($J$90,F124,'Festivos Colombia'!$A$3:$A$22),0)</f>
        <v>6</v>
      </c>
      <c r="I124" s="16">
        <f>NETWORKDAYS($J$90,F124,'Festivos Colombia'!$A$3:$A$22)</f>
        <v>6</v>
      </c>
      <c r="J124" s="46">
        <f>H124</f>
        <v>6</v>
      </c>
      <c r="K124" s="58"/>
      <c r="L124" s="25"/>
    </row>
    <row r="125" spans="1:21" s="16" customFormat="1" outlineLevel="1">
      <c r="A125" s="16" t="str">
        <f t="shared" ref="A125:A129" si="20">G125</f>
        <v>Sin Pagar</v>
      </c>
      <c r="B125" s="16">
        <f t="shared" ref="B125:B129" si="21">IF(I125&lt;=-1,1,IF(I125&lt;=5,2,IF(I125&lt;=15,3,IF(H125&lt;=60,4))))</f>
        <v>3</v>
      </c>
      <c r="C125" s="28">
        <v>66</v>
      </c>
      <c r="D125" s="9" t="s">
        <v>46</v>
      </c>
      <c r="E125" s="8">
        <v>39000</v>
      </c>
      <c r="F125" s="353">
        <v>46122</v>
      </c>
      <c r="G125" s="16" t="s">
        <v>5</v>
      </c>
      <c r="H125" s="16">
        <f>IF(OR(G125="Sin pagar",G125="Pagar"),NETWORKDAYS($J$90,F125,'Festivos Colombia'!$A$3:$A$22),0)</f>
        <v>6</v>
      </c>
      <c r="I125" s="16">
        <f>NETWORKDAYS($J$90,F125,'Festivos Colombia'!$A$3:$A$22)</f>
        <v>6</v>
      </c>
      <c r="J125" s="46">
        <f t="shared" ref="J125:J126" si="22">H125</f>
        <v>6</v>
      </c>
      <c r="K125" s="58" t="s">
        <v>44</v>
      </c>
      <c r="L125" s="25"/>
    </row>
    <row r="126" spans="1:21" s="16" customFormat="1" outlineLevel="1">
      <c r="A126" s="16" t="str">
        <f t="shared" si="20"/>
        <v>Sin Pagar</v>
      </c>
      <c r="B126" s="16">
        <f t="shared" si="21"/>
        <v>3</v>
      </c>
      <c r="C126" s="28">
        <v>67</v>
      </c>
      <c r="D126" s="9" t="s">
        <v>46</v>
      </c>
      <c r="E126" s="8">
        <v>91000</v>
      </c>
      <c r="F126" s="715">
        <v>46129</v>
      </c>
      <c r="G126" s="16" t="s">
        <v>5</v>
      </c>
      <c r="H126" s="16">
        <f>IF(OR(G126="Sin pagar",G126="Pagar"),NETWORKDAYS($J$90,F126,'Festivos Colombia'!$A$3:$A$22),0)</f>
        <v>11</v>
      </c>
      <c r="I126" s="16">
        <f>NETWORKDAYS($J$90,F126,'Festivos Colombia'!$A$3:$A$22)</f>
        <v>11</v>
      </c>
      <c r="J126" s="46">
        <f t="shared" si="22"/>
        <v>11</v>
      </c>
      <c r="K126" s="58" t="s">
        <v>44</v>
      </c>
      <c r="L126" s="25"/>
    </row>
    <row r="127" spans="1:21" s="16" customFormat="1" outlineLevel="1">
      <c r="A127" s="16" t="str">
        <f>G127</f>
        <v>Sin Pagar</v>
      </c>
      <c r="B127" s="16">
        <f>IF(I127&lt;=-1,1,IF(I127&lt;=5,2,IF(I127&lt;=15,3,IF(H127&lt;=60,4))))</f>
        <v>3</v>
      </c>
      <c r="C127" s="28">
        <v>24</v>
      </c>
      <c r="D127" s="9" t="s">
        <v>95</v>
      </c>
      <c r="E127" s="8">
        <v>81000</v>
      </c>
      <c r="F127" s="715">
        <v>46129</v>
      </c>
      <c r="G127" s="16" t="s">
        <v>5</v>
      </c>
      <c r="H127" s="16">
        <f>IF(OR(G127="Sin pagar",G127="Pagar"),NETWORKDAYS($J$90,F127,'Festivos Colombia'!$A$3:$A$22),0)</f>
        <v>11</v>
      </c>
      <c r="I127" s="16">
        <f>NETWORKDAYS($J$90,F127,'Festivos Colombia'!$A$3:$A$22)</f>
        <v>11</v>
      </c>
      <c r="J127" s="46">
        <f>H127</f>
        <v>11</v>
      </c>
      <c r="K127" s="58" t="s">
        <v>44</v>
      </c>
      <c r="L127" s="25"/>
    </row>
    <row r="128" spans="1:21" s="16" customFormat="1" outlineLevel="1">
      <c r="A128" s="16" t="str">
        <f t="shared" si="20"/>
        <v>Sin Pagar</v>
      </c>
      <c r="B128" s="16">
        <f t="shared" si="21"/>
        <v>4</v>
      </c>
      <c r="C128" s="28">
        <v>68</v>
      </c>
      <c r="D128" s="9" t="s">
        <v>46</v>
      </c>
      <c r="E128" s="8">
        <v>69000</v>
      </c>
      <c r="F128" s="353">
        <v>46136</v>
      </c>
      <c r="G128" s="16" t="s">
        <v>5</v>
      </c>
      <c r="H128" s="16">
        <f>IF(OR(G128="Sin pagar",G128="Pagar"),NETWORKDAYS($J$90,F128,'Festivos Colombia'!$A$3:$A$22),0)</f>
        <v>16</v>
      </c>
      <c r="I128" s="16">
        <f>NETWORKDAYS($J$90,F128,'Festivos Colombia'!$A$3:$A$22)</f>
        <v>16</v>
      </c>
      <c r="J128" s="46">
        <f>H128</f>
        <v>16</v>
      </c>
      <c r="K128" s="58" t="s">
        <v>44</v>
      </c>
      <c r="L128" s="25"/>
    </row>
    <row r="129" spans="1:12" s="16" customFormat="1" ht="15.75" outlineLevel="1" thickBot="1">
      <c r="A129" s="16" t="str">
        <f t="shared" si="20"/>
        <v>Sin Pagar</v>
      </c>
      <c r="B129" s="16">
        <f t="shared" si="21"/>
        <v>4</v>
      </c>
      <c r="C129" s="28">
        <v>69</v>
      </c>
      <c r="D129" s="9" t="s">
        <v>46</v>
      </c>
      <c r="E129" s="8">
        <v>301000</v>
      </c>
      <c r="F129" s="7">
        <v>46142</v>
      </c>
      <c r="G129" s="16" t="s">
        <v>5</v>
      </c>
      <c r="H129" s="16">
        <f>IF(OR(G129="Sin pagar",G129="Pagar"),NETWORKDAYS($J$90,F129,'Festivos Colombia'!$A$3:$A$22),0)</f>
        <v>20</v>
      </c>
      <c r="I129" s="16">
        <f>NETWORKDAYS($J$90,F129,'Festivos Colombia'!$A$3:$A$22)</f>
        <v>20</v>
      </c>
      <c r="J129" s="46">
        <f>H129</f>
        <v>20</v>
      </c>
      <c r="K129" s="58" t="s">
        <v>44</v>
      </c>
      <c r="L129" s="25"/>
    </row>
    <row r="130" spans="1:12" s="16" customFormat="1" ht="15.75" customHeight="1" thickBot="1">
      <c r="C130" s="28"/>
      <c r="D130" s="354" t="s">
        <v>47</v>
      </c>
      <c r="E130" s="352">
        <f>SUBTOTAL(9,E131:E131)</f>
        <v>2500000</v>
      </c>
      <c r="J130" s="46"/>
      <c r="L130" s="25"/>
    </row>
    <row r="131" spans="1:12" s="16" customFormat="1" ht="15.75" outlineLevel="1" thickBot="1">
      <c r="C131" s="28"/>
      <c r="D131" s="780" t="s">
        <v>1719</v>
      </c>
      <c r="E131" s="508">
        <v>2500000</v>
      </c>
      <c r="F131" s="353">
        <v>46142</v>
      </c>
      <c r="G131" s="16" t="s">
        <v>5</v>
      </c>
      <c r="H131" s="16">
        <f>IF(OR(G131="Sin pagar",G131="Pagar"),NETWORKDAYS($J$90,F131,'Festivos Colombia'!$A$3:$A$22),0)</f>
        <v>20</v>
      </c>
      <c r="I131" s="16">
        <f>NETWORKDAYS($J$90,F131,'Festivos Colombia'!$A$3:$A$22)</f>
        <v>20</v>
      </c>
      <c r="J131" s="46">
        <f>H131</f>
        <v>20</v>
      </c>
      <c r="K131" s="58" t="s">
        <v>44</v>
      </c>
      <c r="L131" s="25"/>
    </row>
    <row r="132" spans="1:12" s="16" customFormat="1" ht="16.5" thickBot="1">
      <c r="C132" s="24"/>
      <c r="D132" s="351" t="s">
        <v>104</v>
      </c>
      <c r="E132" s="352">
        <f>SUBTOTAL(9,E133:E133)</f>
        <v>3800000</v>
      </c>
      <c r="J132" s="46"/>
      <c r="K132" s="25"/>
    </row>
    <row r="133" spans="1:12" s="16" customFormat="1" ht="15.75" outlineLevel="1" thickBot="1">
      <c r="C133" s="28"/>
      <c r="D133" s="9" t="s">
        <v>1390</v>
      </c>
      <c r="E133" s="508">
        <v>3800000</v>
      </c>
      <c r="F133" s="353">
        <v>46142</v>
      </c>
      <c r="G133" s="16" t="s">
        <v>5</v>
      </c>
      <c r="H133" s="16">
        <f>IF(OR(G133="Sin pagar",G133="Pagar"),NETWORKDAYS($J$90,F133,'Festivos Colombia'!$A$3:$A$22),0)</f>
        <v>20</v>
      </c>
      <c r="I133" s="16">
        <f>NETWORKDAYS($J$90,F133,'Festivos Colombia'!$A$3:$A$22)</f>
        <v>20</v>
      </c>
      <c r="J133" s="46">
        <f>H133</f>
        <v>20</v>
      </c>
      <c r="K133" s="58" t="s">
        <v>44</v>
      </c>
      <c r="L133" s="25"/>
    </row>
    <row r="134" spans="1:12" s="16" customFormat="1" ht="16.5" thickBot="1">
      <c r="C134" s="24"/>
      <c r="D134" s="351" t="s">
        <v>1008</v>
      </c>
      <c r="E134" s="352">
        <f>SUBTOTAL(9,E135:E136)</f>
        <v>7000000</v>
      </c>
      <c r="J134" s="46"/>
    </row>
    <row r="135" spans="1:12" s="16" customFormat="1" outlineLevel="1">
      <c r="C135" s="28"/>
      <c r="D135" s="9" t="s">
        <v>1720</v>
      </c>
      <c r="E135" s="508">
        <v>3500000</v>
      </c>
      <c r="F135" s="353">
        <v>46142</v>
      </c>
      <c r="G135" s="16" t="s">
        <v>5</v>
      </c>
      <c r="H135" s="16">
        <f>IF(OR(G135="Sin pagar",G135="Pagar"),NETWORKDAYS($J$90,F135,'Festivos Colombia'!$A$3:$A$22),0)</f>
        <v>20</v>
      </c>
      <c r="I135" s="16">
        <f>NETWORKDAYS($J$90,F135,'Festivos Colombia'!$A$3:$A$22)</f>
        <v>20</v>
      </c>
      <c r="J135" s="46">
        <f>H135</f>
        <v>20</v>
      </c>
      <c r="K135" s="58" t="s">
        <v>44</v>
      </c>
      <c r="L135" s="25"/>
    </row>
    <row r="136" spans="1:12" s="16" customFormat="1" ht="15.75" outlineLevel="1" thickBot="1">
      <c r="C136" s="28"/>
      <c r="D136" s="9" t="s">
        <v>1721</v>
      </c>
      <c r="E136" s="508">
        <v>3500000</v>
      </c>
      <c r="F136" s="353">
        <v>46142</v>
      </c>
      <c r="G136" s="16" t="s">
        <v>5</v>
      </c>
      <c r="H136" s="16">
        <f>IF(OR(G136="Sin pagar",G136="Pagar"),NETWORKDAYS($J$90,F136,'Festivos Colombia'!$A$3:$A$22),0)</f>
        <v>20</v>
      </c>
      <c r="I136" s="16">
        <f>NETWORKDAYS($J$90,F136,'Festivos Colombia'!$A$3:$A$22)</f>
        <v>20</v>
      </c>
      <c r="J136" s="46">
        <f>H136</f>
        <v>20</v>
      </c>
      <c r="K136" s="58" t="s">
        <v>44</v>
      </c>
      <c r="L136" s="25"/>
    </row>
    <row r="137" spans="1:12" s="16" customFormat="1" ht="16.5" thickBot="1">
      <c r="C137" s="24"/>
      <c r="D137" s="351" t="s">
        <v>105</v>
      </c>
      <c r="E137" s="352">
        <f>SUBTOTAL(9,E138:E141)</f>
        <v>43120000</v>
      </c>
      <c r="J137" s="46"/>
      <c r="K137" s="25"/>
    </row>
    <row r="138" spans="1:12" s="16" customFormat="1" outlineLevel="1">
      <c r="A138" s="16" t="str">
        <f>G138</f>
        <v>Sin Pagar</v>
      </c>
      <c r="B138" s="16">
        <f>IF(I138&lt;=-1,1,IF(I138&lt;=5,2,IF(I138&lt;=15,3,IF(H138&lt;=60,4))))</f>
        <v>3</v>
      </c>
      <c r="C138" s="24"/>
      <c r="D138" s="9" t="s">
        <v>1648</v>
      </c>
      <c r="E138" s="350">
        <f>430000</f>
        <v>430000</v>
      </c>
      <c r="F138" s="353">
        <v>46122</v>
      </c>
      <c r="G138" s="16" t="s">
        <v>5</v>
      </c>
      <c r="H138" s="16">
        <f>IF(OR(G138="Sin pagar",G138="Pagar"),NETWORKDAYS($J$90,F138,'Festivos Colombia'!$A$3:$A$22),0)</f>
        <v>6</v>
      </c>
      <c r="I138" s="16">
        <f>NETWORKDAYS($J$90,F138,'Festivos Colombia'!$A$3:$A$22)</f>
        <v>6</v>
      </c>
      <c r="J138" s="46">
        <f>H138</f>
        <v>6</v>
      </c>
      <c r="K138" s="58"/>
      <c r="L138" s="25"/>
    </row>
    <row r="139" spans="1:12" s="16" customFormat="1" outlineLevel="1">
      <c r="A139" s="16" t="str">
        <f>G139</f>
        <v>Sin Pagar</v>
      </c>
      <c r="B139" s="16">
        <f>IF(I139&lt;=-1,1,IF(I139&lt;=5,2,IF(I139&lt;=15,3,IF(H139&lt;=60,4))))</f>
        <v>3</v>
      </c>
      <c r="C139" s="24"/>
      <c r="D139" s="9" t="s">
        <v>1643</v>
      </c>
      <c r="E139" s="350">
        <f>2690000</f>
        <v>2690000</v>
      </c>
      <c r="F139" s="353">
        <v>46122</v>
      </c>
      <c r="G139" s="16" t="s">
        <v>5</v>
      </c>
      <c r="H139" s="16">
        <f>IF(OR(G139="Sin pagar",G139="Pagar"),NETWORKDAYS($J$90,F139,'Festivos Colombia'!$A$3:$A$22),0)</f>
        <v>6</v>
      </c>
      <c r="I139" s="16">
        <f>NETWORKDAYS($J$90,F139,'Festivos Colombia'!$A$3:$A$22)</f>
        <v>6</v>
      </c>
      <c r="J139" s="46">
        <f>H139</f>
        <v>6</v>
      </c>
      <c r="K139" s="58"/>
      <c r="L139" s="25"/>
    </row>
    <row r="140" spans="1:12" s="16" customFormat="1" outlineLevel="1">
      <c r="A140" s="16" t="str">
        <f>G140</f>
        <v>Sin Pagar</v>
      </c>
      <c r="B140" s="16">
        <f>IF(I140&lt;=-1,1,IF(I140&lt;=5,2,IF(I140&lt;=15,3,IF(H140&lt;=60,4))))</f>
        <v>4</v>
      </c>
      <c r="C140" s="24"/>
      <c r="D140" s="9" t="s">
        <v>1705</v>
      </c>
      <c r="E140" s="350">
        <v>30000000</v>
      </c>
      <c r="F140" s="7">
        <v>46142</v>
      </c>
      <c r="G140" s="16" t="s">
        <v>5</v>
      </c>
      <c r="H140" s="16">
        <f>IF(OR(G140="Sin pagar",G140="Pagar"),NETWORKDAYS($J$90,F140,'Festivos Colombia'!$A$3:$A$22),0)</f>
        <v>20</v>
      </c>
      <c r="I140" s="16">
        <f>NETWORKDAYS($J$90,F140,'Festivos Colombia'!$A$3:$A$22)</f>
        <v>20</v>
      </c>
      <c r="J140" s="46">
        <f>H140</f>
        <v>20</v>
      </c>
      <c r="K140" s="58"/>
      <c r="L140" s="25"/>
    </row>
    <row r="141" spans="1:12" s="16" customFormat="1" ht="15.75" outlineLevel="1" thickBot="1">
      <c r="A141" s="16" t="str">
        <f>G141</f>
        <v>Sin Pagar</v>
      </c>
      <c r="B141" s="16">
        <f>IF(I141&lt;=-1,1,IF(I141&lt;=5,2,IF(I141&lt;=15,3,IF(H141&lt;=60,4))))</f>
        <v>4</v>
      </c>
      <c r="C141" s="24"/>
      <c r="D141" s="9" t="s">
        <v>1706</v>
      </c>
      <c r="E141" s="350">
        <v>10000000</v>
      </c>
      <c r="F141" s="7">
        <v>46142</v>
      </c>
      <c r="G141" s="16" t="s">
        <v>5</v>
      </c>
      <c r="H141" s="16">
        <f>IF(OR(G141="Sin pagar",G141="Pagar"),NETWORKDAYS($J$90,F141,'Festivos Colombia'!$A$3:$A$22),0)</f>
        <v>20</v>
      </c>
      <c r="I141" s="16">
        <f>NETWORKDAYS($J$90,F141,'Festivos Colombia'!$A$3:$A$22)</f>
        <v>20</v>
      </c>
      <c r="J141" s="46">
        <f>H141</f>
        <v>20</v>
      </c>
      <c r="K141" s="58"/>
      <c r="L141" s="25"/>
    </row>
    <row r="142" spans="1:12" s="16" customFormat="1" ht="16.5" thickBot="1">
      <c r="C142" s="24"/>
      <c r="D142" s="351" t="s">
        <v>86</v>
      </c>
      <c r="E142" s="352">
        <f>SUBTOTAL(9,E143:E143)</f>
        <v>10000000</v>
      </c>
      <c r="J142" s="46"/>
      <c r="K142" s="25"/>
    </row>
    <row r="143" spans="1:12" s="16" customFormat="1" ht="15.75" outlineLevel="1" thickBot="1">
      <c r="A143" s="16" t="str">
        <f t="shared" ref="A143" si="23">G143</f>
        <v>Sin Pagar</v>
      </c>
      <c r="B143" s="16">
        <f t="shared" ref="B143" si="24">IF(I143&lt;=-1,1,IF(I143&lt;=5,2,IF(I143&lt;=15,3,IF(H143&lt;=60,4))))</f>
        <v>4</v>
      </c>
      <c r="C143" s="24"/>
      <c r="D143" s="9" t="s">
        <v>141</v>
      </c>
      <c r="E143" s="8">
        <v>10000000</v>
      </c>
      <c r="F143" s="7">
        <v>46142</v>
      </c>
      <c r="G143" s="16" t="s">
        <v>5</v>
      </c>
      <c r="H143" s="16">
        <f>IF(OR(G143="Sin pagar",G143="Pagar"),NETWORKDAYS($J$90,F143,'Festivos Colombia'!$A$3:$A$22),0)</f>
        <v>20</v>
      </c>
      <c r="I143" s="16">
        <f>NETWORKDAYS($J$90,F143,'Festivos Colombia'!$A$3:$A$22)</f>
        <v>20</v>
      </c>
      <c r="J143" s="46">
        <f>H143</f>
        <v>20</v>
      </c>
      <c r="K143" s="58"/>
      <c r="L143" s="25"/>
    </row>
    <row r="144" spans="1:12" s="16" customFormat="1" ht="15.75" customHeight="1" thickBot="1">
      <c r="C144" s="24"/>
      <c r="D144" s="351" t="s">
        <v>48</v>
      </c>
      <c r="E144" s="352">
        <f>SUBTOTAL(9,E145:E160)</f>
        <v>25758683.429999996</v>
      </c>
      <c r="J144" s="46"/>
    </row>
    <row r="145" spans="1:19" s="16" customFormat="1" outlineLevel="1">
      <c r="A145" s="16" t="str">
        <f>G145</f>
        <v>Sin Pagar</v>
      </c>
      <c r="B145" s="16">
        <f>IF(I145&lt;=-1,1,IF(I145&lt;=5,2,IF(I145&lt;=15,3,IF(H145&lt;=60,4))))</f>
        <v>3</v>
      </c>
      <c r="C145" s="28" t="s">
        <v>1367</v>
      </c>
      <c r="D145" s="9" t="s">
        <v>1707</v>
      </c>
      <c r="E145" s="8">
        <v>1607010</v>
      </c>
      <c r="F145" s="353">
        <v>46129</v>
      </c>
      <c r="G145" s="16" t="s">
        <v>5</v>
      </c>
      <c r="H145" s="16">
        <f>IF(OR(G145="Sin pagar",G145="Pagar"),NETWORKDAYS($J$90,F145,'Festivos Colombia'!$A$3:$A$22),0)</f>
        <v>11</v>
      </c>
      <c r="I145" s="16">
        <f>NETWORKDAYS($J$90,F145,'Festivos Colombia'!$A$3:$A$22)</f>
        <v>11</v>
      </c>
      <c r="J145" s="46">
        <f t="shared" ref="J145:J152" si="25">H145</f>
        <v>11</v>
      </c>
      <c r="K145" s="58" t="s">
        <v>44</v>
      </c>
      <c r="S145" s="27"/>
    </row>
    <row r="146" spans="1:19" s="16" customFormat="1" outlineLevel="1">
      <c r="A146" s="16" t="str">
        <f t="shared" ref="A146" si="26">G146</f>
        <v>Sin Pagar</v>
      </c>
      <c r="B146" s="16">
        <f t="shared" ref="B146" si="27">IF(I146&lt;=-1,1,IF(I146&lt;=5,2,IF(I146&lt;=15,3,IF(H146&lt;=60,4))))</f>
        <v>3</v>
      </c>
      <c r="C146" s="24" t="s">
        <v>1453</v>
      </c>
      <c r="D146" s="9" t="s">
        <v>1645</v>
      </c>
      <c r="E146" s="8">
        <f>3800000</f>
        <v>3800000</v>
      </c>
      <c r="F146" s="353">
        <v>46129</v>
      </c>
      <c r="G146" s="16" t="s">
        <v>5</v>
      </c>
      <c r="H146" s="16">
        <f>IF(OR(G146="Sin pagar",G146="Pagar"),NETWORKDAYS($J$90,F146,'Festivos Colombia'!$A$3:$A$22),0)</f>
        <v>11</v>
      </c>
      <c r="I146" s="16">
        <f>NETWORKDAYS($J$90,F146,'Festivos Colombia'!$A$3:$A$22)</f>
        <v>11</v>
      </c>
      <c r="J146" s="46">
        <f t="shared" si="25"/>
        <v>11</v>
      </c>
      <c r="K146" s="58"/>
      <c r="S146" s="27"/>
    </row>
    <row r="147" spans="1:19" s="16" customFormat="1" ht="14.25" customHeight="1" outlineLevel="1">
      <c r="A147" s="16" t="str">
        <f>G147</f>
        <v>Sin Pagar</v>
      </c>
      <c r="B147" s="16">
        <f>IF(I147&lt;=-1,1,IF(I147&lt;=5,2,IF(I147&lt;=15,3,IF(H147&lt;=60,4))))</f>
        <v>4</v>
      </c>
      <c r="C147" s="28" t="s">
        <v>1708</v>
      </c>
      <c r="D147" s="9" t="s">
        <v>54</v>
      </c>
      <c r="E147" s="8">
        <f>774025.2</f>
        <v>774025.2</v>
      </c>
      <c r="F147" s="353">
        <v>46136</v>
      </c>
      <c r="G147" s="16" t="s">
        <v>5</v>
      </c>
      <c r="H147" s="16">
        <f>IF(OR(G147="Sin pagar",G147="Pagar"),NETWORKDAYS($J$90,F147,'Festivos Colombia'!$A$3:$A$22),0)</f>
        <v>16</v>
      </c>
      <c r="I147" s="16">
        <f>NETWORKDAYS($J$90,F147,'Festivos Colombia'!$A$3:$A$22)</f>
        <v>16</v>
      </c>
      <c r="J147" s="46">
        <f t="shared" si="25"/>
        <v>16</v>
      </c>
      <c r="K147" s="58" t="s">
        <v>44</v>
      </c>
    </row>
    <row r="148" spans="1:19" s="16" customFormat="1" outlineLevel="1">
      <c r="A148" s="16" t="str">
        <f t="shared" ref="A148:A149" si="28">G148</f>
        <v>Sin Pagar</v>
      </c>
      <c r="B148" s="16">
        <f t="shared" ref="B148:B149" si="29">IF(I148&lt;=-1,1,IF(I148&lt;=5,2,IF(I148&lt;=15,3,IF(H148&lt;=60,4))))</f>
        <v>4</v>
      </c>
      <c r="C148" s="785">
        <v>27</v>
      </c>
      <c r="D148" s="347" t="s">
        <v>52</v>
      </c>
      <c r="E148" s="8">
        <v>1489471.36</v>
      </c>
      <c r="F148" s="353">
        <v>46136</v>
      </c>
      <c r="G148" s="16" t="s">
        <v>5</v>
      </c>
      <c r="H148" s="16">
        <f>IF(OR(G148="Sin pagar",G148="Pagar"),NETWORKDAYS($J$90,F148,'Festivos Colombia'!$A$3:$A$22),0)</f>
        <v>16</v>
      </c>
      <c r="I148" s="16">
        <f>NETWORKDAYS($J$90,F148,'Festivos Colombia'!$A$3:$A$22)</f>
        <v>16</v>
      </c>
      <c r="J148" s="46">
        <f t="shared" si="25"/>
        <v>16</v>
      </c>
      <c r="K148" s="58" t="s">
        <v>44</v>
      </c>
      <c r="M148" s="25"/>
    </row>
    <row r="149" spans="1:19" s="16" customFormat="1" outlineLevel="1">
      <c r="A149" s="16" t="str">
        <f t="shared" si="28"/>
        <v>Sin Pagar</v>
      </c>
      <c r="B149" s="16">
        <f t="shared" si="29"/>
        <v>4</v>
      </c>
      <c r="C149" s="785">
        <v>18</v>
      </c>
      <c r="D149" s="347" t="s">
        <v>113</v>
      </c>
      <c r="E149" s="8">
        <v>1489471.36</v>
      </c>
      <c r="F149" s="353">
        <v>46136</v>
      </c>
      <c r="G149" s="16" t="s">
        <v>5</v>
      </c>
      <c r="H149" s="16">
        <f>IF(OR(G149="Sin pagar",G149="Pagar"),NETWORKDAYS($J$90,F149,'Festivos Colombia'!$A$3:$A$22),0)</f>
        <v>16</v>
      </c>
      <c r="I149" s="16">
        <f>NETWORKDAYS($J$90,F149,'Festivos Colombia'!$A$3:$A$22)</f>
        <v>16</v>
      </c>
      <c r="J149" s="46">
        <f t="shared" si="25"/>
        <v>16</v>
      </c>
      <c r="K149" s="58" t="s">
        <v>44</v>
      </c>
      <c r="M149" s="25"/>
    </row>
    <row r="150" spans="1:19" s="16" customFormat="1" outlineLevel="1">
      <c r="A150" s="16" t="str">
        <f>G150</f>
        <v>Sin Pagar</v>
      </c>
      <c r="B150" s="16">
        <f>IF(I150&lt;=-1,1,IF(I150&lt;=5,2,IF(I150&lt;=15,3,IF(H150&lt;=60,4))))</f>
        <v>4</v>
      </c>
      <c r="C150" s="56" t="s">
        <v>1644</v>
      </c>
      <c r="D150" s="9" t="s">
        <v>55</v>
      </c>
      <c r="E150" s="8">
        <f>77395</f>
        <v>77395</v>
      </c>
      <c r="F150" s="353">
        <v>46136</v>
      </c>
      <c r="G150" s="16" t="s">
        <v>5</v>
      </c>
      <c r="H150" s="16">
        <f>IF(OR(G150="Sin pagar",G150="Pagar"),NETWORKDAYS($J$90,F150,'Festivos Colombia'!$A$3:$A$22),0)</f>
        <v>16</v>
      </c>
      <c r="I150" s="16">
        <f>NETWORKDAYS($J$90,F150,'Festivos Colombia'!$A$3:$A$22)</f>
        <v>16</v>
      </c>
      <c r="J150" s="46">
        <f t="shared" si="25"/>
        <v>16</v>
      </c>
      <c r="K150" s="58"/>
    </row>
    <row r="151" spans="1:19" s="16" customFormat="1" outlineLevel="1">
      <c r="A151" s="16" t="str">
        <f>G151</f>
        <v>Sin Pagar</v>
      </c>
      <c r="B151" s="16">
        <f>IF(I151&lt;=-1,1,IF(I151&lt;=5,2,IF(I151&lt;=15,3,IF(H151&lt;=60,4))))</f>
        <v>4</v>
      </c>
      <c r="C151" s="785">
        <v>260401</v>
      </c>
      <c r="D151" s="347" t="s">
        <v>53</v>
      </c>
      <c r="E151" s="8">
        <v>475363.2</v>
      </c>
      <c r="F151" s="353">
        <v>46136</v>
      </c>
      <c r="G151" s="16" t="s">
        <v>5</v>
      </c>
      <c r="H151" s="16">
        <f>IF(OR(G151="Sin pagar",G151="Pagar"),NETWORKDAYS($J$90,F151,'Festivos Colombia'!$A$3:$A$22),0)</f>
        <v>16</v>
      </c>
      <c r="I151" s="16">
        <f>NETWORKDAYS($J$90,F151,'Festivos Colombia'!$A$3:$A$22)</f>
        <v>16</v>
      </c>
      <c r="J151" s="46">
        <f t="shared" si="25"/>
        <v>16</v>
      </c>
      <c r="K151" s="58" t="s">
        <v>44</v>
      </c>
    </row>
    <row r="152" spans="1:19" s="16" customFormat="1" ht="14.25" customHeight="1" outlineLevel="1">
      <c r="A152" s="16" t="str">
        <f>G152</f>
        <v>Sin Pagar</v>
      </c>
      <c r="B152" s="16">
        <f>IF(I152&lt;=-1,1,IF(I152&lt;=5,2,IF(I152&lt;=15,3,IF(H152&lt;=60,4))))</f>
        <v>4</v>
      </c>
      <c r="C152" s="24">
        <v>10</v>
      </c>
      <c r="D152" s="9" t="s">
        <v>106</v>
      </c>
      <c r="E152" s="8">
        <v>340000</v>
      </c>
      <c r="F152" s="353">
        <v>46136</v>
      </c>
      <c r="G152" s="16" t="s">
        <v>5</v>
      </c>
      <c r="H152" s="16">
        <f>IF(OR(G152="Sin pagar",G152="Pagar"),NETWORKDAYS($J$90,F152,'Festivos Colombia'!$A$3:$A$22),0)</f>
        <v>16</v>
      </c>
      <c r="I152" s="16">
        <f>NETWORKDAYS($J$90,F152,'Festivos Colombia'!$A$3:$A$22)</f>
        <v>16</v>
      </c>
      <c r="J152" s="46">
        <f t="shared" si="25"/>
        <v>16</v>
      </c>
      <c r="K152" s="58" t="s">
        <v>44</v>
      </c>
    </row>
    <row r="153" spans="1:19" s="16" customFormat="1" outlineLevel="1">
      <c r="A153" s="16" t="str">
        <f>G153</f>
        <v>Sin Pagar</v>
      </c>
      <c r="B153" s="16">
        <f>IF(I153&lt;=-1,1,IF(I153&lt;=5,2,IF(I153&lt;=15,3,IF(H153&lt;=60,4))))</f>
        <v>4</v>
      </c>
      <c r="C153" s="785" t="s">
        <v>1709</v>
      </c>
      <c r="D153" s="9" t="s">
        <v>96</v>
      </c>
      <c r="E153" s="8">
        <v>1438893</v>
      </c>
      <c r="F153" s="353">
        <v>46142</v>
      </c>
      <c r="G153" s="16" t="s">
        <v>5</v>
      </c>
      <c r="H153" s="16">
        <f>IF(OR(G153="Sin pagar",G153="Pagar"),NETWORKDAYS($J$90,F153,'Festivos Colombia'!$A$3:$A$22),0)</f>
        <v>20</v>
      </c>
      <c r="I153" s="16">
        <f>NETWORKDAYS($J$90,F153,'Festivos Colombia'!$A$3:$A$22)</f>
        <v>20</v>
      </c>
      <c r="J153" s="46">
        <f t="shared" ref="J153:J159" si="30">H153</f>
        <v>20</v>
      </c>
      <c r="K153" s="58" t="s">
        <v>44</v>
      </c>
      <c r="M153" s="25"/>
    </row>
    <row r="154" spans="1:19" s="16" customFormat="1" outlineLevel="1">
      <c r="A154" s="16" t="str">
        <f t="shared" ref="A154:A156" si="31">G154</f>
        <v>Sin Pagar</v>
      </c>
      <c r="B154" s="16">
        <f t="shared" ref="B154:B156" si="32">IF(I154&lt;=-1,1,IF(I154&lt;=5,2,IF(I154&lt;=15,3,IF(H154&lt;=60,4))))</f>
        <v>4</v>
      </c>
      <c r="C154" s="28" t="s">
        <v>1711</v>
      </c>
      <c r="D154" s="780" t="s">
        <v>1710</v>
      </c>
      <c r="E154" s="8">
        <v>1877565</v>
      </c>
      <c r="F154" s="353">
        <v>46142</v>
      </c>
      <c r="G154" s="16" t="s">
        <v>5</v>
      </c>
      <c r="H154" s="16">
        <f>IF(OR(G154="Sin pagar",G154="Pagar"),NETWORKDAYS($J$90,F154,'Festivos Colombia'!$A$3:$A$22),0)</f>
        <v>20</v>
      </c>
      <c r="I154" s="16">
        <f>NETWORKDAYS($J$90,F154,'Festivos Colombia'!$A$3:$A$22)</f>
        <v>20</v>
      </c>
      <c r="J154" s="46">
        <f t="shared" ref="J154" si="33">H154</f>
        <v>20</v>
      </c>
      <c r="K154" s="58" t="s">
        <v>44</v>
      </c>
    </row>
    <row r="155" spans="1:19" s="16" customFormat="1" outlineLevel="1">
      <c r="A155" s="16" t="str">
        <f t="shared" si="31"/>
        <v>Sin Pagar</v>
      </c>
      <c r="B155" s="16">
        <f t="shared" si="32"/>
        <v>4</v>
      </c>
      <c r="C155" s="28" t="s">
        <v>1625</v>
      </c>
      <c r="D155" s="9" t="s">
        <v>1712</v>
      </c>
      <c r="E155" s="8">
        <f>4065250</f>
        <v>4065250</v>
      </c>
      <c r="F155" s="353">
        <v>46142</v>
      </c>
      <c r="G155" s="16" t="s">
        <v>5</v>
      </c>
      <c r="H155" s="16">
        <f>IF(OR(G155="Sin pagar",G155="Pagar"),NETWORKDAYS($J$90,F155,'Festivos Colombia'!$A$3:$A$22),0)</f>
        <v>20</v>
      </c>
      <c r="I155" s="16">
        <f>NETWORKDAYS($J$90,F155,'Festivos Colombia'!$A$3:$A$22)</f>
        <v>20</v>
      </c>
      <c r="J155" s="46">
        <f t="shared" ref="J155:J156" si="34">H155</f>
        <v>20</v>
      </c>
      <c r="K155" s="58" t="s">
        <v>44</v>
      </c>
    </row>
    <row r="156" spans="1:19" s="16" customFormat="1" outlineLevel="1">
      <c r="A156" s="16" t="str">
        <f t="shared" si="31"/>
        <v>Sin Pagar</v>
      </c>
      <c r="B156" s="16">
        <f t="shared" si="32"/>
        <v>4</v>
      </c>
      <c r="C156" s="28" t="s">
        <v>1626</v>
      </c>
      <c r="D156" s="9" t="s">
        <v>1713</v>
      </c>
      <c r="E156" s="8">
        <f>3665694</f>
        <v>3665694</v>
      </c>
      <c r="F156" s="353">
        <v>46142</v>
      </c>
      <c r="G156" s="16" t="s">
        <v>5</v>
      </c>
      <c r="H156" s="16">
        <f>IF(OR(G156="Sin pagar",G156="Pagar"),NETWORKDAYS($J$90,F156,'Festivos Colombia'!$A$3:$A$22),0)</f>
        <v>20</v>
      </c>
      <c r="I156" s="16">
        <f>NETWORKDAYS($J$90,F156,'Festivos Colombia'!$A$3:$A$22)</f>
        <v>20</v>
      </c>
      <c r="J156" s="46">
        <f t="shared" si="34"/>
        <v>20</v>
      </c>
      <c r="K156" s="58" t="s">
        <v>44</v>
      </c>
    </row>
    <row r="157" spans="1:19" s="16" customFormat="1" ht="13.5" customHeight="1" outlineLevel="1">
      <c r="A157" s="16" t="str">
        <f>G157</f>
        <v>Sin Pagar</v>
      </c>
      <c r="B157" s="16">
        <f>IF(I157&lt;=-1,1,IF(I157&lt;=5,2,IF(I157&lt;=15,3,IF(H157&lt;=60,4))))</f>
        <v>4</v>
      </c>
      <c r="C157" s="785" t="s">
        <v>1371</v>
      </c>
      <c r="D157" s="9" t="s">
        <v>50</v>
      </c>
      <c r="E157" s="8">
        <f>1723309.31</f>
        <v>1723309.31</v>
      </c>
      <c r="F157" s="353">
        <v>46142</v>
      </c>
      <c r="G157" s="16" t="s">
        <v>5</v>
      </c>
      <c r="H157" s="16">
        <f>IF(OR(G157="Sin pagar",G157="Pagar"),NETWORKDAYS($J$90,F157,'Festivos Colombia'!$A$3:$A$22),0)</f>
        <v>20</v>
      </c>
      <c r="I157" s="16">
        <f>NETWORKDAYS($J$90,F157,'Festivos Colombia'!$A$3:$A$22)</f>
        <v>20</v>
      </c>
      <c r="J157" s="46">
        <f t="shared" ref="J157" si="35">H157</f>
        <v>20</v>
      </c>
      <c r="K157" s="58" t="s">
        <v>44</v>
      </c>
      <c r="M157" s="25"/>
    </row>
    <row r="158" spans="1:19" s="16" customFormat="1" ht="13.5" customHeight="1" outlineLevel="1">
      <c r="A158" s="16" t="str">
        <f>G158</f>
        <v>Sin Pagar</v>
      </c>
      <c r="B158" s="16">
        <f>IF(I158&lt;=-1,1,IF(I158&lt;=5,2,IF(I158&lt;=15,3,IF(H158&lt;=60,4))))</f>
        <v>4</v>
      </c>
      <c r="C158" s="785">
        <v>19</v>
      </c>
      <c r="D158" s="9" t="s">
        <v>1629</v>
      </c>
      <c r="E158" s="8">
        <v>1634061</v>
      </c>
      <c r="F158" s="353">
        <v>46142</v>
      </c>
      <c r="G158" s="16" t="s">
        <v>5</v>
      </c>
      <c r="H158" s="16">
        <f>IF(OR(G158="Sin pagar",G158="Pagar"),NETWORKDAYS($J$90,F158,'Festivos Colombia'!$A$3:$A$22),0)</f>
        <v>20</v>
      </c>
      <c r="I158" s="16">
        <f>NETWORKDAYS($J$90,F158,'Festivos Colombia'!$A$3:$A$22)</f>
        <v>20</v>
      </c>
      <c r="J158" s="46">
        <f t="shared" ref="J158" si="36">H158</f>
        <v>20</v>
      </c>
      <c r="K158" s="58" t="s">
        <v>44</v>
      </c>
      <c r="M158" s="25"/>
    </row>
    <row r="159" spans="1:19" s="16" customFormat="1" outlineLevel="1">
      <c r="A159" s="16" t="str">
        <f>G159</f>
        <v>Sin Pagar</v>
      </c>
      <c r="B159" s="16">
        <f>IF(I159&lt;=-1,1,IF(I159&lt;=5,2,IF(I159&lt;=15,3,IF(H159&lt;=60,4))))</f>
        <v>4</v>
      </c>
      <c r="C159" s="24">
        <v>12051</v>
      </c>
      <c r="D159" s="9" t="s">
        <v>49</v>
      </c>
      <c r="E159" s="8">
        <f>1301175</f>
        <v>1301175</v>
      </c>
      <c r="F159" s="671">
        <v>46142</v>
      </c>
      <c r="G159" s="16" t="s">
        <v>5</v>
      </c>
      <c r="H159" s="16">
        <f>IF(OR(G159="Sin pagar",G159="Pagar"),NETWORKDAYS($J$90,F159,'Festivos Colombia'!$A$3:$A$22),0)</f>
        <v>20</v>
      </c>
      <c r="I159" s="16">
        <f>NETWORKDAYS($J$90,F159,'Festivos Colombia'!$A$3:$A$22)</f>
        <v>20</v>
      </c>
      <c r="J159" s="46">
        <f t="shared" si="30"/>
        <v>20</v>
      </c>
      <c r="K159" s="58"/>
      <c r="S159" s="27"/>
    </row>
    <row r="160" spans="1:19" s="16" customFormat="1" ht="15.75" outlineLevel="1" thickBot="1">
      <c r="A160" s="16" t="str">
        <f>G160</f>
        <v>Sin Pagar</v>
      </c>
      <c r="B160" s="16">
        <f>IF(I160&lt;=-1,1,IF(I160&lt;=5,2,IF(I160&lt;=15,3,IF(H160&lt;=60,4))))</f>
        <v>4</v>
      </c>
      <c r="C160" s="24">
        <v>2114</v>
      </c>
      <c r="D160" s="9" t="s">
        <v>1756</v>
      </c>
      <c r="E160" s="8">
        <f>10595552.6*0</f>
        <v>0</v>
      </c>
      <c r="F160" s="671">
        <v>46149</v>
      </c>
      <c r="G160" s="16" t="s">
        <v>5</v>
      </c>
      <c r="H160" s="16">
        <f>IF(OR(G160="Sin pagar",G160="Pagar"),NETWORKDAYS($J$90,F160,'Festivos Colombia'!$A$3:$A$22),0)</f>
        <v>24</v>
      </c>
      <c r="I160" s="16">
        <f>NETWORKDAYS($J$90,F160,'Festivos Colombia'!$A$3:$A$22)</f>
        <v>24</v>
      </c>
      <c r="J160" s="46">
        <f t="shared" ref="J160" si="37">H160</f>
        <v>24</v>
      </c>
      <c r="K160" s="58"/>
      <c r="S160" s="27"/>
    </row>
    <row r="161" spans="1:17" s="16" customFormat="1" ht="15.75" customHeight="1" thickBot="1">
      <c r="D161" s="351" t="s">
        <v>57</v>
      </c>
      <c r="E161" s="352">
        <f>SUBTOTAL(9,E162:E162)</f>
        <v>14446896.25</v>
      </c>
      <c r="J161" s="46"/>
    </row>
    <row r="162" spans="1:17" s="16" customFormat="1" ht="15.75" outlineLevel="1" thickBot="1">
      <c r="A162" s="16" t="str">
        <f>G162</f>
        <v>Sin Pagar</v>
      </c>
      <c r="B162" s="16">
        <f>IF(I162&lt;=-1,1,IF(I162&lt;=5,2,IF(I162&lt;=15,3,IF(H162&lt;=60,4))))</f>
        <v>4</v>
      </c>
      <c r="C162" s="24"/>
      <c r="D162" s="9" t="s">
        <v>58</v>
      </c>
      <c r="E162" s="8">
        <f>11715337.25+2731559</f>
        <v>14446896.25</v>
      </c>
      <c r="F162" s="7">
        <v>46142</v>
      </c>
      <c r="G162" s="16" t="s">
        <v>5</v>
      </c>
      <c r="H162" s="16">
        <f>IF(OR(G162="Sin pagar",G162="Pagar"),NETWORKDAYS($J$90,F162,'Festivos Colombia'!$A$3:$A$22),0)</f>
        <v>20</v>
      </c>
      <c r="I162" s="16">
        <f>NETWORKDAYS($J$90,F162,'Festivos Colombia'!$A$3:$A$22)</f>
        <v>20</v>
      </c>
      <c r="J162" s="46">
        <f>H162</f>
        <v>20</v>
      </c>
      <c r="K162" s="58"/>
    </row>
    <row r="163" spans="1:17" s="16" customFormat="1" ht="16.5" thickBot="1">
      <c r="C163" s="24"/>
      <c r="D163" s="351" t="s">
        <v>59</v>
      </c>
      <c r="E163" s="352">
        <f>SUBTOTAL(9,E164:E165)</f>
        <v>6200000</v>
      </c>
      <c r="J163" s="46"/>
    </row>
    <row r="164" spans="1:17" s="16" customFormat="1" outlineLevel="1">
      <c r="A164" s="16" t="str">
        <f>G164</f>
        <v>Sin Pagar</v>
      </c>
      <c r="B164" s="16">
        <f>IF(I164&lt;=-1,1,IF(I164&lt;=5,2,IF(I164&lt;=15,3,IF(H164&lt;=60,4))))</f>
        <v>4</v>
      </c>
      <c r="C164" s="24"/>
      <c r="D164" s="9" t="s">
        <v>60</v>
      </c>
      <c r="E164" s="8">
        <v>5661177</v>
      </c>
      <c r="F164" s="7">
        <v>46142</v>
      </c>
      <c r="G164" s="16" t="s">
        <v>5</v>
      </c>
      <c r="H164" s="16">
        <f>IF(OR(G164="Sin pagar",G164="Pagar"),NETWORKDAYS($J$90,F164,'Festivos Colombia'!$A$3:$A$22),0)</f>
        <v>20</v>
      </c>
      <c r="I164" s="16">
        <f>NETWORKDAYS($J$90,F164,'Festivos Colombia'!$A$3:$A$22)</f>
        <v>20</v>
      </c>
      <c r="J164" s="46">
        <f>H164</f>
        <v>20</v>
      </c>
      <c r="K164" s="58"/>
    </row>
    <row r="165" spans="1:17" s="16" customFormat="1" ht="15.75" outlineLevel="1" thickBot="1">
      <c r="A165" s="16" t="str">
        <f>G165</f>
        <v>Sin Pagar</v>
      </c>
      <c r="B165" s="16">
        <f>IF(I165&lt;=-1,1,IF(I165&lt;=5,2,IF(I165&lt;=15,3,IF(H165&lt;=60,4))))</f>
        <v>4</v>
      </c>
      <c r="C165" s="24"/>
      <c r="D165" s="9" t="s">
        <v>1087</v>
      </c>
      <c r="E165" s="8">
        <v>538823</v>
      </c>
      <c r="F165" s="7">
        <v>46142</v>
      </c>
      <c r="G165" s="16" t="s">
        <v>5</v>
      </c>
      <c r="H165" s="16">
        <f>IF(OR(G165="Sin pagar",G165="Pagar"),NETWORKDAYS($J$90,F165,'Festivos Colombia'!$A$3:$A$22),0)</f>
        <v>20</v>
      </c>
      <c r="I165" s="16">
        <f>NETWORKDAYS($J$90,F165,'Festivos Colombia'!$A$3:$A$22)</f>
        <v>20</v>
      </c>
      <c r="J165" s="46">
        <f>H165</f>
        <v>20</v>
      </c>
      <c r="K165" s="58"/>
    </row>
    <row r="166" spans="1:17" s="16" customFormat="1" ht="16.5" thickBot="1">
      <c r="C166" s="24"/>
      <c r="D166" s="351" t="s">
        <v>61</v>
      </c>
      <c r="E166" s="352">
        <f>SUBTOTAL(9,E167:E169)</f>
        <v>21127878</v>
      </c>
      <c r="J166" s="46"/>
      <c r="M166" s="8"/>
    </row>
    <row r="167" spans="1:17" s="16" customFormat="1" outlineLevel="1">
      <c r="A167" s="16" t="str">
        <f>G167</f>
        <v>Cancelado</v>
      </c>
      <c r="B167" s="16" t="e">
        <f>IF(I167&lt;=-1,1,IF(I167&lt;=5,2,IF(I167&lt;=15,3,IF(H167&lt;=60,4))))</f>
        <v>#REF!</v>
      </c>
      <c r="C167" s="97"/>
      <c r="D167" s="9" t="s">
        <v>1631</v>
      </c>
      <c r="E167" s="419">
        <f>(582*3675.81)*0</f>
        <v>0</v>
      </c>
      <c r="F167" s="7">
        <v>46118</v>
      </c>
      <c r="G167" s="16" t="s">
        <v>20</v>
      </c>
      <c r="H167" s="16">
        <f>IF(OR(G167="Sin pagar",G167="Pagar"),NETWORKDAYS(#REF!,F167,'Festivos Colombia'!$A$3:$A$22),0)</f>
        <v>0</v>
      </c>
      <c r="I167" s="16" t="e">
        <f>NETWORKDAYS(#REF!,F167,'Festivos Colombia'!$A$3:$A$22)</f>
        <v>#REF!</v>
      </c>
      <c r="J167" s="46">
        <f>H167</f>
        <v>0</v>
      </c>
      <c r="K167" s="8"/>
      <c r="L167" s="350"/>
      <c r="M167" s="8"/>
      <c r="O167" s="33"/>
      <c r="P167" s="25"/>
      <c r="Q167" s="33"/>
    </row>
    <row r="168" spans="1:17" s="16" customFormat="1" outlineLevel="1">
      <c r="A168" s="16" t="str">
        <f>G168</f>
        <v>Cancelado</v>
      </c>
      <c r="B168" s="16" t="e">
        <f>IF(I168&lt;=-1,1,IF(I168&lt;=5,2,IF(I168&lt;=15,3,IF(H168&lt;=60,4))))</f>
        <v>#REF!</v>
      </c>
      <c r="C168" s="97"/>
      <c r="D168" s="9" t="s">
        <v>1630</v>
      </c>
      <c r="E168" s="419">
        <f>2435311*0</f>
        <v>0</v>
      </c>
      <c r="F168" s="7">
        <v>46118</v>
      </c>
      <c r="G168" s="16" t="s">
        <v>20</v>
      </c>
      <c r="H168" s="16">
        <f>IF(OR(G168="Sin pagar",G168="Pagar"),NETWORKDAYS(#REF!,F168,'Festivos Colombia'!$A$3:$A$22),0)</f>
        <v>0</v>
      </c>
      <c r="I168" s="16" t="e">
        <f>NETWORKDAYS(#REF!,F168,'Festivos Colombia'!$A$3:$A$22)</f>
        <v>#REF!</v>
      </c>
      <c r="J168" s="46">
        <f>H168</f>
        <v>0</v>
      </c>
      <c r="K168" s="8"/>
      <c r="L168" s="350"/>
      <c r="M168" s="8"/>
      <c r="O168" s="33"/>
      <c r="P168" s="25"/>
      <c r="Q168" s="33"/>
    </row>
    <row r="169" spans="1:17" s="16" customFormat="1" ht="15.75" outlineLevel="1" thickBot="1">
      <c r="A169" s="16" t="str">
        <f t="shared" ref="A169" si="38">G169</f>
        <v>Sin Pagar</v>
      </c>
      <c r="B169" s="16">
        <f t="shared" ref="B169" si="39">IF(I169&lt;=-1,1,IF(I169&lt;=5,2,IF(I169&lt;=15,3,IF(H169&lt;=60,4))))</f>
        <v>3</v>
      </c>
      <c r="C169" s="97"/>
      <c r="D169" s="9" t="s">
        <v>62</v>
      </c>
      <c r="E169" s="8">
        <f>21127878</f>
        <v>21127878</v>
      </c>
      <c r="F169" s="7">
        <v>46128</v>
      </c>
      <c r="G169" s="16" t="s">
        <v>5</v>
      </c>
      <c r="H169" s="16">
        <f>IF(OR(G169="Sin pagar",G169="Pagar"),NETWORKDAYS($J$90,F169,'Festivos Colombia'!$A$3:$A$22),0)</f>
        <v>10</v>
      </c>
      <c r="I169" s="16">
        <f>NETWORKDAYS($J$90,F169,'Festivos Colombia'!$A$3:$A$22)</f>
        <v>10</v>
      </c>
      <c r="J169" s="46">
        <f t="shared" ref="J169" si="40">H169</f>
        <v>10</v>
      </c>
      <c r="K169" s="8"/>
      <c r="L169" s="8"/>
      <c r="M169" s="8"/>
      <c r="O169" s="33"/>
      <c r="P169" s="25"/>
      <c r="Q169" s="33"/>
    </row>
    <row r="170" spans="1:17" s="16" customFormat="1" ht="16.5" thickBot="1">
      <c r="D170" s="351" t="s">
        <v>63</v>
      </c>
      <c r="E170" s="352">
        <f>SUBTOTAL(9,E171:E177)</f>
        <v>2740686.06</v>
      </c>
      <c r="J170" s="46"/>
      <c r="K170" s="8"/>
    </row>
    <row r="171" spans="1:17" s="16" customFormat="1" ht="15.75" customHeight="1" outlineLevel="1">
      <c r="A171" s="16" t="str">
        <f t="shared" ref="A171:A177" si="41">G171</f>
        <v>Sin Pagar</v>
      </c>
      <c r="B171" s="16">
        <f t="shared" ref="B171:B177" si="42">IF(I171&lt;=-1,1,IF(I171&lt;=5,2,IF(I171&lt;=15,3,IF(H171&lt;=60,4))))</f>
        <v>3</v>
      </c>
      <c r="C171" s="24">
        <v>6955</v>
      </c>
      <c r="D171" s="9" t="s">
        <v>64</v>
      </c>
      <c r="E171" s="8">
        <f>671000</f>
        <v>671000</v>
      </c>
      <c r="F171" s="7">
        <v>46122</v>
      </c>
      <c r="G171" s="16" t="s">
        <v>5</v>
      </c>
      <c r="H171" s="16">
        <f>IF(OR(G171="Sin pagar",G171="Pagar"),NETWORKDAYS($J$90,F171,'Festivos Colombia'!$A$3:$A$22),0)</f>
        <v>6</v>
      </c>
      <c r="I171" s="16">
        <f>NETWORKDAYS($J$90,F171,'Festivos Colombia'!$A$3:$A$22)</f>
        <v>6</v>
      </c>
      <c r="J171" s="46">
        <f t="shared" ref="J171:J177" si="43">H171</f>
        <v>6</v>
      </c>
      <c r="K171" s="58"/>
    </row>
    <row r="172" spans="1:17" s="16" customFormat="1" ht="15.75" customHeight="1" outlineLevel="1">
      <c r="A172" s="16" t="str">
        <f t="shared" si="41"/>
        <v>Sin Pagar</v>
      </c>
      <c r="B172" s="16">
        <f t="shared" si="42"/>
        <v>3</v>
      </c>
      <c r="C172" s="24">
        <v>6967</v>
      </c>
      <c r="D172" s="9" t="s">
        <v>64</v>
      </c>
      <c r="E172" s="8">
        <f>684500</f>
        <v>684500</v>
      </c>
      <c r="F172" s="7">
        <v>46122</v>
      </c>
      <c r="G172" s="16" t="s">
        <v>5</v>
      </c>
      <c r="H172" s="16">
        <f>IF(OR(G172="Sin pagar",G172="Pagar"),NETWORKDAYS($J$90,F172,'Festivos Colombia'!$A$3:$A$22),0)</f>
        <v>6</v>
      </c>
      <c r="I172" s="16">
        <f>NETWORKDAYS($J$90,F172,'Festivos Colombia'!$A$3:$A$22)</f>
        <v>6</v>
      </c>
      <c r="J172" s="46">
        <f t="shared" si="43"/>
        <v>6</v>
      </c>
      <c r="K172" s="58"/>
    </row>
    <row r="173" spans="1:17" s="16" customFormat="1" ht="15.75" customHeight="1" outlineLevel="1">
      <c r="A173" s="16" t="str">
        <f t="shared" si="41"/>
        <v>Sin Pagar</v>
      </c>
      <c r="B173" s="16">
        <f t="shared" si="42"/>
        <v>3</v>
      </c>
      <c r="C173" s="24">
        <v>6988</v>
      </c>
      <c r="D173" s="9" t="s">
        <v>64</v>
      </c>
      <c r="E173" s="8">
        <f>340500</f>
        <v>340500</v>
      </c>
      <c r="F173" s="7">
        <v>46129</v>
      </c>
      <c r="G173" s="16" t="s">
        <v>5</v>
      </c>
      <c r="H173" s="16">
        <f>IF(OR(G173="Sin pagar",G173="Pagar"),NETWORKDAYS($J$90,F173,'Festivos Colombia'!$A$3:$A$22),0)</f>
        <v>11</v>
      </c>
      <c r="I173" s="16">
        <f>NETWORKDAYS($J$90,F173,'Festivos Colombia'!$A$3:$A$22)</f>
        <v>11</v>
      </c>
      <c r="J173" s="46">
        <f t="shared" si="43"/>
        <v>11</v>
      </c>
      <c r="K173" s="58"/>
    </row>
    <row r="174" spans="1:17" s="16" customFormat="1" ht="15.75" customHeight="1" outlineLevel="1">
      <c r="A174" s="16" t="str">
        <f t="shared" si="41"/>
        <v>Sin Pagar</v>
      </c>
      <c r="B174" s="16">
        <f t="shared" si="42"/>
        <v>4</v>
      </c>
      <c r="C174" s="24">
        <v>6994</v>
      </c>
      <c r="D174" s="9" t="s">
        <v>64</v>
      </c>
      <c r="E174" s="8">
        <f>235000</f>
        <v>235000</v>
      </c>
      <c r="F174" s="7">
        <v>46136</v>
      </c>
      <c r="G174" s="16" t="s">
        <v>5</v>
      </c>
      <c r="H174" s="16">
        <f>IF(OR(G174="Sin pagar",G174="Pagar"),NETWORKDAYS($J$90,F174,'Festivos Colombia'!$A$3:$A$22),0)</f>
        <v>16</v>
      </c>
      <c r="I174" s="16">
        <f>NETWORKDAYS($J$90,F174,'Festivos Colombia'!$A$3:$A$22)</f>
        <v>16</v>
      </c>
      <c r="J174" s="46">
        <f t="shared" si="43"/>
        <v>16</v>
      </c>
      <c r="K174" s="58"/>
    </row>
    <row r="175" spans="1:17" s="16" customFormat="1" ht="15.75" customHeight="1" outlineLevel="1">
      <c r="A175" s="16" t="str">
        <f t="shared" si="41"/>
        <v>Sin Pagar</v>
      </c>
      <c r="B175" s="16">
        <f t="shared" si="42"/>
        <v>4</v>
      </c>
      <c r="C175" s="24">
        <v>7004</v>
      </c>
      <c r="D175" s="9" t="s">
        <v>64</v>
      </c>
      <c r="E175" s="8">
        <f>235000</f>
        <v>235000</v>
      </c>
      <c r="F175" s="7">
        <v>46136</v>
      </c>
      <c r="G175" s="16" t="s">
        <v>5</v>
      </c>
      <c r="H175" s="16">
        <f>IF(OR(G175="Sin pagar",G175="Pagar"),NETWORKDAYS($J$90,F175,'Festivos Colombia'!$A$3:$A$22),0)</f>
        <v>16</v>
      </c>
      <c r="I175" s="16">
        <f>NETWORKDAYS($J$90,F175,'Festivos Colombia'!$A$3:$A$22)</f>
        <v>16</v>
      </c>
      <c r="J175" s="46">
        <f t="shared" si="43"/>
        <v>16</v>
      </c>
      <c r="K175" s="58"/>
    </row>
    <row r="176" spans="1:17" s="16" customFormat="1" outlineLevel="1">
      <c r="A176" s="16" t="str">
        <f t="shared" si="41"/>
        <v>Sin Pagar</v>
      </c>
      <c r="B176" s="16">
        <f t="shared" si="42"/>
        <v>4</v>
      </c>
      <c r="C176" s="28">
        <v>3195</v>
      </c>
      <c r="D176" s="9" t="s">
        <v>99</v>
      </c>
      <c r="E176" s="8">
        <f>384004.68</f>
        <v>384004.68</v>
      </c>
      <c r="F176" s="522">
        <v>46142</v>
      </c>
      <c r="G176" s="16" t="s">
        <v>5</v>
      </c>
      <c r="H176" s="16">
        <f>IF(OR(G176="Sin pagar",G176="Pagar"),NETWORKDAYS($J$90,F176,'Festivos Colombia'!$A$3:$A$22),0)</f>
        <v>20</v>
      </c>
      <c r="I176" s="16">
        <f>NETWORKDAYS($J$90,F176,'Festivos Colombia'!$A$3:$A$22)</f>
        <v>20</v>
      </c>
      <c r="J176" s="46">
        <f t="shared" si="43"/>
        <v>20</v>
      </c>
      <c r="K176" s="58" t="s">
        <v>44</v>
      </c>
    </row>
    <row r="177" spans="1:24" s="16" customFormat="1" ht="15.75" outlineLevel="1" thickBot="1">
      <c r="A177" s="16" t="str">
        <f t="shared" si="41"/>
        <v>Sin Pagar</v>
      </c>
      <c r="B177" s="16">
        <f t="shared" si="42"/>
        <v>4</v>
      </c>
      <c r="C177" s="28">
        <v>3196</v>
      </c>
      <c r="D177" s="9" t="s">
        <v>99</v>
      </c>
      <c r="E177" s="8">
        <f>190681.38</f>
        <v>190681.38</v>
      </c>
      <c r="F177" s="522">
        <v>46142</v>
      </c>
      <c r="G177" s="16" t="s">
        <v>5</v>
      </c>
      <c r="H177" s="16">
        <f>IF(OR(G177="Sin pagar",G177="Pagar"),NETWORKDAYS($J$90,F177,'Festivos Colombia'!$A$3:$A$22),0)</f>
        <v>20</v>
      </c>
      <c r="I177" s="16">
        <f>NETWORKDAYS($J$90,F177,'Festivos Colombia'!$A$3:$A$22)</f>
        <v>20</v>
      </c>
      <c r="J177" s="46">
        <f t="shared" si="43"/>
        <v>20</v>
      </c>
      <c r="K177" s="58" t="s">
        <v>44</v>
      </c>
    </row>
    <row r="178" spans="1:24" s="16" customFormat="1" ht="16.5" thickBot="1">
      <c r="D178" s="351" t="s">
        <v>65</v>
      </c>
      <c r="E178" s="352">
        <f>SUBTOTAL(9,E179:E181)</f>
        <v>7267101</v>
      </c>
      <c r="J178" s="46"/>
    </row>
    <row r="179" spans="1:24" s="16" customFormat="1" outlineLevel="1">
      <c r="A179" s="420" t="str">
        <f t="shared" ref="A179:A181" si="44">G179</f>
        <v>Sin Pagar</v>
      </c>
      <c r="B179" s="420">
        <f t="shared" ref="B179:B181" si="45">IF(I179&lt;=-1,1,IF(I179&lt;=5,2,IF(I179&lt;=15,3,IF(H179&lt;=60,4))))</f>
        <v>3</v>
      </c>
      <c r="C179" s="356" t="s">
        <v>1481</v>
      </c>
      <c r="D179" s="357" t="s">
        <v>1133</v>
      </c>
      <c r="E179" s="8">
        <f>197076</f>
        <v>197076</v>
      </c>
      <c r="F179" s="715">
        <v>46126</v>
      </c>
      <c r="G179" s="16" t="s">
        <v>5</v>
      </c>
      <c r="H179" s="16">
        <f>IF(OR(G179="Sin pagar",G179="Pagar"),NETWORKDAYS($J$90,F179,'Festivos Colombia'!$A$3:$A$22),0)</f>
        <v>8</v>
      </c>
      <c r="I179" s="16">
        <f>NETWORKDAYS($J$90,F179,'Festivos Colombia'!$A$3:$A$22)</f>
        <v>8</v>
      </c>
      <c r="J179" s="46">
        <f t="shared" ref="J179:J181" si="46">H179</f>
        <v>8</v>
      </c>
      <c r="K179" s="359"/>
      <c r="L179" s="96"/>
      <c r="M179" s="310"/>
      <c r="N179" s="310"/>
      <c r="O179" s="310"/>
      <c r="P179" s="310"/>
      <c r="Q179" s="310"/>
      <c r="R179" s="310"/>
      <c r="S179" s="310"/>
      <c r="T179" s="310"/>
      <c r="U179" s="310"/>
      <c r="V179" s="310"/>
      <c r="W179" s="310"/>
      <c r="X179" s="310"/>
    </row>
    <row r="180" spans="1:24" s="16" customFormat="1" outlineLevel="1">
      <c r="A180" s="420" t="str">
        <f t="shared" si="44"/>
        <v>Sin Pagar</v>
      </c>
      <c r="B180" s="420">
        <f t="shared" si="45"/>
        <v>3</v>
      </c>
      <c r="C180" s="356" t="s">
        <v>1428</v>
      </c>
      <c r="D180" s="357" t="s">
        <v>1429</v>
      </c>
      <c r="E180" s="375">
        <f>1563888</f>
        <v>1563888</v>
      </c>
      <c r="F180" s="7">
        <v>46126</v>
      </c>
      <c r="G180" s="16" t="s">
        <v>5</v>
      </c>
      <c r="H180" s="16">
        <f>IF(OR(G180="Sin pagar",G180="Pagar"),NETWORKDAYS($J$90,F180,'Festivos Colombia'!$A$3:$A$22),0)</f>
        <v>8</v>
      </c>
      <c r="I180" s="16">
        <f>NETWORKDAYS($J$90,F180,'Festivos Colombia'!$A$3:$A$22)</f>
        <v>8</v>
      </c>
      <c r="J180" s="46">
        <f t="shared" si="46"/>
        <v>8</v>
      </c>
      <c r="K180" s="359"/>
      <c r="L180" s="96"/>
      <c r="M180" s="310"/>
      <c r="N180" s="310"/>
      <c r="O180" s="310"/>
      <c r="P180" s="310"/>
      <c r="Q180" s="310"/>
      <c r="R180" s="310"/>
      <c r="S180" s="310"/>
      <c r="T180" s="310"/>
      <c r="U180" s="310"/>
      <c r="V180" s="310"/>
      <c r="W180" s="310"/>
      <c r="X180" s="310"/>
    </row>
    <row r="181" spans="1:24" s="16" customFormat="1" ht="15.75" outlineLevel="1" thickBot="1">
      <c r="A181" s="310" t="str">
        <f t="shared" si="44"/>
        <v>Sin Pagar</v>
      </c>
      <c r="B181" s="310">
        <f t="shared" si="45"/>
        <v>4</v>
      </c>
      <c r="C181" s="786" t="s">
        <v>1196</v>
      </c>
      <c r="D181" s="357" t="s">
        <v>1013</v>
      </c>
      <c r="E181" s="358">
        <f>5506137</f>
        <v>5506137</v>
      </c>
      <c r="F181" s="522">
        <v>46142</v>
      </c>
      <c r="G181" s="16" t="s">
        <v>5</v>
      </c>
      <c r="H181" s="16">
        <f>IF(OR(G181="Sin pagar",G181="Pagar"),NETWORKDAYS($J$90,F181,'Festivos Colombia'!$A$3:$A$22),0)</f>
        <v>20</v>
      </c>
      <c r="I181" s="16">
        <f>NETWORKDAYS($J$90,F181,'Festivos Colombia'!$A$3:$A$22)</f>
        <v>20</v>
      </c>
      <c r="J181" s="46">
        <f t="shared" si="46"/>
        <v>20</v>
      </c>
      <c r="K181" s="58" t="s">
        <v>44</v>
      </c>
      <c r="L181" s="96"/>
      <c r="M181" s="310"/>
      <c r="N181" s="310"/>
      <c r="O181" s="310"/>
      <c r="P181" s="310"/>
      <c r="Q181" s="310"/>
      <c r="R181" s="310"/>
      <c r="S181" s="310"/>
      <c r="T181" s="310"/>
      <c r="U181" s="310"/>
      <c r="V181" s="310"/>
      <c r="W181" s="310"/>
      <c r="X181" s="310"/>
    </row>
    <row r="182" spans="1:24" s="16" customFormat="1" ht="16.5" thickBot="1">
      <c r="D182" s="351" t="s">
        <v>67</v>
      </c>
      <c r="E182" s="352">
        <f>SUBTOTAL(9,E183:E189)</f>
        <v>1961113867.2</v>
      </c>
      <c r="J182" s="46"/>
      <c r="L182" s="25"/>
      <c r="M182" s="84"/>
      <c r="O182" s="25"/>
    </row>
    <row r="183" spans="1:24" s="16" customFormat="1" outlineLevel="1">
      <c r="A183" s="16" t="str">
        <f t="shared" ref="A183" si="47">G183</f>
        <v>Sin Pagar</v>
      </c>
      <c r="B183" s="16">
        <f t="shared" ref="B183" si="48">IF(I183&lt;=-1,1,IF(I183&lt;=5,2,IF(I183&lt;=15,3,IF(H183&lt;=60,4))))</f>
        <v>4</v>
      </c>
      <c r="C183" s="60" t="s">
        <v>1330</v>
      </c>
      <c r="D183" s="683" t="s">
        <v>1393</v>
      </c>
      <c r="E183" s="8">
        <v>200315000</v>
      </c>
      <c r="F183" s="7">
        <v>46140</v>
      </c>
      <c r="G183" s="16" t="s">
        <v>5</v>
      </c>
      <c r="H183" s="16">
        <f>IF(OR(G183="Sin pagar",G183="Pagar"),NETWORKDAYS($J$90,F183,'Festivos Colombia'!$A$3:$A$22),0)</f>
        <v>18</v>
      </c>
      <c r="I183" s="16">
        <f>NETWORKDAYS($J$90,F183,'Festivos Colombia'!$A$3:$A$22)</f>
        <v>18</v>
      </c>
      <c r="J183" s="46">
        <f t="shared" ref="J183:J187" si="49">H183</f>
        <v>18</v>
      </c>
      <c r="K183" s="58"/>
      <c r="L183" s="8"/>
      <c r="M183" s="8"/>
      <c r="N183" s="53"/>
    </row>
    <row r="184" spans="1:24" s="16" customFormat="1" outlineLevel="1">
      <c r="C184" s="60"/>
      <c r="D184" s="780" t="s">
        <v>1714</v>
      </c>
      <c r="E184" s="8">
        <v>1439387078</v>
      </c>
      <c r="F184" s="7">
        <v>46140</v>
      </c>
      <c r="G184" s="16" t="s">
        <v>5</v>
      </c>
      <c r="H184" s="16">
        <f>IF(OR(G184="Sin pagar",G184="Pagar"),NETWORKDAYS($J$90,F184,'Festivos Colombia'!$A$3:$A$22),0)</f>
        <v>18</v>
      </c>
      <c r="I184" s="16">
        <f>NETWORKDAYS($J$90,F184,'Festivos Colombia'!$A$3:$A$22)</f>
        <v>18</v>
      </c>
      <c r="J184" s="46">
        <f t="shared" si="49"/>
        <v>18</v>
      </c>
      <c r="K184" s="58"/>
      <c r="L184" s="8"/>
      <c r="M184" s="8"/>
      <c r="N184" s="53"/>
    </row>
    <row r="185" spans="1:24" s="16" customFormat="1" outlineLevel="1">
      <c r="C185" s="60"/>
      <c r="D185" s="780" t="s">
        <v>1715</v>
      </c>
      <c r="E185" s="8">
        <f>292487078</f>
        <v>292487078</v>
      </c>
      <c r="F185" s="7">
        <v>46140</v>
      </c>
      <c r="G185" s="16" t="s">
        <v>5</v>
      </c>
      <c r="H185" s="16">
        <f>IF(OR(G185="Sin pagar",G185="Pagar"),NETWORKDAYS($J$90,F185,'Festivos Colombia'!$A$3:$A$22),0)</f>
        <v>18</v>
      </c>
      <c r="I185" s="16">
        <f>NETWORKDAYS($J$90,F185,'Festivos Colombia'!$A$3:$A$22)</f>
        <v>18</v>
      </c>
      <c r="J185" s="46">
        <f t="shared" si="49"/>
        <v>18</v>
      </c>
      <c r="K185" s="58"/>
      <c r="L185" s="8"/>
      <c r="M185" s="8"/>
      <c r="N185" s="53"/>
    </row>
    <row r="186" spans="1:24" s="16" customFormat="1" ht="14.25" customHeight="1" outlineLevel="1">
      <c r="A186" s="16" t="str">
        <f>G186</f>
        <v>Sin Pagar</v>
      </c>
      <c r="B186" s="16">
        <f>IF(I186&lt;=-1,1,IF(I186&lt;=5,2,IF(I186&lt;=15,3,IF(H186&lt;=60,4))))</f>
        <v>4</v>
      </c>
      <c r="C186" s="60" t="s">
        <v>114</v>
      </c>
      <c r="D186" s="9" t="s">
        <v>123</v>
      </c>
      <c r="E186" s="8">
        <v>1112000</v>
      </c>
      <c r="F186" s="7">
        <v>46142</v>
      </c>
      <c r="G186" s="16" t="s">
        <v>5</v>
      </c>
      <c r="H186" s="16">
        <f>IF(OR(G186="Sin pagar",G186="Pagar"),NETWORKDAYS($J$90,F186,'Festivos Colombia'!$A$3:$A$22),0)</f>
        <v>20</v>
      </c>
      <c r="I186" s="16">
        <f>NETWORKDAYS($J$90,F186,'Festivos Colombia'!$A$3:$A$22)</f>
        <v>20</v>
      </c>
      <c r="J186" s="46">
        <f t="shared" si="49"/>
        <v>20</v>
      </c>
      <c r="K186" s="58"/>
      <c r="M186" s="25"/>
    </row>
    <row r="187" spans="1:24" s="16" customFormat="1" outlineLevel="1">
      <c r="A187" s="16" t="str">
        <f>G187</f>
        <v>Sin Pagar</v>
      </c>
      <c r="B187" s="16">
        <f>IF(I187&lt;=-1,1,IF(I187&lt;=5,2,IF(I187&lt;=15,3,IF(H187&lt;=60,4))))</f>
        <v>4</v>
      </c>
      <c r="C187" s="56" t="s">
        <v>1596</v>
      </c>
      <c r="D187" s="9" t="s">
        <v>1304</v>
      </c>
      <c r="E187" s="8">
        <f>13700000*1.19</f>
        <v>16303000</v>
      </c>
      <c r="F187" s="7">
        <v>46142</v>
      </c>
      <c r="G187" s="16" t="s">
        <v>5</v>
      </c>
      <c r="H187" s="16">
        <f>IF(OR(G187="Sin pagar",G187="Pagar"),NETWORKDAYS($J$90,F187,'Festivos Colombia'!$A$3:$A$22),0)</f>
        <v>20</v>
      </c>
      <c r="I187" s="16">
        <f>NETWORKDAYS($J$90,F187,'Festivos Colombia'!$A$3:$A$22)</f>
        <v>20</v>
      </c>
      <c r="J187" s="46">
        <f t="shared" si="49"/>
        <v>20</v>
      </c>
      <c r="K187" s="58"/>
      <c r="M187" s="25"/>
    </row>
    <row r="188" spans="1:24" s="16" customFormat="1" outlineLevel="1">
      <c r="A188" s="16" t="str">
        <f>G188</f>
        <v>Sin Pagar</v>
      </c>
      <c r="B188" s="16">
        <f>IF(I188&lt;=-1,1,IF(I188&lt;=5,2,IF(I188&lt;=15,3,IF(H188&lt;=60,4))))</f>
        <v>4</v>
      </c>
      <c r="C188" s="56"/>
      <c r="D188" s="9" t="s">
        <v>1770</v>
      </c>
      <c r="E188" s="8">
        <f>6810480*1.19</f>
        <v>8104471.1999999993</v>
      </c>
      <c r="F188" s="7">
        <v>46142</v>
      </c>
      <c r="G188" s="16" t="s">
        <v>5</v>
      </c>
      <c r="H188" s="16">
        <f>IF(OR(G188="Sin pagar",G188="Pagar"),NETWORKDAYS($J$90,F188,'Festivos Colombia'!$A$3:$A$22),0)</f>
        <v>20</v>
      </c>
      <c r="I188" s="16">
        <f>NETWORKDAYS($J$90,F188,'Festivos Colombia'!$A$3:$A$22)</f>
        <v>20</v>
      </c>
      <c r="J188" s="46">
        <f t="shared" ref="J188" si="50">H188</f>
        <v>20</v>
      </c>
      <c r="K188" s="58"/>
      <c r="M188" s="25"/>
    </row>
    <row r="189" spans="1:24" s="16" customFormat="1" ht="15.75" outlineLevel="1" thickBot="1">
      <c r="A189" s="16" t="str">
        <f>G189</f>
        <v>Sin Pagar</v>
      </c>
      <c r="B189" s="16">
        <f>IF(I189&lt;=-1,1,IF(I189&lt;=5,2,IF(I189&lt;=15,3,IF(H189&lt;=60,4))))</f>
        <v>4</v>
      </c>
      <c r="C189" s="56"/>
      <c r="D189" s="9" t="s">
        <v>1771</v>
      </c>
      <c r="E189" s="8">
        <v>3405240</v>
      </c>
      <c r="F189" s="7">
        <v>46142</v>
      </c>
      <c r="G189" s="16" t="s">
        <v>5</v>
      </c>
      <c r="H189" s="16">
        <f>IF(OR(G189="Sin pagar",G189="Pagar"),NETWORKDAYS($J$90,F189,'Festivos Colombia'!$A$3:$A$22),0)</f>
        <v>20</v>
      </c>
      <c r="I189" s="16">
        <f>NETWORKDAYS($J$90,F189,'Festivos Colombia'!$A$3:$A$22)</f>
        <v>20</v>
      </c>
      <c r="J189" s="46">
        <f t="shared" ref="J189" si="51">H189</f>
        <v>20</v>
      </c>
      <c r="K189" s="58"/>
      <c r="M189" s="25"/>
    </row>
    <row r="190" spans="1:24" s="16" customFormat="1" ht="16.5" thickBot="1">
      <c r="C190" s="24"/>
      <c r="D190" s="351" t="s">
        <v>71</v>
      </c>
      <c r="E190" s="352">
        <f>SUBTOTAL(9,E191:E193)</f>
        <v>55000000</v>
      </c>
      <c r="J190" s="46"/>
      <c r="K190" s="25"/>
    </row>
    <row r="191" spans="1:24" s="16" customFormat="1" outlineLevel="1">
      <c r="A191" s="16" t="e">
        <f>#REF!</f>
        <v>#REF!</v>
      </c>
      <c r="B191" s="16">
        <f>IF(I191&lt;=-1,1,IF(I191&lt;=5,2,IF(I191&lt;=15,3,IF(H191&lt;=60,4))))</f>
        <v>2</v>
      </c>
      <c r="C191" s="24"/>
      <c r="D191" s="9" t="s">
        <v>1640</v>
      </c>
      <c r="E191" s="8">
        <f>138978592*0</f>
        <v>0</v>
      </c>
      <c r="F191" s="353">
        <v>46118</v>
      </c>
      <c r="G191" s="16" t="s">
        <v>20</v>
      </c>
      <c r="H191" s="16">
        <f>IF(OR(G191="Sin pagar",G191="Pagar"),NETWORKDAYS($J$90,F191,'Festivos Colombia'!$A$3:$A$22),0)</f>
        <v>0</v>
      </c>
      <c r="I191" s="16">
        <f>NETWORKDAYS($J$90,F191,'Festivos Colombia'!$A$3:$A$22)</f>
        <v>2</v>
      </c>
      <c r="J191" s="46">
        <f>H191</f>
        <v>0</v>
      </c>
      <c r="K191" s="58"/>
      <c r="L191" s="25"/>
      <c r="M191" s="41"/>
    </row>
    <row r="192" spans="1:24" s="16" customFormat="1" outlineLevel="1">
      <c r="A192" s="16" t="e">
        <f>#REF!</f>
        <v>#REF!</v>
      </c>
      <c r="B192" s="16">
        <f t="shared" ref="B192" si="52">IF(I192&lt;=-1,1,IF(I192&lt;=5,2,IF(I192&lt;=15,3,IF(H192&lt;=60,4))))</f>
        <v>3</v>
      </c>
      <c r="C192" s="24"/>
      <c r="D192" s="9" t="s">
        <v>1746</v>
      </c>
      <c r="E192" s="8">
        <v>30000000</v>
      </c>
      <c r="F192" s="7">
        <v>46129</v>
      </c>
      <c r="G192" s="16" t="s">
        <v>5</v>
      </c>
      <c r="H192" s="16">
        <f>IF(OR(G192="Sin pagar",G192="Pagar"),NETWORKDAYS($J$90,F192,'Festivos Colombia'!$A$3:$A$22),0)</f>
        <v>11</v>
      </c>
      <c r="I192" s="16">
        <f>NETWORKDAYS($J$90,F192,'Festivos Colombia'!$A$3:$A$22)</f>
        <v>11</v>
      </c>
      <c r="J192" s="46">
        <f t="shared" ref="J192" si="53">H192</f>
        <v>11</v>
      </c>
      <c r="K192" s="58"/>
      <c r="L192" s="25"/>
      <c r="M192" s="41"/>
    </row>
    <row r="193" spans="1:24" s="16" customFormat="1" ht="15.75" outlineLevel="1" thickBot="1">
      <c r="A193" s="16" t="e">
        <f>#REF!</f>
        <v>#REF!</v>
      </c>
      <c r="B193" s="16">
        <f t="shared" ref="B193" si="54">IF(I193&lt;=-1,1,IF(I193&lt;=5,2,IF(I193&lt;=15,3,IF(H193&lt;=60,4))))</f>
        <v>4</v>
      </c>
      <c r="C193" s="24"/>
      <c r="D193" s="9" t="s">
        <v>1746</v>
      </c>
      <c r="E193" s="8">
        <v>25000000</v>
      </c>
      <c r="F193" s="7">
        <v>46142</v>
      </c>
      <c r="G193" s="16" t="s">
        <v>5</v>
      </c>
      <c r="H193" s="16">
        <f>IF(OR(G193="Sin pagar",G193="Pagar"),NETWORKDAYS($J$90,F193,'Festivos Colombia'!$A$3:$A$22),0)</f>
        <v>20</v>
      </c>
      <c r="I193" s="16">
        <f>NETWORKDAYS($J$90,F193,'Festivos Colombia'!$A$3:$A$22)</f>
        <v>20</v>
      </c>
      <c r="J193" s="46">
        <f t="shared" ref="J193" si="55">H193</f>
        <v>20</v>
      </c>
      <c r="K193" s="58"/>
      <c r="L193" s="25"/>
      <c r="M193" s="41"/>
    </row>
    <row r="194" spans="1:24" s="16" customFormat="1" ht="16.5" thickBot="1">
      <c r="C194" s="36"/>
      <c r="D194" s="351" t="s">
        <v>72</v>
      </c>
      <c r="E194" s="352">
        <f>SUBTOTAL(9,E195:E202)</f>
        <v>153201126.15000001</v>
      </c>
      <c r="J194" s="46"/>
      <c r="K194" s="25"/>
      <c r="M194" s="25"/>
    </row>
    <row r="195" spans="1:24" s="16" customFormat="1" ht="15" customHeight="1" outlineLevel="1">
      <c r="A195" s="310" t="str">
        <f t="shared" ref="A195:A200" si="56">G195</f>
        <v>Cancelado</v>
      </c>
      <c r="B195" s="310">
        <f t="shared" ref="B195:B200" si="57">IF(I195&lt;=-1,1,IF(I195&lt;=5,2,IF(I195&lt;=15,3,IF(H195&lt;=60,4))))</f>
        <v>2</v>
      </c>
      <c r="C195" s="325"/>
      <c r="D195" s="780" t="s">
        <v>1666</v>
      </c>
      <c r="E195" s="350">
        <f>300000*0</f>
        <v>0</v>
      </c>
      <c r="F195" s="7">
        <v>46119</v>
      </c>
      <c r="G195" s="16" t="s">
        <v>20</v>
      </c>
      <c r="H195" s="16">
        <f>IF(OR(G195="Sin pagar",G195="Pagar"),NETWORKDAYS($J$90,F195,'Festivos Colombia'!$A$3:$A$22),0)</f>
        <v>0</v>
      </c>
      <c r="I195" s="16">
        <f>NETWORKDAYS($J$90,F195,'Festivos Colombia'!$A$3:$A$22)</f>
        <v>3</v>
      </c>
      <c r="J195" s="46">
        <f t="shared" ref="J195:J200" si="58">H195</f>
        <v>0</v>
      </c>
      <c r="K195" s="312"/>
      <c r="L195" s="310"/>
      <c r="M195" s="313"/>
      <c r="N195" s="310"/>
      <c r="O195" s="310"/>
      <c r="P195" s="310"/>
      <c r="Q195" s="310"/>
      <c r="R195" s="310"/>
      <c r="S195" s="310"/>
      <c r="T195" s="310"/>
      <c r="U195" s="310"/>
      <c r="V195" s="310"/>
      <c r="W195" s="310"/>
      <c r="X195" s="310"/>
    </row>
    <row r="196" spans="1:24" s="16" customFormat="1" ht="15" customHeight="1" outlineLevel="1">
      <c r="A196" s="310" t="str">
        <f t="shared" si="56"/>
        <v>Cancelado</v>
      </c>
      <c r="B196" s="310">
        <f t="shared" si="57"/>
        <v>2</v>
      </c>
      <c r="C196" s="295" t="s">
        <v>38</v>
      </c>
      <c r="D196" s="780" t="s">
        <v>1717</v>
      </c>
      <c r="E196" s="350">
        <v>166600</v>
      </c>
      <c r="F196" s="353">
        <v>46120</v>
      </c>
      <c r="G196" s="16" t="s">
        <v>20</v>
      </c>
      <c r="H196" s="16">
        <f>IF(OR(G196="Sin pagar",G196="Pagar"),NETWORKDAYS($J$90,F196,'Festivos Colombia'!$A$3:$A$22),0)</f>
        <v>0</v>
      </c>
      <c r="I196" s="16">
        <f>NETWORKDAYS($J$90,F196,'Festivos Colombia'!$A$3:$A$22)</f>
        <v>4</v>
      </c>
      <c r="J196" s="46">
        <f t="shared" si="58"/>
        <v>0</v>
      </c>
      <c r="K196" s="312"/>
      <c r="L196" s="310"/>
      <c r="M196" s="313"/>
      <c r="N196" s="310"/>
      <c r="O196" s="310"/>
      <c r="P196" s="310"/>
      <c r="Q196" s="310"/>
      <c r="R196" s="310"/>
      <c r="S196" s="310"/>
      <c r="T196" s="310"/>
      <c r="U196" s="310"/>
      <c r="V196" s="310"/>
      <c r="W196" s="310"/>
      <c r="X196" s="310"/>
    </row>
    <row r="197" spans="1:24" s="16" customFormat="1" ht="15" customHeight="1" outlineLevel="1">
      <c r="A197" s="310" t="str">
        <f t="shared" si="56"/>
        <v>Sin Pagar</v>
      </c>
      <c r="B197" s="310">
        <f t="shared" si="57"/>
        <v>3</v>
      </c>
      <c r="C197" s="787">
        <v>10025785</v>
      </c>
      <c r="D197" s="683" t="s">
        <v>1427</v>
      </c>
      <c r="E197" s="350">
        <v>12100</v>
      </c>
      <c r="F197" s="7">
        <v>46122</v>
      </c>
      <c r="G197" s="16" t="s">
        <v>5</v>
      </c>
      <c r="H197" s="16">
        <f>IF(OR(G197="Sin pagar",G197="Pagar"),NETWORKDAYS($J$90,F197,'Festivos Colombia'!$A$3:$A$22),0)</f>
        <v>6</v>
      </c>
      <c r="I197" s="16">
        <f>NETWORKDAYS($J$90,F197,'Festivos Colombia'!$A$3:$A$22)</f>
        <v>6</v>
      </c>
      <c r="J197" s="46">
        <f t="shared" si="58"/>
        <v>6</v>
      </c>
      <c r="K197" s="312"/>
      <c r="L197" s="310"/>
      <c r="M197" s="313"/>
      <c r="N197" s="310"/>
      <c r="O197" s="310"/>
      <c r="P197" s="310"/>
      <c r="Q197" s="310"/>
      <c r="R197" s="310"/>
      <c r="S197" s="310"/>
      <c r="T197" s="310"/>
      <c r="U197" s="310"/>
      <c r="V197" s="310"/>
      <c r="W197" s="310"/>
      <c r="X197" s="310"/>
    </row>
    <row r="198" spans="1:24" s="16" customFormat="1" ht="15" customHeight="1" outlineLevel="1">
      <c r="A198" s="310" t="str">
        <f t="shared" si="56"/>
        <v>Sin Pagar</v>
      </c>
      <c r="B198" s="310">
        <f t="shared" si="57"/>
        <v>3</v>
      </c>
      <c r="C198" s="295" t="s">
        <v>38</v>
      </c>
      <c r="D198" s="780" t="s">
        <v>1755</v>
      </c>
      <c r="E198" s="350">
        <f>4700000*10</f>
        <v>47000000</v>
      </c>
      <c r="F198" s="7">
        <v>46129</v>
      </c>
      <c r="G198" s="16" t="s">
        <v>5</v>
      </c>
      <c r="H198" s="16">
        <f>IF(OR(G198="Sin pagar",G198="Pagar"),NETWORKDAYS($J$90,F198,'Festivos Colombia'!$A$3:$A$22),0)</f>
        <v>11</v>
      </c>
      <c r="I198" s="16">
        <f>NETWORKDAYS($J$90,F198,'Festivos Colombia'!$A$3:$A$22)</f>
        <v>11</v>
      </c>
      <c r="J198" s="46">
        <f t="shared" si="58"/>
        <v>11</v>
      </c>
      <c r="K198" s="312"/>
      <c r="L198" s="310"/>
      <c r="M198" s="313"/>
      <c r="N198" s="310"/>
      <c r="O198" s="310"/>
      <c r="P198" s="310"/>
      <c r="Q198" s="310"/>
      <c r="R198" s="310"/>
      <c r="S198" s="310"/>
      <c r="T198" s="310"/>
      <c r="U198" s="310"/>
      <c r="V198" s="310"/>
      <c r="W198" s="310"/>
      <c r="X198" s="310"/>
    </row>
    <row r="199" spans="1:24" s="16" customFormat="1" ht="15" customHeight="1" outlineLevel="1">
      <c r="A199" s="310" t="str">
        <f t="shared" si="56"/>
        <v>Sin Pagar</v>
      </c>
      <c r="B199" s="310">
        <f t="shared" si="57"/>
        <v>4</v>
      </c>
      <c r="C199" s="295" t="s">
        <v>38</v>
      </c>
      <c r="D199" s="780" t="s">
        <v>1755</v>
      </c>
      <c r="E199" s="350">
        <f>4700000*5</f>
        <v>23500000</v>
      </c>
      <c r="F199" s="7">
        <v>46136</v>
      </c>
      <c r="G199" s="16" t="s">
        <v>5</v>
      </c>
      <c r="H199" s="16">
        <f>IF(OR(G199="Sin pagar",G199="Pagar"),NETWORKDAYS($J$90,F199,'Festivos Colombia'!$A$3:$A$22),0)</f>
        <v>16</v>
      </c>
      <c r="I199" s="16">
        <f>NETWORKDAYS($J$90,F199,'Festivos Colombia'!$A$3:$A$22)</f>
        <v>16</v>
      </c>
      <c r="J199" s="46">
        <f t="shared" si="58"/>
        <v>16</v>
      </c>
      <c r="K199" s="312"/>
      <c r="L199" s="310"/>
      <c r="M199" s="313"/>
      <c r="N199" s="310"/>
      <c r="O199" s="310"/>
      <c r="P199" s="310"/>
      <c r="Q199" s="310"/>
      <c r="R199" s="310"/>
      <c r="S199" s="310"/>
      <c r="T199" s="310"/>
      <c r="U199" s="310"/>
      <c r="V199" s="310"/>
      <c r="W199" s="310"/>
      <c r="X199" s="310"/>
    </row>
    <row r="200" spans="1:24" s="16" customFormat="1" ht="15" customHeight="1" outlineLevel="1">
      <c r="A200" s="310" t="str">
        <f t="shared" si="56"/>
        <v>Sin Pagar</v>
      </c>
      <c r="B200" s="310">
        <f t="shared" si="57"/>
        <v>4</v>
      </c>
      <c r="C200" s="709" t="s">
        <v>1450</v>
      </c>
      <c r="D200" s="780" t="s">
        <v>1718</v>
      </c>
      <c r="E200" s="350">
        <v>15000000</v>
      </c>
      <c r="F200" s="7">
        <v>46136</v>
      </c>
      <c r="G200" s="16" t="s">
        <v>5</v>
      </c>
      <c r="H200" s="16">
        <f>IF(OR(G200="Sin pagar",G200="Pagar"),NETWORKDAYS($J$90,F200,'Festivos Colombia'!$A$3:$A$22),0)</f>
        <v>16</v>
      </c>
      <c r="I200" s="16">
        <f>NETWORKDAYS($J$90,F200,'Festivos Colombia'!$A$3:$A$22)</f>
        <v>16</v>
      </c>
      <c r="J200" s="46">
        <f t="shared" si="58"/>
        <v>16</v>
      </c>
      <c r="K200" s="312"/>
      <c r="L200" s="310"/>
      <c r="M200" s="313"/>
      <c r="N200" s="310"/>
      <c r="O200" s="310"/>
      <c r="P200" s="310"/>
      <c r="Q200" s="310"/>
      <c r="R200" s="310"/>
      <c r="S200" s="310"/>
      <c r="T200" s="310"/>
      <c r="U200" s="310"/>
      <c r="V200" s="310"/>
      <c r="W200" s="310"/>
      <c r="X200" s="310"/>
    </row>
    <row r="201" spans="1:24" s="16" customFormat="1" ht="15" customHeight="1" outlineLevel="1">
      <c r="A201" s="310" t="str">
        <f t="shared" ref="A201" si="59">G201</f>
        <v>Sin Pagar</v>
      </c>
      <c r="B201" s="310">
        <f t="shared" ref="B201" si="60">IF(I201&lt;=-1,1,IF(I201&lt;=5,2,IF(I201&lt;=15,3,IF(H201&lt;=60,4))))</f>
        <v>4</v>
      </c>
      <c r="C201" s="325"/>
      <c r="D201" s="683" t="s">
        <v>1102</v>
      </c>
      <c r="E201" s="350">
        <f>(89512000/2)</f>
        <v>44756000</v>
      </c>
      <c r="F201" s="7">
        <v>46142</v>
      </c>
      <c r="G201" s="16" t="s">
        <v>5</v>
      </c>
      <c r="H201" s="16">
        <f>IF(OR(G201="Sin pagar",G201="Pagar"),NETWORKDAYS($J$90,F201,'Festivos Colombia'!$A$3:$A$22),0)</f>
        <v>20</v>
      </c>
      <c r="I201" s="16">
        <f>NETWORKDAYS($J$90,F201,'Festivos Colombia'!$A$3:$A$22)</f>
        <v>20</v>
      </c>
      <c r="J201" s="46">
        <f t="shared" ref="J201" si="61">H201</f>
        <v>20</v>
      </c>
      <c r="K201" s="312"/>
      <c r="L201" s="310"/>
      <c r="M201" s="313"/>
      <c r="N201" s="310"/>
      <c r="O201" s="310"/>
      <c r="P201" s="310"/>
      <c r="Q201" s="310"/>
      <c r="R201" s="310"/>
      <c r="S201" s="310"/>
      <c r="T201" s="310"/>
      <c r="U201" s="310"/>
      <c r="V201" s="310"/>
      <c r="W201" s="310"/>
      <c r="X201" s="310"/>
    </row>
    <row r="202" spans="1:24" s="16" customFormat="1" ht="15" customHeight="1" outlineLevel="1" thickBot="1">
      <c r="A202" s="310" t="str">
        <f>G202</f>
        <v>Sin Pagar</v>
      </c>
      <c r="B202" s="310">
        <f>IF(I202&lt;=-1,1,IF(I202&lt;=5,2,IF(I202&lt;=15,3,IF(H202&lt;=60,4))))</f>
        <v>4</v>
      </c>
      <c r="C202" s="709"/>
      <c r="D202" s="780" t="s">
        <v>1716</v>
      </c>
      <c r="E202" s="350">
        <v>22766426.149999999</v>
      </c>
      <c r="F202" s="7">
        <v>46142</v>
      </c>
      <c r="G202" s="16" t="s">
        <v>5</v>
      </c>
      <c r="H202" s="16">
        <f>IF(OR(G202="Sin pagar",G202="Pagar"),NETWORKDAYS($J$90,F202,'Festivos Colombia'!$A$3:$A$22),0)</f>
        <v>20</v>
      </c>
      <c r="I202" s="16">
        <f>NETWORKDAYS($J$90,F202,'Festivos Colombia'!$A$3:$A$22)</f>
        <v>20</v>
      </c>
      <c r="J202" s="46">
        <f>H202</f>
        <v>20</v>
      </c>
      <c r="K202" s="312"/>
      <c r="L202" s="310"/>
      <c r="M202" s="313"/>
      <c r="N202" s="310"/>
      <c r="O202" s="310"/>
      <c r="P202" s="310"/>
      <c r="Q202" s="310"/>
      <c r="R202" s="310"/>
      <c r="S202" s="310"/>
      <c r="T202" s="310"/>
      <c r="U202" s="310"/>
      <c r="V202" s="310"/>
      <c r="W202" s="310"/>
      <c r="X202" s="310"/>
    </row>
    <row r="203" spans="1:24" s="16" customFormat="1" ht="14.25" customHeight="1">
      <c r="C203" s="24"/>
      <c r="D203" s="85" t="s">
        <v>73</v>
      </c>
      <c r="E203" s="360">
        <f>SUBTOTAL(9,E92:E202)</f>
        <v>3134841788.4499998</v>
      </c>
      <c r="L203" s="69"/>
      <c r="M203" s="69"/>
      <c r="N203" s="69"/>
      <c r="O203" s="69"/>
      <c r="S203" s="69"/>
      <c r="T203" s="69"/>
      <c r="U203" s="69"/>
    </row>
    <row r="204" spans="1:24" ht="15.75">
      <c r="B204" s="16"/>
      <c r="E204" s="346"/>
      <c r="F204" s="5"/>
      <c r="G204" s="5"/>
      <c r="H204" s="5"/>
      <c r="I204" s="5"/>
      <c r="J204" s="5"/>
      <c r="K204" s="5"/>
    </row>
    <row r="205" spans="1:24" ht="15.75">
      <c r="B205" s="16"/>
      <c r="D205" s="86" t="s">
        <v>74</v>
      </c>
      <c r="E205" s="4">
        <f>E87-E203</f>
        <v>743588068.59859276</v>
      </c>
      <c r="F205" s="87"/>
      <c r="G205" s="88"/>
      <c r="J205" s="88"/>
      <c r="K205" s="88"/>
    </row>
    <row r="206" spans="1:24" s="89" customFormat="1" ht="15.75">
      <c r="B206" s="16"/>
      <c r="C206" s="90"/>
      <c r="D206" s="86" t="s">
        <v>75</v>
      </c>
      <c r="E206" s="91">
        <f>IF($E$87=0,0,E205/$E$87)</f>
        <v>0.19172399553577291</v>
      </c>
      <c r="F206" s="92"/>
      <c r="G206" s="690"/>
      <c r="J206" s="93"/>
      <c r="K206" s="690">
        <v>780000000</v>
      </c>
      <c r="L206" s="88">
        <f>+K206-E205</f>
        <v>36411931.401407242</v>
      </c>
      <c r="M206" s="69"/>
      <c r="N206" s="69"/>
      <c r="O206" s="69"/>
      <c r="S206" s="69"/>
      <c r="T206" s="69"/>
      <c r="U206" s="69"/>
    </row>
    <row r="207" spans="1:24" ht="15.75" thickBot="1">
      <c r="B207" s="16"/>
      <c r="E207" s="346"/>
      <c r="F207" s="92"/>
      <c r="G207" s="690"/>
      <c r="J207" s="171"/>
      <c r="K207" s="88"/>
    </row>
    <row r="208" spans="1:24" s="16" customFormat="1" ht="15.75" thickBot="1">
      <c r="A208" s="69"/>
      <c r="C208" s="70"/>
      <c r="D208" s="173" t="s">
        <v>76</v>
      </c>
      <c r="E208" s="174"/>
      <c r="F208" s="362"/>
      <c r="G208" s="69"/>
      <c r="H208" s="69"/>
      <c r="I208" s="69"/>
      <c r="J208" s="69"/>
      <c r="K208" s="69"/>
      <c r="L208" s="88">
        <f>L206*2</f>
        <v>72823862.802814484</v>
      </c>
      <c r="M208" s="69"/>
      <c r="N208" s="69"/>
      <c r="O208" s="69"/>
      <c r="P208" s="69"/>
      <c r="Q208" s="69"/>
      <c r="R208" s="69"/>
      <c r="S208" s="69"/>
      <c r="T208" s="69"/>
      <c r="U208" s="69"/>
      <c r="V208" s="69"/>
      <c r="W208" s="69"/>
      <c r="X208" s="69"/>
    </row>
    <row r="209" spans="2:14">
      <c r="B209" s="16"/>
      <c r="D209" s="143" t="s">
        <v>77</v>
      </c>
      <c r="E209" s="363" t="s">
        <v>78</v>
      </c>
      <c r="F209" s="88"/>
    </row>
    <row r="210" spans="2:14">
      <c r="B210" s="16"/>
      <c r="D210" s="364" t="s">
        <v>79</v>
      </c>
      <c r="E210" s="365" t="s">
        <v>80</v>
      </c>
      <c r="F210" s="88"/>
    </row>
    <row r="211" spans="2:14">
      <c r="F211" s="596"/>
      <c r="G211" s="604"/>
      <c r="J211" s="604"/>
    </row>
    <row r="212" spans="2:14">
      <c r="D212" s="811"/>
      <c r="E212" s="812"/>
      <c r="G212" s="605"/>
      <c r="J212" s="606"/>
    </row>
    <row r="213" spans="2:14" ht="5.25" customHeight="1">
      <c r="D213" s="366"/>
      <c r="E213" s="346"/>
      <c r="K213" s="101"/>
    </row>
    <row r="214" spans="2:14">
      <c r="D214" s="801" t="s">
        <v>1772</v>
      </c>
      <c r="E214" s="346">
        <f>SUM(DISTRIBUCIÓN!F5:F12)</f>
        <v>943694936.48000002</v>
      </c>
      <c r="F214" s="346"/>
      <c r="G214" s="88"/>
      <c r="J214" s="88"/>
      <c r="K214" s="101"/>
    </row>
    <row r="215" spans="2:14" ht="15.75" thickBot="1">
      <c r="D215" s="366" t="s">
        <v>89</v>
      </c>
      <c r="E215" s="376">
        <f>(E214*4)/1000</f>
        <v>3774779.7459200001</v>
      </c>
      <c r="F215" s="346"/>
      <c r="G215" s="346"/>
      <c r="J215" s="346"/>
    </row>
    <row r="216" spans="2:14" ht="15.75" thickTop="1">
      <c r="D216" s="94" t="s">
        <v>90</v>
      </c>
      <c r="E216" s="61">
        <f>E214+E215</f>
        <v>947469716.22591996</v>
      </c>
      <c r="F216" s="61"/>
      <c r="G216" s="61"/>
      <c r="J216" s="61"/>
      <c r="K216" s="101"/>
    </row>
    <row r="217" spans="2:14">
      <c r="D217" s="94"/>
      <c r="E217" s="61"/>
      <c r="G217" s="88"/>
      <c r="J217" s="270"/>
      <c r="K217" s="101"/>
      <c r="L217" s="171"/>
    </row>
    <row r="218" spans="2:14">
      <c r="D218" s="366"/>
      <c r="E218" s="346"/>
      <c r="F218" s="240"/>
      <c r="G218" s="88"/>
      <c r="K218" s="101"/>
    </row>
    <row r="219" spans="2:14">
      <c r="D219" s="799" t="s">
        <v>1758</v>
      </c>
      <c r="E219" s="346">
        <v>8804728.6300000008</v>
      </c>
      <c r="F219" s="346"/>
      <c r="G219" s="88"/>
      <c r="H219" s="240"/>
      <c r="I219" s="88"/>
      <c r="J219" s="595"/>
      <c r="K219" s="284"/>
      <c r="N219" s="362"/>
    </row>
    <row r="220" spans="2:14" ht="15.75" thickBot="1">
      <c r="D220" s="800" t="s">
        <v>1759</v>
      </c>
      <c r="E220" s="746">
        <v>764845393.38999999</v>
      </c>
      <c r="F220" s="346"/>
      <c r="G220" s="88"/>
      <c r="H220" s="346"/>
      <c r="I220" s="346"/>
      <c r="J220" s="346"/>
      <c r="K220" s="101"/>
      <c r="L220" s="346"/>
      <c r="M220" s="88"/>
      <c r="N220" s="362"/>
    </row>
    <row r="221" spans="2:14" ht="15.75" thickTop="1">
      <c r="D221" s="103" t="s">
        <v>81</v>
      </c>
      <c r="E221" s="93">
        <f>SUM(E219:E220)</f>
        <v>773650122.01999998</v>
      </c>
      <c r="F221" s="346"/>
      <c r="G221" s="598"/>
      <c r="H221" s="240"/>
      <c r="I221" s="88"/>
      <c r="J221" s="595"/>
      <c r="K221" s="101"/>
      <c r="N221" s="362"/>
    </row>
    <row r="222" spans="2:14" ht="14.25" customHeight="1">
      <c r="D222" s="367"/>
      <c r="E222" s="361"/>
      <c r="F222" s="346"/>
      <c r="G222" s="598"/>
      <c r="H222" s="595"/>
      <c r="I222" s="598"/>
      <c r="J222" s="595"/>
      <c r="K222" s="101"/>
      <c r="N222" s="362"/>
    </row>
    <row r="223" spans="2:14">
      <c r="D223" s="269" t="s">
        <v>91</v>
      </c>
      <c r="E223" s="270">
        <f>E221-E216</f>
        <v>-173819594.20591998</v>
      </c>
      <c r="F223" s="346"/>
      <c r="G223" s="598"/>
      <c r="H223" s="595"/>
      <c r="I223" s="598"/>
      <c r="J223" s="595"/>
      <c r="K223" s="278"/>
    </row>
    <row r="224" spans="2:14">
      <c r="D224" s="269"/>
      <c r="E224" s="270"/>
      <c r="F224" s="346"/>
      <c r="G224" s="607"/>
      <c r="H224" s="595"/>
      <c r="I224" s="598"/>
      <c r="J224" s="595"/>
      <c r="K224" s="278"/>
    </row>
    <row r="225" spans="3:13">
      <c r="G225" s="596"/>
    </row>
    <row r="226" spans="3:13">
      <c r="G226" s="596"/>
    </row>
    <row r="227" spans="3:13">
      <c r="D227" s="798" t="s">
        <v>1760</v>
      </c>
      <c r="E227" s="314">
        <v>42967.01</v>
      </c>
      <c r="F227" s="314">
        <v>43246.46</v>
      </c>
      <c r="G227" s="170">
        <f>E227-F227</f>
        <v>-279.44999999999709</v>
      </c>
      <c r="K227" s="314">
        <v>2616.5500000000002</v>
      </c>
    </row>
    <row r="228" spans="3:13">
      <c r="D228" s="798" t="s">
        <v>1761</v>
      </c>
      <c r="E228" s="723">
        <v>36606225.825670041</v>
      </c>
      <c r="F228" s="369">
        <f>E228/480</f>
        <v>76262.970470145912</v>
      </c>
      <c r="G228" s="175">
        <f>F228+E229</f>
        <v>105138.20047014591</v>
      </c>
    </row>
    <row r="229" spans="3:13">
      <c r="C229" s="69"/>
      <c r="D229" s="798" t="s">
        <v>1762</v>
      </c>
      <c r="E229" s="314">
        <v>28875.23</v>
      </c>
    </row>
    <row r="230" spans="3:13">
      <c r="C230" s="69"/>
      <c r="D230" s="243" t="s">
        <v>1763</v>
      </c>
      <c r="E230" s="315">
        <v>523366.30346177786</v>
      </c>
      <c r="F230" s="370">
        <f>E230/7.46</f>
        <v>70156.340946619021</v>
      </c>
      <c r="G230" s="175">
        <f>F230+E231</f>
        <v>76652.830946619011</v>
      </c>
      <c r="L230" s="372"/>
      <c r="M230" s="372"/>
    </row>
    <row r="231" spans="3:13">
      <c r="C231" s="69"/>
      <c r="D231" s="243" t="s">
        <v>1764</v>
      </c>
      <c r="E231" s="314">
        <v>6496.4899999999907</v>
      </c>
    </row>
    <row r="232" spans="3:13">
      <c r="C232" s="69"/>
      <c r="D232" s="243" t="s">
        <v>1765</v>
      </c>
      <c r="E232" s="316">
        <v>382280.32127186365</v>
      </c>
      <c r="F232" s="377">
        <f>E232/3.52</f>
        <v>108602.36399768853</v>
      </c>
      <c r="G232" s="175">
        <f>F232+E233+F234+E235</f>
        <v>124251.85399004209</v>
      </c>
      <c r="K232" s="329"/>
      <c r="L232" s="329"/>
    </row>
    <row r="233" spans="3:13">
      <c r="C233" s="69"/>
      <c r="D233" s="243" t="s">
        <v>1766</v>
      </c>
      <c r="E233" s="314">
        <v>15140.983713283786</v>
      </c>
      <c r="F233" s="368"/>
      <c r="G233" s="341"/>
      <c r="J233" s="328"/>
    </row>
    <row r="234" spans="3:13">
      <c r="C234" s="69"/>
      <c r="D234" s="243" t="s">
        <v>1767</v>
      </c>
      <c r="E234" s="316">
        <v>1714.38</v>
      </c>
      <c r="F234" s="377">
        <f>E234/3.44</f>
        <v>498.36627906976747</v>
      </c>
      <c r="G234" s="341"/>
      <c r="J234" s="328"/>
    </row>
    <row r="235" spans="3:13">
      <c r="C235" s="69"/>
      <c r="D235" s="243" t="s">
        <v>1768</v>
      </c>
      <c r="E235" s="314">
        <v>10.14</v>
      </c>
      <c r="J235" s="328"/>
    </row>
    <row r="236" spans="3:13">
      <c r="C236" s="69"/>
      <c r="D236" s="243" t="s">
        <v>1769</v>
      </c>
      <c r="E236" s="331">
        <v>292927.05</v>
      </c>
      <c r="F236" s="297"/>
      <c r="G236" s="171"/>
    </row>
    <row r="237" spans="3:13">
      <c r="C237" s="69"/>
      <c r="D237" s="499"/>
      <c r="E237" s="371"/>
      <c r="F237" s="371"/>
      <c r="G237" s="171"/>
    </row>
    <row r="238" spans="3:13" ht="16.5" customHeight="1">
      <c r="C238" s="69"/>
      <c r="D238" s="760" t="s">
        <v>1614</v>
      </c>
      <c r="E238" s="315">
        <f>51472.96*0</f>
        <v>0</v>
      </c>
      <c r="F238" s="119" t="s">
        <v>82</v>
      </c>
      <c r="J238" s="368"/>
      <c r="K238" s="170"/>
    </row>
    <row r="239" spans="3:13">
      <c r="C239" s="69"/>
      <c r="D239" s="243"/>
      <c r="E239" s="371"/>
      <c r="F239" s="371"/>
      <c r="G239" s="171"/>
    </row>
    <row r="241" spans="4:6">
      <c r="D241" s="366" t="s">
        <v>2</v>
      </c>
      <c r="E241" s="346">
        <v>13</v>
      </c>
    </row>
    <row r="242" spans="4:6">
      <c r="D242" s="366" t="s">
        <v>158</v>
      </c>
      <c r="E242" s="346">
        <v>17</v>
      </c>
    </row>
    <row r="243" spans="4:6">
      <c r="D243" s="366"/>
      <c r="E243" s="378"/>
    </row>
    <row r="245" spans="4:6">
      <c r="E245" s="314"/>
    </row>
    <row r="249" spans="4:6">
      <c r="F249" s="71"/>
    </row>
  </sheetData>
  <protectedRanges>
    <protectedRange sqref="E207 F87:G87 E27:E31 J74:J75 J52:J58 E169 E5:F5 E21:E23 E32:F33 E10:E14 E15:F18 E24:F26 E34:E36" name="Presupuestos"/>
    <protectedRange sqref="E91" name="Presupuestos_1"/>
    <protectedRange sqref="E19:E20" name="Presupuestos_4"/>
    <protectedRange sqref="K104" name="Presupuestos_1_1_1_1"/>
    <protectedRange sqref="K186:K189" name="Presupuestos_2_1"/>
    <protectedRange sqref="K162" name="Presupuestos_7"/>
    <protectedRange sqref="E99:E101" name="Presupuestos_10"/>
    <protectedRange sqref="E107:E109 E114:E115 E105 E145:E146 E159:E160" name="Presupuestos_13_1"/>
    <protectedRange sqref="E117:E118" name="Presupuestos_14"/>
    <protectedRange sqref="E120:E122" name="Presupuestos_2_3"/>
    <protectedRange sqref="E154:E156 E106 E150 E147" name="Presupuestos_16_1"/>
    <protectedRange sqref="E151" name="Presupuestos_5_1_2"/>
    <protectedRange sqref="E171:E175" name="Presupuestos_18"/>
    <protectedRange sqref="E179:E181" name="Presupuestos_20"/>
    <protectedRange sqref="E186:E189" name="Presupuestos_5_2_1"/>
    <protectedRange sqref="E94" name="Presupuestos_6_2"/>
    <protectedRange sqref="E153" name="Presupuestos_5_3_1"/>
    <protectedRange sqref="E162" name="Presupuestos_7_1_1"/>
    <protectedRange sqref="J24:J25" name="Presupuestos_2"/>
    <protectedRange sqref="E133 E135:E136" name="Presupuestos_15_1"/>
    <protectedRange sqref="E138:E141" name="Presupuestos_15_3"/>
    <protectedRange sqref="E157:E158" name="Presupuestos_5_3_1_1"/>
    <protectedRange sqref="E176:E177" name="Presupuestos_18_1"/>
    <protectedRange sqref="E152" name="Presupuestos_16_1_2"/>
    <protectedRange sqref="E148:E149" name="Presupuestos_16_1_3"/>
    <protectedRange sqref="E110:E113" name="Presupuestos_13_1_1"/>
    <protectedRange sqref="E167:E168 L167:L168" name="Presupuestos_3"/>
  </protectedRanges>
  <autoFilter ref="C91:K202" xr:uid="{00000000-0009-0000-0000-000002000000}"/>
  <mergeCells count="1">
    <mergeCell ref="D212:E212"/>
  </mergeCells>
  <conditionalFormatting sqref="H222:H224">
    <cfRule type="cellIs" dxfId="35" priority="24" operator="lessThan">
      <formula>0</formula>
    </cfRule>
    <cfRule type="cellIs" dxfId="34" priority="25" operator="between">
      <formula>6</formula>
      <formula>15</formula>
    </cfRule>
    <cfRule type="cellIs" dxfId="33" priority="26" operator="between">
      <formula>1</formula>
      <formula>5</formula>
    </cfRule>
    <cfRule type="cellIs" dxfId="32" priority="27" operator="between">
      <formula>16</formula>
      <formula>60</formula>
    </cfRule>
  </conditionalFormatting>
  <conditionalFormatting sqref="J1:J6 J10:J58 J60:J211 J217:J1048576">
    <cfRule type="cellIs" dxfId="31" priority="34" operator="lessThan">
      <formula>0</formula>
    </cfRule>
  </conditionalFormatting>
  <conditionalFormatting sqref="J1:J6 J96:J166 J169:J211 J217:J1048576">
    <cfRule type="cellIs" dxfId="30" priority="45" operator="between">
      <formula>1</formula>
      <formula>5</formula>
    </cfRule>
    <cfRule type="cellIs" dxfId="29" priority="46" operator="between">
      <formula>16</formula>
      <formula>60</formula>
    </cfRule>
  </conditionalFormatting>
  <conditionalFormatting sqref="J10:J58 J60:J95 J97 J191:J193">
    <cfRule type="cellIs" dxfId="28" priority="28" operator="between">
      <formula>6</formula>
      <formula>15</formula>
    </cfRule>
    <cfRule type="cellIs" dxfId="27" priority="29" operator="between">
      <formula>1</formula>
      <formula>5</formula>
    </cfRule>
    <cfRule type="cellIs" dxfId="26" priority="30" operator="between">
      <formula>16</formula>
      <formula>60</formula>
    </cfRule>
  </conditionalFormatting>
  <conditionalFormatting sqref="J96:J166 J169:J211 J1:J6 J217:J1048576">
    <cfRule type="cellIs" dxfId="25" priority="44" operator="between">
      <formula>6</formula>
      <formula>15</formula>
    </cfRule>
  </conditionalFormatting>
  <conditionalFormatting sqref="J99:J101">
    <cfRule type="cellIs" dxfId="24" priority="31" operator="between">
      <formula>6</formula>
      <formula>15</formula>
    </cfRule>
    <cfRule type="cellIs" dxfId="23" priority="32" operator="between">
      <formula>1</formula>
      <formula>5</formula>
    </cfRule>
    <cfRule type="cellIs" dxfId="22" priority="33" operator="between">
      <formula>16</formula>
      <formula>60</formula>
    </cfRule>
  </conditionalFormatting>
  <conditionalFormatting sqref="J117:J118 J131">
    <cfRule type="cellIs" dxfId="21" priority="41" operator="between">
      <formula>6</formula>
      <formula>15</formula>
    </cfRule>
    <cfRule type="cellIs" dxfId="20" priority="42" operator="between">
      <formula>1</formula>
      <formula>5</formula>
    </cfRule>
    <cfRule type="cellIs" dxfId="19" priority="43" operator="between">
      <formula>16</formula>
      <formula>60</formula>
    </cfRule>
  </conditionalFormatting>
  <conditionalFormatting sqref="J133">
    <cfRule type="cellIs" dxfId="18" priority="4" operator="between">
      <formula>6</formula>
      <formula>15</formula>
    </cfRule>
    <cfRule type="cellIs" dxfId="17" priority="5" operator="between">
      <formula>1</formula>
      <formula>5</formula>
    </cfRule>
    <cfRule type="cellIs" dxfId="16" priority="6" operator="between">
      <formula>16</formula>
      <formula>60</formula>
    </cfRule>
  </conditionalFormatting>
  <conditionalFormatting sqref="J135:J136">
    <cfRule type="cellIs" dxfId="15" priority="1" operator="between">
      <formula>6</formula>
      <formula>15</formula>
    </cfRule>
    <cfRule type="cellIs" dxfId="14" priority="2" operator="between">
      <formula>1</formula>
      <formula>5</formula>
    </cfRule>
    <cfRule type="cellIs" dxfId="13" priority="3" operator="between">
      <formula>16</formula>
      <formula>60</formula>
    </cfRule>
  </conditionalFormatting>
  <conditionalFormatting sqref="J162">
    <cfRule type="cellIs" dxfId="12" priority="38" operator="between">
      <formula>6</formula>
      <formula>15</formula>
    </cfRule>
    <cfRule type="cellIs" dxfId="11" priority="39" operator="between">
      <formula>1</formula>
      <formula>5</formula>
    </cfRule>
    <cfRule type="cellIs" dxfId="10" priority="40" operator="between">
      <formula>16</formula>
      <formula>60</formula>
    </cfRule>
  </conditionalFormatting>
  <conditionalFormatting sqref="J164:J165">
    <cfRule type="cellIs" dxfId="9" priority="7" operator="between">
      <formula>6</formula>
      <formula>15</formula>
    </cfRule>
    <cfRule type="cellIs" dxfId="8" priority="8" operator="between">
      <formula>1</formula>
      <formula>5</formula>
    </cfRule>
    <cfRule type="cellIs" dxfId="7" priority="9" operator="between">
      <formula>16</formula>
      <formula>60</formula>
    </cfRule>
  </conditionalFormatting>
  <conditionalFormatting sqref="J167:J169">
    <cfRule type="cellIs" dxfId="6" priority="13" operator="between">
      <formula>6</formula>
      <formula>15</formula>
    </cfRule>
    <cfRule type="cellIs" dxfId="5" priority="14" operator="between">
      <formula>1</formula>
      <formula>5</formula>
    </cfRule>
    <cfRule type="cellIs" dxfId="4" priority="15" operator="between">
      <formula>16</formula>
      <formula>60</formula>
    </cfRule>
  </conditionalFormatting>
  <dataValidations count="5">
    <dataValidation type="list" allowBlank="1" showInputMessage="1" showErrorMessage="1" sqref="C7:C36 C38:C86" xr:uid="{45086194-BE89-4DA9-B553-BE31B4496EBB}">
      <formula1>"Pagado, Sin Pagar"</formula1>
    </dataValidation>
    <dataValidation type="list" allowBlank="1" showInputMessage="1" showErrorMessage="1" sqref="F37" xr:uid="{DED36CD9-D9B3-4589-97A2-B80443F746A5}">
      <formula1>"25%,50%,75%,80%,90%,95%,100%"</formula1>
    </dataValidation>
    <dataValidation type="list" allowBlank="1" showInputMessage="1" showErrorMessage="1" sqref="E90" xr:uid="{2EB33AC7-ABBD-451F-BB73-B12191AD432C}">
      <formula1>"ENERO,FEBRERO,MARZO,ABRIL,MAYO,JUNIO,JULIO,AGOSTO,SEPTIEMBRE,OCTUBRE,NOVIEMBRE,DICIEMBRE"</formula1>
    </dataValidation>
    <dataValidation type="list" allowBlank="1" showInputMessage="1" showErrorMessage="1" sqref="G208:G210 G105:G115 G93:G97 G162 G191:G193 G117:G118 G195:G202 G135:G143 G99:G101 G103 G124:G129 G131:G133 G164:G165 G167:G169 G171:G177 G179:G181 G120:G122 G145:G160 G183:G189" xr:uid="{58A578C1-4310-47B6-94BF-E7A3C5593538}">
      <formula1>"Cancelado,Pagar,Sin Pagar"</formula1>
    </dataValidation>
    <dataValidation type="list" allowBlank="1" showInputMessage="1" showErrorMessage="1" sqref="F34:F36" xr:uid="{3FC964FA-B0F0-4E6B-AED0-EE1331677DD1}">
      <formula1>"10%,15%,20%,21%,22%,23%,24%,25%,26%,27%,28%,29%,30%,35%,40%,50%,100%"</formula1>
    </dataValidation>
  </dataValidations>
  <pageMargins left="0.7" right="0.7" top="0.75" bottom="0.75" header="0.3" footer="0.3"/>
  <pageSetup paperSize="9" orientation="portrait" r:id="rId1"/>
  <ignoredErrors>
    <ignoredError sqref="J190:J201 J93:J188" unlockedFormula="1"/>
    <ignoredError sqref="C120" numberStoredAsText="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EDAD-8C72-4422-9B06-C0F3CA85AA13}">
  <sheetPr codeName="Hoja6"/>
  <dimension ref="B1:L136"/>
  <sheetViews>
    <sheetView showGridLines="0" tabSelected="1" topLeftCell="D104" zoomScale="85" zoomScaleNormal="85" workbookViewId="0">
      <selection activeCell="J10" sqref="J10"/>
    </sheetView>
  </sheetViews>
  <sheetFormatPr baseColWidth="10" defaultColWidth="11.42578125" defaultRowHeight="15" outlineLevelRow="1"/>
  <cols>
    <col min="1" max="1" width="2.140625" customWidth="1"/>
    <col min="2" max="2" width="8" bestFit="1" customWidth="1"/>
    <col min="3" max="4" width="15.28515625" customWidth="1"/>
    <col min="5" max="5" width="66.5703125" customWidth="1"/>
    <col min="6" max="6" width="18.28515625" customWidth="1"/>
    <col min="7" max="7" width="25.28515625" customWidth="1"/>
    <col min="8" max="8" width="54.28515625" bestFit="1" customWidth="1"/>
    <col min="9" max="9" width="18.28515625" bestFit="1" customWidth="1"/>
    <col min="10" max="10" width="18" bestFit="1" customWidth="1"/>
    <col min="11" max="11" width="15.5703125" bestFit="1" customWidth="1"/>
    <col min="12" max="12" width="44.140625" customWidth="1"/>
    <col min="13" max="13" width="21.140625" customWidth="1"/>
    <col min="14" max="14" width="12.140625" bestFit="1" customWidth="1"/>
  </cols>
  <sheetData>
    <row r="1" spans="2:12" ht="15.75" thickBot="1">
      <c r="H1" s="68" t="s">
        <v>5</v>
      </c>
      <c r="I1" s="68" t="s">
        <v>20</v>
      </c>
    </row>
    <row r="2" spans="2:12" ht="15.75" thickBot="1">
      <c r="B2" s="805" t="s">
        <v>159</v>
      </c>
      <c r="C2" s="806"/>
      <c r="D2" s="806"/>
      <c r="E2" s="806"/>
      <c r="F2" s="807"/>
    </row>
    <row r="3" spans="2:12" ht="15.75" thickBot="1"/>
    <row r="4" spans="2:12" ht="16.5" thickBot="1">
      <c r="B4" s="298" t="s">
        <v>160</v>
      </c>
      <c r="C4" s="299" t="s">
        <v>161</v>
      </c>
      <c r="D4" s="299" t="s">
        <v>162</v>
      </c>
      <c r="E4" s="299" t="s">
        <v>163</v>
      </c>
      <c r="F4" s="300" t="s">
        <v>164</v>
      </c>
      <c r="H4" s="106" t="s">
        <v>165</v>
      </c>
      <c r="I4" s="106" t="s">
        <v>20</v>
      </c>
      <c r="J4" s="107" t="s">
        <v>83</v>
      </c>
      <c r="K4" s="45"/>
    </row>
    <row r="5" spans="2:12" ht="15.75">
      <c r="B5" s="685">
        <v>1</v>
      </c>
      <c r="C5" s="583">
        <v>46113</v>
      </c>
      <c r="D5" s="584">
        <v>46124</v>
      </c>
      <c r="E5" s="585" t="s">
        <v>166</v>
      </c>
      <c r="F5" s="686">
        <f>SUMIFS(ABRIL!$E$92:$E$1917,ABRIL!$F$92:$F$1917,"&gt;="&amp;C5,ABRIL!$F$92:$F$1917,"&lt;="&amp;D5,ABRIL!$G$92:$G$1917,$H$1)</f>
        <v>7941408.46</v>
      </c>
      <c r="G5" s="37" t="s">
        <v>167</v>
      </c>
      <c r="H5" s="106"/>
      <c r="I5" s="106"/>
      <c r="J5" s="107"/>
      <c r="K5" s="45"/>
    </row>
    <row r="6" spans="2:12" ht="15.75">
      <c r="B6" s="323">
        <v>2</v>
      </c>
      <c r="C6" s="380">
        <v>46125</v>
      </c>
      <c r="D6" s="324">
        <v>46125</v>
      </c>
      <c r="E6" s="252" t="s">
        <v>166</v>
      </c>
      <c r="F6" s="253">
        <f>SUMIFS(ABRIL!$E$92:$E$1917,ABRIL!$F$92:$F$1917,"&gt;="&amp;C6,ABRIL!$F$92:$F$1917,"&lt;="&amp;D6,ABRIL!$G$92:$G$1917,$H$1)</f>
        <v>0</v>
      </c>
      <c r="G6" s="37" t="s">
        <v>1093</v>
      </c>
      <c r="H6" s="794">
        <f>SUMIFS(ABRIL!$E$92:$E$1926,ABRIL!$F$92:$F$1926,"&gt;="&amp;C5,ABRIL!$F$92:$F$1926,"&lt;="&amp;D13,ABRIL!$G$92:$G$1926,$H$1)</f>
        <v>3134675188.4499998</v>
      </c>
      <c r="I6" s="106">
        <f>SUMIFS(ABRIL!$E$92:$E$1926,ABRIL!$F$92:$F$1926,"&gt;="&amp;C5,ABRIL!$F$92:$F$1926,"&lt;="&amp;D13,ABRIL!$G$92:$G$1926,$I$1)</f>
        <v>166600</v>
      </c>
      <c r="J6" s="107">
        <f>SUM(H6:I6)</f>
        <v>3134841788.4499998</v>
      </c>
      <c r="K6" s="45"/>
      <c r="L6" t="e">
        <f>J6-#REF!</f>
        <v>#REF!</v>
      </c>
    </row>
    <row r="7" spans="2:12" ht="15.75">
      <c r="B7" s="323">
        <v>3</v>
      </c>
      <c r="C7" s="380">
        <v>46126</v>
      </c>
      <c r="D7" s="324">
        <v>46126</v>
      </c>
      <c r="E7" s="252" t="s">
        <v>166</v>
      </c>
      <c r="F7" s="253">
        <f>SUMIFS(ABRIL!$E$92:$E$1917,ABRIL!$F$92:$F$1917,"&gt;="&amp;C7,ABRIL!$F$92:$F$1917,"&lt;="&amp;D7,ABRIL!$G$92:$G$1917,$H$1)</f>
        <v>15620964</v>
      </c>
      <c r="G7" s="37" t="s">
        <v>1395</v>
      </c>
      <c r="H7" s="106"/>
      <c r="I7" s="106"/>
      <c r="J7" s="107"/>
      <c r="K7" s="45"/>
    </row>
    <row r="8" spans="2:12" ht="15.75">
      <c r="B8" s="323">
        <v>4</v>
      </c>
      <c r="C8" s="380">
        <v>46127</v>
      </c>
      <c r="D8" s="324">
        <v>46127</v>
      </c>
      <c r="E8" s="252" t="s">
        <v>166</v>
      </c>
      <c r="F8" s="253">
        <f>SUMIFS(ABRIL!$E$92:$E$1917,ABRIL!$F$92:$F$1917,"&gt;="&amp;C8,ABRIL!$F$92:$F$1917,"&lt;="&amp;D8,ABRIL!$G$92:$G$1917,$H$1)</f>
        <v>530117800</v>
      </c>
      <c r="G8" s="37" t="s">
        <v>795</v>
      </c>
      <c r="H8" s="106"/>
      <c r="I8" s="106" t="s">
        <v>169</v>
      </c>
      <c r="J8" s="107">
        <f>ABRIL!E203</f>
        <v>3134841788.4499998</v>
      </c>
      <c r="K8" s="45"/>
    </row>
    <row r="9" spans="2:12" ht="15.75">
      <c r="B9" s="323">
        <v>5</v>
      </c>
      <c r="C9" s="380">
        <v>46128</v>
      </c>
      <c r="D9" s="380">
        <v>46128</v>
      </c>
      <c r="E9" s="252" t="s">
        <v>166</v>
      </c>
      <c r="F9" s="253">
        <f>SUMIFS(ABRIL!$E$92:$E$1917,ABRIL!$F$92:$F$1917,"&gt;="&amp;C9,ABRIL!$F$92:$F$1917,"&lt;="&amp;D9,ABRIL!$G$92:$G$1917,$H$1)</f>
        <v>21127878</v>
      </c>
      <c r="G9" s="37" t="s">
        <v>1747</v>
      </c>
      <c r="H9" s="106"/>
      <c r="I9" s="106"/>
      <c r="J9" s="107"/>
      <c r="K9" s="45"/>
    </row>
    <row r="10" spans="2:12" ht="15.75">
      <c r="B10" s="323">
        <v>6</v>
      </c>
      <c r="C10" s="380">
        <v>46129</v>
      </c>
      <c r="D10" s="324">
        <v>46131</v>
      </c>
      <c r="E10" s="252" t="s">
        <v>166</v>
      </c>
      <c r="F10" s="253">
        <f>SUMIFS(ABRIL!$E$92:$E$1917,ABRIL!$F$92:$F$1917,"&gt;="&amp;C10,ABRIL!$F$92:$F$1917,"&lt;="&amp;D10,ABRIL!$G$92:$G$1917,$H$1)</f>
        <v>85525369.900000006</v>
      </c>
      <c r="G10" s="37" t="s">
        <v>428</v>
      </c>
      <c r="H10" s="106"/>
      <c r="I10" s="106"/>
      <c r="J10" s="107">
        <f>J6-J8</f>
        <v>0</v>
      </c>
      <c r="K10" s="45"/>
    </row>
    <row r="11" spans="2:12" ht="15.75">
      <c r="B11" s="323">
        <v>7</v>
      </c>
      <c r="C11" s="380">
        <v>46132</v>
      </c>
      <c r="D11" s="380">
        <v>46132</v>
      </c>
      <c r="E11" s="252" t="s">
        <v>166</v>
      </c>
      <c r="F11" s="253">
        <f>SUMIFS(ABRIL!$E$92:$E$1917,ABRIL!$F$92:$F$1917,"&gt;="&amp;C11,ABRIL!$F$92:$F$1917,"&lt;="&amp;D11,ABRIL!$G$92:$G$1917,$H$1)</f>
        <v>239676790</v>
      </c>
      <c r="G11" s="37" t="s">
        <v>1748</v>
      </c>
      <c r="H11" s="106"/>
      <c r="I11" s="106"/>
      <c r="J11" s="107"/>
      <c r="K11" s="45"/>
    </row>
    <row r="12" spans="2:12" ht="15.75">
      <c r="B12" s="323">
        <v>8</v>
      </c>
      <c r="C12" s="380">
        <v>46133</v>
      </c>
      <c r="D12" s="324">
        <v>46138</v>
      </c>
      <c r="E12" s="252" t="s">
        <v>166</v>
      </c>
      <c r="F12" s="253">
        <f>SUMIFS(ABRIL!$E$92:$E$1917,ABRIL!$F$92:$F$1917,"&gt;="&amp;C12,ABRIL!$F$92:$F$1917,"&lt;="&amp;D12,ABRIL!$G$92:$G$1917,$H$1)</f>
        <v>43684726.120000005</v>
      </c>
      <c r="G12" s="37" t="s">
        <v>428</v>
      </c>
      <c r="H12" s="106"/>
      <c r="I12" s="106"/>
      <c r="J12" s="107"/>
      <c r="K12" s="45"/>
    </row>
    <row r="13" spans="2:12" ht="16.5" thickBot="1">
      <c r="B13" s="428">
        <v>9</v>
      </c>
      <c r="C13" s="410">
        <v>46139</v>
      </c>
      <c r="D13" s="586">
        <v>46142</v>
      </c>
      <c r="E13" s="255" t="s">
        <v>166</v>
      </c>
      <c r="F13" s="256">
        <f>SUMIFS(ABRIL!$E$92:$E$1917,ABRIL!$F$92:$F$1917,"&gt;="&amp;C13,ABRIL!$F$92:$F$1917,"&lt;="&amp;D13,ABRIL!$G$92:$G$1917,$H$1)</f>
        <v>2190980251.9699998</v>
      </c>
      <c r="G13" s="37" t="s">
        <v>525</v>
      </c>
      <c r="H13" s="106"/>
      <c r="I13" s="106"/>
      <c r="J13" s="107"/>
      <c r="K13" s="45"/>
    </row>
    <row r="14" spans="2:12" ht="16.5" thickBot="1">
      <c r="B14" s="808" t="s">
        <v>170</v>
      </c>
      <c r="C14" s="809"/>
      <c r="D14" s="809"/>
      <c r="E14" s="809"/>
      <c r="F14" s="381">
        <f>SUM(F5:F13)</f>
        <v>3134675188.4499998</v>
      </c>
      <c r="G14" s="37"/>
      <c r="H14" s="38"/>
      <c r="I14" s="45"/>
    </row>
    <row r="15" spans="2:12" ht="15.75">
      <c r="B15" s="37"/>
      <c r="C15" s="37"/>
      <c r="D15" s="37"/>
      <c r="E15" s="37"/>
      <c r="F15" s="39"/>
      <c r="G15" s="37"/>
      <c r="H15" s="66"/>
      <c r="I15" s="67"/>
    </row>
    <row r="16" spans="2:12" ht="15.75">
      <c r="B16" s="37"/>
      <c r="C16" s="37"/>
      <c r="D16" s="37"/>
      <c r="E16" s="810" t="s">
        <v>171</v>
      </c>
      <c r="F16" s="810"/>
      <c r="G16" s="37"/>
      <c r="I16" s="67"/>
    </row>
    <row r="17" spans="2:8" ht="15.75" outlineLevel="1">
      <c r="B17" s="37"/>
      <c r="C17" s="47"/>
      <c r="D17" s="47"/>
      <c r="E17" s="793" t="s">
        <v>1749</v>
      </c>
      <c r="F17" s="45">
        <f>SUM($F$5:$F$12)</f>
        <v>943694936.48000002</v>
      </c>
      <c r="G17" s="45"/>
      <c r="H17" s="592"/>
    </row>
    <row r="18" spans="2:8" ht="16.5" outlineLevel="1" thickBot="1">
      <c r="B18" s="37"/>
      <c r="C18" s="47"/>
      <c r="D18" s="47"/>
      <c r="E18" s="382" t="s">
        <v>172</v>
      </c>
      <c r="F18" s="317">
        <f>($F$17*4)/1000</f>
        <v>3774779.7459200001</v>
      </c>
      <c r="G18" s="67"/>
      <c r="H18" s="45"/>
    </row>
    <row r="19" spans="2:8" ht="16.5" outlineLevel="1" thickTop="1">
      <c r="B19" s="37"/>
      <c r="C19" s="383"/>
      <c r="D19" s="7"/>
      <c r="E19" s="43" t="s">
        <v>83</v>
      </c>
      <c r="F19" s="44">
        <f>SUM(F17:F18)</f>
        <v>947469716.22591996</v>
      </c>
      <c r="G19" s="44"/>
      <c r="H19" s="44"/>
    </row>
    <row r="20" spans="2:8" ht="21" customHeight="1" outlineLevel="1">
      <c r="B20" s="37"/>
      <c r="C20" s="37"/>
      <c r="D20" s="37"/>
      <c r="E20" s="149"/>
      <c r="F20" s="149"/>
      <c r="G20" s="138"/>
      <c r="H20" s="37"/>
    </row>
    <row r="21" spans="2:8" ht="15" customHeight="1" outlineLevel="1">
      <c r="D21" s="509"/>
      <c r="E21" s="436" t="s">
        <v>173</v>
      </c>
      <c r="F21" s="57">
        <f>ABRIL!$E$221</f>
        <v>773650122.01999998</v>
      </c>
      <c r="G21" s="45"/>
      <c r="H21" s="183"/>
    </row>
    <row r="22" spans="2:8" ht="15" customHeight="1" outlineLevel="1">
      <c r="D22" s="509"/>
      <c r="E22" s="793" t="s">
        <v>1757</v>
      </c>
      <c r="F22" s="57">
        <f>'MONETIZACIONES PEND'!$Q$18+'MONETIZACIONES PEND'!$Q$19</f>
        <v>4743457.1519999998</v>
      </c>
      <c r="G22" s="45"/>
      <c r="H22" s="183"/>
    </row>
    <row r="23" spans="2:8" ht="15" customHeight="1" outlineLevel="1">
      <c r="D23" s="509"/>
      <c r="E23" s="436" t="s">
        <v>174</v>
      </c>
      <c r="F23" s="57">
        <v>12600000</v>
      </c>
      <c r="G23" s="45"/>
      <c r="H23" s="183"/>
    </row>
    <row r="24" spans="2:8" ht="15" customHeight="1" outlineLevel="1">
      <c r="D24" s="509"/>
      <c r="E24" s="793" t="s">
        <v>1419</v>
      </c>
      <c r="F24" s="57">
        <f>ABRIL!$E$8+ABRIL!$E$9</f>
        <v>36466712.649999999</v>
      </c>
      <c r="G24" s="45"/>
      <c r="H24" s="183"/>
    </row>
    <row r="25" spans="2:8" ht="15" customHeight="1" outlineLevel="1">
      <c r="D25" s="509"/>
      <c r="E25" s="587" t="s">
        <v>1089</v>
      </c>
      <c r="F25" s="57">
        <f>ABRIL!E23</f>
        <v>20244754</v>
      </c>
      <c r="G25" s="45"/>
      <c r="H25" s="183"/>
    </row>
    <row r="26" spans="2:8" ht="15" customHeight="1" outlineLevel="1">
      <c r="D26" s="509"/>
      <c r="E26" s="687" t="s">
        <v>1092</v>
      </c>
      <c r="F26" s="57">
        <f>ABRIL!$E$7+ABRIL!$E$10+ABRIL!$E$29+ABRIL!$E$33+ABRIL!$E$34</f>
        <v>26977098.490000002</v>
      </c>
      <c r="G26" s="689">
        <v>0</v>
      </c>
      <c r="H26" s="183"/>
    </row>
    <row r="27" spans="2:8" ht="15" customHeight="1" outlineLevel="1">
      <c r="D27" s="509"/>
      <c r="E27" s="793" t="s">
        <v>1750</v>
      </c>
      <c r="F27" s="57">
        <f>ABRIL!$E$15+ABRIL!$E$16+ABRIL!$E$17</f>
        <v>67587561</v>
      </c>
      <c r="G27" s="45"/>
      <c r="H27" s="183"/>
    </row>
    <row r="28" spans="2:8" ht="15" customHeight="1" outlineLevel="1">
      <c r="D28" s="509"/>
      <c r="E28" s="687" t="s">
        <v>1404</v>
      </c>
      <c r="F28" s="57">
        <f>ABRIL!$E$35+ABRIL!$E$36</f>
        <v>68991679.5</v>
      </c>
      <c r="G28" s="45"/>
      <c r="H28" s="183"/>
    </row>
    <row r="29" spans="2:8" ht="15" customHeight="1" outlineLevel="1">
      <c r="D29" s="509"/>
      <c r="E29" s="382" t="s">
        <v>178</v>
      </c>
      <c r="F29" s="57">
        <v>0</v>
      </c>
      <c r="H29" s="183"/>
    </row>
    <row r="30" spans="2:8" ht="15.75" outlineLevel="1">
      <c r="D30" s="509"/>
      <c r="E30" s="43" t="s">
        <v>83</v>
      </c>
      <c r="F30" s="44">
        <f>SUM(F21:F29)</f>
        <v>1011261384.8119999</v>
      </c>
      <c r="G30" s="44"/>
    </row>
    <row r="31" spans="2:8" outlineLevel="1">
      <c r="E31" s="588" t="s">
        <v>92</v>
      </c>
      <c r="F31" s="589">
        <f>F30-$F$19</f>
        <v>63791668.586079955</v>
      </c>
      <c r="G31" s="319"/>
    </row>
    <row r="32" spans="2:8" ht="4.5" customHeight="1">
      <c r="E32" s="62"/>
      <c r="F32" s="63"/>
    </row>
    <row r="33" spans="4:11" outlineLevel="1">
      <c r="E33" s="382"/>
      <c r="F33" s="45"/>
      <c r="G33" s="183"/>
    </row>
    <row r="34" spans="4:11" ht="4.5" customHeight="1">
      <c r="E34" s="42"/>
    </row>
    <row r="35" spans="4:11" ht="4.5" customHeight="1">
      <c r="E35" s="42"/>
    </row>
    <row r="36" spans="4:11" ht="4.5" customHeight="1">
      <c r="E36" s="42"/>
    </row>
    <row r="37" spans="4:11" ht="4.5" customHeight="1">
      <c r="E37" s="42"/>
    </row>
    <row r="38" spans="4:11" ht="4.5" customHeight="1">
      <c r="E38" s="42"/>
      <c r="K38" s="42"/>
    </row>
    <row r="39" spans="4:11" ht="15.75">
      <c r="E39" s="803" t="s">
        <v>1422</v>
      </c>
      <c r="F39" s="804"/>
      <c r="H39" s="803" t="s">
        <v>1753</v>
      </c>
      <c r="I39" s="804"/>
    </row>
    <row r="40" spans="4:11" ht="7.5" customHeight="1">
      <c r="E40" s="227"/>
      <c r="F40" s="228"/>
      <c r="H40" s="227"/>
      <c r="I40" s="228"/>
    </row>
    <row r="41" spans="4:11" ht="15.75">
      <c r="E41" s="20" t="s">
        <v>183</v>
      </c>
      <c r="F41" s="19">
        <f>SUBTOTAL(9,F42:F50)</f>
        <v>1016438199.0951928</v>
      </c>
      <c r="H41" s="20" t="s">
        <v>183</v>
      </c>
      <c r="I41" s="19">
        <f>SUBTOTAL(9,I42:I50)</f>
        <v>1314082033.4477446</v>
      </c>
    </row>
    <row r="42" spans="4:11" ht="15" customHeight="1" outlineLevel="1">
      <c r="E42" s="42" t="s">
        <v>184</v>
      </c>
      <c r="F42" s="337">
        <f>ABRIL!$E$205</f>
        <v>743588068.59859276</v>
      </c>
      <c r="H42" s="42" t="s">
        <v>184</v>
      </c>
      <c r="I42" s="337">
        <f>F111</f>
        <v>1142810599.4477446</v>
      </c>
    </row>
    <row r="43" spans="4:11" ht="15" customHeight="1" outlineLevel="1">
      <c r="D43" s="295"/>
      <c r="E43" s="793" t="s">
        <v>1754</v>
      </c>
      <c r="F43" s="57">
        <v>63005792</v>
      </c>
      <c r="G43" s="279">
        <v>1</v>
      </c>
      <c r="H43" s="793" t="s">
        <v>1754</v>
      </c>
      <c r="I43" s="57">
        <v>35000000</v>
      </c>
      <c r="J43" s="279">
        <v>1</v>
      </c>
    </row>
    <row r="44" spans="4:11" ht="15" customHeight="1" outlineLevel="1">
      <c r="D44" s="295"/>
      <c r="E44" s="65" t="s">
        <v>189</v>
      </c>
      <c r="F44" s="64">
        <v>13000000</v>
      </c>
      <c r="G44" s="279"/>
      <c r="H44" s="687" t="s">
        <v>888</v>
      </c>
      <c r="I44" s="57">
        <f>15303.2*3650</f>
        <v>55856680</v>
      </c>
      <c r="J44" s="279"/>
      <c r="K44" s="57"/>
    </row>
    <row r="45" spans="4:11" ht="15" customHeight="1" outlineLevel="1">
      <c r="E45" s="65" t="s">
        <v>190</v>
      </c>
      <c r="F45" s="57">
        <v>52000000</v>
      </c>
      <c r="H45" s="65" t="s">
        <v>189</v>
      </c>
      <c r="I45" s="64">
        <v>12500000</v>
      </c>
    </row>
    <row r="46" spans="4:11" ht="15" customHeight="1" outlineLevel="1">
      <c r="E46" s="65" t="s">
        <v>191</v>
      </c>
      <c r="F46" s="57">
        <v>18500000</v>
      </c>
      <c r="H46" s="65" t="s">
        <v>190</v>
      </c>
      <c r="I46" s="57">
        <v>45000000</v>
      </c>
    </row>
    <row r="47" spans="4:11" ht="15" customHeight="1" outlineLevel="1">
      <c r="D47" s="295"/>
      <c r="E47" s="65" t="s">
        <v>1197</v>
      </c>
      <c r="F47" s="57">
        <f>18542.14*
3703.69</f>
        <v>68674338.496600002</v>
      </c>
      <c r="G47" s="279"/>
      <c r="H47" s="65" t="s">
        <v>1103</v>
      </c>
      <c r="I47" s="57">
        <v>0</v>
      </c>
      <c r="J47" s="279"/>
    </row>
    <row r="48" spans="4:11" ht="15" customHeight="1" outlineLevel="1">
      <c r="E48" s="65" t="s">
        <v>1103</v>
      </c>
      <c r="F48" s="57">
        <v>55000000</v>
      </c>
      <c r="H48" s="65" t="s">
        <v>191</v>
      </c>
      <c r="I48" s="57">
        <v>20244754</v>
      </c>
    </row>
    <row r="49" spans="5:10" ht="15" customHeight="1">
      <c r="E49" s="65" t="s">
        <v>177</v>
      </c>
      <c r="F49" s="57">
        <f>2670000</f>
        <v>2670000</v>
      </c>
      <c r="H49" s="65" t="s">
        <v>177</v>
      </c>
      <c r="I49" s="57">
        <f>2670000</f>
        <v>2670000</v>
      </c>
    </row>
    <row r="50" spans="5:10" ht="15" customHeight="1" outlineLevel="1" thickBot="1">
      <c r="E50" s="65" t="s">
        <v>192</v>
      </c>
      <c r="F50" s="45">
        <v>0</v>
      </c>
      <c r="H50" s="65" t="s">
        <v>192</v>
      </c>
      <c r="I50" s="45">
        <v>0</v>
      </c>
    </row>
    <row r="51" spans="5:10" ht="15" customHeight="1" outlineLevel="1">
      <c r="E51" s="6" t="s">
        <v>1423</v>
      </c>
      <c r="F51" s="384">
        <f>SUM(F52:F82)</f>
        <v>1011200749.105448</v>
      </c>
      <c r="H51" s="6" t="s">
        <v>1774</v>
      </c>
      <c r="I51" s="384">
        <f>SUM(I52:I79)</f>
        <v>961603392.87664807</v>
      </c>
    </row>
    <row r="52" spans="5:10" ht="15" customHeight="1" outlineLevel="1">
      <c r="E52" s="347" t="s">
        <v>196</v>
      </c>
      <c r="F52" s="8">
        <v>4360000</v>
      </c>
      <c r="H52" s="347" t="s">
        <v>196</v>
      </c>
      <c r="I52" s="8">
        <v>4360000</v>
      </c>
    </row>
    <row r="53" spans="5:10" ht="15" customHeight="1" outlineLevel="1">
      <c r="E53" s="347" t="s">
        <v>19</v>
      </c>
      <c r="F53" s="350">
        <f>9500000</f>
        <v>9500000</v>
      </c>
      <c r="H53" s="347" t="s">
        <v>19</v>
      </c>
      <c r="I53" s="350">
        <f>9500000</f>
        <v>9500000</v>
      </c>
    </row>
    <row r="54" spans="5:10" ht="15" customHeight="1" outlineLevel="1">
      <c r="E54" s="347" t="s">
        <v>199</v>
      </c>
      <c r="F54" s="350">
        <v>627000</v>
      </c>
      <c r="H54" s="347" t="s">
        <v>199</v>
      </c>
      <c r="I54" s="350">
        <v>627000</v>
      </c>
    </row>
    <row r="55" spans="5:10" ht="15" customHeight="1" outlineLevel="1">
      <c r="E55" s="9" t="s">
        <v>22</v>
      </c>
      <c r="F55" s="8">
        <f>530117800*1.05</f>
        <v>556623690</v>
      </c>
      <c r="H55" s="9" t="s">
        <v>22</v>
      </c>
      <c r="I55" s="8">
        <f>556623690*1.03</f>
        <v>573322400.70000005</v>
      </c>
    </row>
    <row r="56" spans="5:10" ht="15" customHeight="1" outlineLevel="1">
      <c r="E56" s="796" t="s">
        <v>1424</v>
      </c>
      <c r="F56" s="797">
        <v>68379580.5</v>
      </c>
      <c r="H56" s="9" t="s">
        <v>28</v>
      </c>
      <c r="I56" s="8">
        <f>302875920*1.03</f>
        <v>311962197.60000002</v>
      </c>
    </row>
    <row r="57" spans="5:10" ht="15" customHeight="1" outlineLevel="1">
      <c r="E57" s="796" t="s">
        <v>28</v>
      </c>
      <c r="F57" s="797">
        <f>252396600*1.2</f>
        <v>302875920</v>
      </c>
      <c r="H57" s="9" t="s">
        <v>29</v>
      </c>
      <c r="I57" s="8">
        <f>225000*1.03</f>
        <v>231750</v>
      </c>
    </row>
    <row r="58" spans="5:10" ht="15" customHeight="1" outlineLevel="1">
      <c r="E58" s="796" t="s">
        <v>29</v>
      </c>
      <c r="F58" s="797">
        <f>225000*1.2</f>
        <v>270000</v>
      </c>
      <c r="H58" s="9" t="s">
        <v>201</v>
      </c>
      <c r="I58" s="8">
        <v>993174</v>
      </c>
    </row>
    <row r="59" spans="5:10" ht="15" customHeight="1" outlineLevel="1">
      <c r="E59" s="796" t="s">
        <v>799</v>
      </c>
      <c r="F59" s="797">
        <f>1137500*1.2</f>
        <v>1365000</v>
      </c>
      <c r="G59" s="42"/>
      <c r="H59" s="9" t="s">
        <v>43</v>
      </c>
      <c r="I59" s="8">
        <v>7293422</v>
      </c>
      <c r="J59" s="42"/>
    </row>
    <row r="60" spans="5:10" ht="15" customHeight="1" outlineLevel="1">
      <c r="E60" s="796" t="s">
        <v>1425</v>
      </c>
      <c r="F60" s="797">
        <v>0</v>
      </c>
      <c r="H60" s="9" t="s">
        <v>42</v>
      </c>
      <c r="I60" s="8">
        <v>437488</v>
      </c>
    </row>
    <row r="61" spans="5:10" ht="15" customHeight="1" outlineLevel="1">
      <c r="E61" s="9" t="s">
        <v>201</v>
      </c>
      <c r="F61" s="8">
        <v>993174</v>
      </c>
      <c r="H61" s="9" t="s">
        <v>202</v>
      </c>
      <c r="I61" s="8">
        <v>500000</v>
      </c>
    </row>
    <row r="62" spans="5:10" ht="15" customHeight="1" outlineLevel="1">
      <c r="E62" s="9" t="s">
        <v>43</v>
      </c>
      <c r="F62" s="8">
        <v>7293422</v>
      </c>
      <c r="H62" s="9" t="s">
        <v>32</v>
      </c>
      <c r="I62" s="8">
        <f>313593.5*1.052</f>
        <v>329900.36200000002</v>
      </c>
    </row>
    <row r="63" spans="5:10" ht="15" customHeight="1" outlineLevel="1">
      <c r="E63" s="9" t="s">
        <v>42</v>
      </c>
      <c r="F63" s="8">
        <v>437488</v>
      </c>
      <c r="H63" s="9" t="s">
        <v>205</v>
      </c>
      <c r="I63" s="8">
        <v>4500000</v>
      </c>
    </row>
    <row r="64" spans="5:10" ht="15" customHeight="1" outlineLevel="1">
      <c r="E64" s="9" t="s">
        <v>202</v>
      </c>
      <c r="F64" s="8">
        <v>500000</v>
      </c>
      <c r="H64" s="9" t="s">
        <v>206</v>
      </c>
      <c r="I64" s="8">
        <v>18000000</v>
      </c>
    </row>
    <row r="65" spans="5:10" ht="15" customHeight="1" outlineLevel="1">
      <c r="E65" s="9" t="s">
        <v>32</v>
      </c>
      <c r="F65" s="8">
        <f>313593.5*1.052</f>
        <v>329900.36200000002</v>
      </c>
      <c r="H65" s="347" t="s">
        <v>207</v>
      </c>
      <c r="I65" s="8">
        <v>4853442</v>
      </c>
    </row>
    <row r="66" spans="5:10" ht="15" customHeight="1" outlineLevel="1">
      <c r="E66" s="9" t="s">
        <v>205</v>
      </c>
      <c r="F66" s="8">
        <v>4500000</v>
      </c>
      <c r="H66" s="9" t="s">
        <v>208</v>
      </c>
      <c r="I66" s="350">
        <v>180000</v>
      </c>
    </row>
    <row r="67" spans="5:10" ht="15" customHeight="1" outlineLevel="1">
      <c r="E67" s="9" t="s">
        <v>206</v>
      </c>
      <c r="F67" s="8">
        <v>18000000</v>
      </c>
      <c r="H67" s="9" t="s">
        <v>209</v>
      </c>
      <c r="I67" s="350">
        <v>752141</v>
      </c>
    </row>
    <row r="68" spans="5:10" ht="15" customHeight="1" outlineLevel="1">
      <c r="E68" s="347" t="s">
        <v>207</v>
      </c>
      <c r="F68" s="8">
        <v>4853442</v>
      </c>
      <c r="H68" s="9" t="s">
        <v>211</v>
      </c>
      <c r="I68" s="350">
        <v>3000000</v>
      </c>
    </row>
    <row r="69" spans="5:10" ht="15" customHeight="1" outlineLevel="1">
      <c r="E69" s="9" t="s">
        <v>208</v>
      </c>
      <c r="F69" s="350">
        <v>180000</v>
      </c>
      <c r="H69" s="9" t="s">
        <v>212</v>
      </c>
      <c r="I69" s="350">
        <v>3800000</v>
      </c>
    </row>
    <row r="70" spans="5:10" ht="15" customHeight="1" outlineLevel="1">
      <c r="E70" s="9" t="s">
        <v>209</v>
      </c>
      <c r="F70" s="350">
        <v>804056</v>
      </c>
      <c r="H70" s="9" t="s">
        <v>213</v>
      </c>
      <c r="I70" s="350">
        <v>3500000</v>
      </c>
    </row>
    <row r="71" spans="5:10" ht="15" customHeight="1" outlineLevel="1">
      <c r="E71" s="9" t="s">
        <v>211</v>
      </c>
      <c r="F71" s="350">
        <v>3000000</v>
      </c>
      <c r="H71" s="9" t="s">
        <v>214</v>
      </c>
      <c r="I71" s="8">
        <v>774025</v>
      </c>
    </row>
    <row r="72" spans="5:10" ht="15" customHeight="1" outlineLevel="1">
      <c r="E72" s="9" t="s">
        <v>212</v>
      </c>
      <c r="F72" s="350">
        <v>3800000</v>
      </c>
      <c r="H72" s="347" t="s">
        <v>215</v>
      </c>
      <c r="I72" s="8">
        <v>2980000</v>
      </c>
    </row>
    <row r="73" spans="5:10" ht="15" customHeight="1" outlineLevel="1">
      <c r="E73" s="9" t="s">
        <v>213</v>
      </c>
      <c r="F73" s="350">
        <v>3500000</v>
      </c>
      <c r="H73" s="347" t="s">
        <v>216</v>
      </c>
      <c r="I73" s="8">
        <v>450000</v>
      </c>
    </row>
    <row r="74" spans="5:10" ht="15" customHeight="1" outlineLevel="1">
      <c r="E74" s="9" t="s">
        <v>214</v>
      </c>
      <c r="F74" s="8">
        <v>774025</v>
      </c>
      <c r="H74" s="347" t="s">
        <v>53</v>
      </c>
      <c r="I74" s="8">
        <v>475363</v>
      </c>
    </row>
    <row r="75" spans="5:10" ht="15" customHeight="1" outlineLevel="1">
      <c r="E75" s="347" t="s">
        <v>215</v>
      </c>
      <c r="F75" s="8">
        <v>2980000</v>
      </c>
      <c r="H75" s="9" t="s">
        <v>217</v>
      </c>
      <c r="I75" s="350">
        <v>1500000</v>
      </c>
    </row>
    <row r="76" spans="5:10" ht="15" customHeight="1" outlineLevel="1">
      <c r="E76" s="347" t="s">
        <v>216</v>
      </c>
      <c r="F76" s="8">
        <v>800000</v>
      </c>
      <c r="H76" s="347" t="s">
        <v>218</v>
      </c>
      <c r="I76" s="8">
        <v>450000</v>
      </c>
    </row>
    <row r="77" spans="5:10" ht="15" customHeight="1" outlineLevel="1">
      <c r="E77" s="347" t="s">
        <v>53</v>
      </c>
      <c r="F77" s="8">
        <v>475363</v>
      </c>
      <c r="H77" s="347" t="s">
        <v>219</v>
      </c>
      <c r="I77" s="8">
        <v>3000000</v>
      </c>
    </row>
    <row r="78" spans="5:10" ht="15" customHeight="1" outlineLevel="1">
      <c r="E78" s="9" t="s">
        <v>217</v>
      </c>
      <c r="F78" s="350">
        <v>1500000</v>
      </c>
      <c r="H78" s="347" t="s">
        <v>220</v>
      </c>
      <c r="I78" s="8">
        <v>0</v>
      </c>
    </row>
    <row r="79" spans="5:10" ht="15" customHeight="1" outlineLevel="1">
      <c r="E79" s="347" t="s">
        <v>218</v>
      </c>
      <c r="F79" s="8">
        <v>450000</v>
      </c>
      <c r="H79" s="347" t="s">
        <v>221</v>
      </c>
      <c r="I79" s="8">
        <f>J79</f>
        <v>3831089.2146480004</v>
      </c>
      <c r="J79" s="45">
        <f>(SUM(I52:I78)*4/1000)</f>
        <v>3831089.2146480004</v>
      </c>
    </row>
    <row r="80" spans="5:10" ht="15" customHeight="1" outlineLevel="1">
      <c r="E80" s="347" t="s">
        <v>219</v>
      </c>
      <c r="F80" s="8">
        <v>3000000</v>
      </c>
      <c r="H80" s="327" t="s">
        <v>222</v>
      </c>
      <c r="I80" s="308">
        <f>I41-I51</f>
        <v>352478640.57109654</v>
      </c>
    </row>
    <row r="81" spans="4:9" ht="15" customHeight="1" outlineLevel="1">
      <c r="E81" s="347" t="s">
        <v>220</v>
      </c>
      <c r="F81" s="8">
        <v>5000000</v>
      </c>
      <c r="H81" s="338"/>
      <c r="I81" s="339"/>
    </row>
    <row r="82" spans="4:9" ht="15" customHeight="1" outlineLevel="1">
      <c r="E82" s="347" t="s">
        <v>221</v>
      </c>
      <c r="F82" s="8">
        <f>G82</f>
        <v>4028688.2434479999</v>
      </c>
      <c r="G82" s="45">
        <f>(SUM(F52:F81)*4/1000)</f>
        <v>4028688.2434479999</v>
      </c>
      <c r="H82" s="382" t="s">
        <v>185</v>
      </c>
      <c r="I82" s="8">
        <v>3320000000</v>
      </c>
    </row>
    <row r="83" spans="4:9" ht="15" customHeight="1" outlineLevel="1">
      <c r="E83" s="327" t="s">
        <v>222</v>
      </c>
      <c r="F83" s="308">
        <f>F41-F51</f>
        <v>5237449.9897447824</v>
      </c>
      <c r="H83" s="306" t="s">
        <v>83</v>
      </c>
      <c r="I83" s="307">
        <f>SUM(I80:I82)</f>
        <v>3672478640.5710964</v>
      </c>
    </row>
    <row r="84" spans="4:9" ht="15" customHeight="1" outlineLevel="1" thickBot="1">
      <c r="E84" s="338"/>
      <c r="F84" s="339"/>
      <c r="H84" s="9"/>
      <c r="I84" s="8"/>
    </row>
    <row r="85" spans="4:9" ht="15" customHeight="1" outlineLevel="1">
      <c r="E85" s="382" t="s">
        <v>185</v>
      </c>
      <c r="F85" s="8">
        <v>3200000000</v>
      </c>
      <c r="H85" s="98" t="s">
        <v>1775</v>
      </c>
      <c r="I85" s="385">
        <f>SUM(I86:I106)</f>
        <v>2558160745.9619198</v>
      </c>
    </row>
    <row r="86" spans="4:9" ht="15" customHeight="1" outlineLevel="1">
      <c r="E86" s="306" t="s">
        <v>83</v>
      </c>
      <c r="F86" s="307">
        <f>SUM(F83:F85)</f>
        <v>3205237449.9897447</v>
      </c>
      <c r="H86" s="9" t="s">
        <v>224</v>
      </c>
      <c r="I86" s="8">
        <v>16800500</v>
      </c>
    </row>
    <row r="87" spans="4:9" ht="15" customHeight="1" outlineLevel="1" thickBot="1">
      <c r="E87" s="9"/>
      <c r="F87" s="8"/>
      <c r="H87" s="9" t="s">
        <v>25</v>
      </c>
      <c r="I87" s="8">
        <v>2199500</v>
      </c>
    </row>
    <row r="88" spans="4:9" ht="15" customHeight="1" outlineLevel="1">
      <c r="E88" s="98" t="s">
        <v>1426</v>
      </c>
      <c r="F88" s="385">
        <f>SUM(F89:F110)</f>
        <v>2062426850.5420001</v>
      </c>
      <c r="H88" s="9" t="s">
        <v>84</v>
      </c>
      <c r="I88" s="8">
        <v>300000</v>
      </c>
    </row>
    <row r="89" spans="4:9" ht="15" customHeight="1">
      <c r="D89" s="229">
        <v>1</v>
      </c>
      <c r="E89" s="9" t="s">
        <v>224</v>
      </c>
      <c r="F89" s="8">
        <v>16800500</v>
      </c>
      <c r="H89" s="9" t="s">
        <v>227</v>
      </c>
      <c r="I89" s="8">
        <f>1276775*1.06</f>
        <v>1353381.5</v>
      </c>
    </row>
    <row r="90" spans="4:9" ht="15" customHeight="1">
      <c r="E90" s="9" t="s">
        <v>25</v>
      </c>
      <c r="F90" s="8">
        <v>2199500</v>
      </c>
      <c r="H90" s="9" t="s">
        <v>55</v>
      </c>
      <c r="I90" s="8">
        <v>75000</v>
      </c>
    </row>
    <row r="91" spans="4:9" ht="15" customHeight="1">
      <c r="E91" s="9" t="s">
        <v>84</v>
      </c>
      <c r="F91" s="8">
        <v>300000</v>
      </c>
      <c r="H91" s="9" t="s">
        <v>228</v>
      </c>
      <c r="I91" s="8">
        <v>1002252</v>
      </c>
    </row>
    <row r="92" spans="4:9" ht="15" customHeight="1" outlineLevel="1">
      <c r="E92" s="9" t="s">
        <v>227</v>
      </c>
      <c r="F92" s="8">
        <f>1276775*1.06</f>
        <v>1353381.5</v>
      </c>
      <c r="H92" s="9" t="s">
        <v>56</v>
      </c>
      <c r="I92" s="8">
        <f>3178793*1.06</f>
        <v>3369520.58</v>
      </c>
    </row>
    <row r="93" spans="4:9" ht="15" customHeight="1" outlineLevel="1">
      <c r="E93" s="9" t="s">
        <v>55</v>
      </c>
      <c r="F93" s="8">
        <v>75000</v>
      </c>
      <c r="H93" s="9" t="s">
        <v>97</v>
      </c>
      <c r="I93" s="8">
        <f>3484500*1.06</f>
        <v>3693570</v>
      </c>
    </row>
    <row r="94" spans="4:9" ht="15" customHeight="1" outlineLevel="1">
      <c r="E94" s="9" t="s">
        <v>228</v>
      </c>
      <c r="F94" s="8">
        <v>1002252</v>
      </c>
      <c r="H94" s="9" t="s">
        <v>60</v>
      </c>
      <c r="I94" s="8">
        <v>1241772</v>
      </c>
    </row>
    <row r="95" spans="4:9" ht="15" customHeight="1" outlineLevel="1">
      <c r="E95" s="9" t="s">
        <v>56</v>
      </c>
      <c r="F95" s="8">
        <v>4065250</v>
      </c>
      <c r="H95" s="9" t="s">
        <v>229</v>
      </c>
      <c r="I95" s="8">
        <f>1731900000*1.29</f>
        <v>2234151000</v>
      </c>
    </row>
    <row r="96" spans="4:9" ht="15" customHeight="1" outlineLevel="1">
      <c r="E96" s="9" t="s">
        <v>97</v>
      </c>
      <c r="F96" s="8">
        <v>3665694</v>
      </c>
      <c r="H96" s="9" t="s">
        <v>68</v>
      </c>
      <c r="I96" s="8">
        <f>172530460*1.29</f>
        <v>222564293.40000001</v>
      </c>
    </row>
    <row r="97" spans="5:10" ht="15" customHeight="1" outlineLevel="1">
      <c r="E97" s="9" t="s">
        <v>60</v>
      </c>
      <c r="F97" s="8">
        <v>1241772</v>
      </c>
      <c r="H97" s="9" t="s">
        <v>70</v>
      </c>
      <c r="I97" s="8">
        <v>12097393</v>
      </c>
    </row>
    <row r="98" spans="5:10" ht="15" customHeight="1" outlineLevel="1">
      <c r="E98" s="9" t="s">
        <v>229</v>
      </c>
      <c r="F98" s="8">
        <v>1731900000</v>
      </c>
      <c r="H98" s="9" t="s">
        <v>231</v>
      </c>
      <c r="I98" s="8">
        <v>1009880</v>
      </c>
    </row>
    <row r="99" spans="5:10" ht="15" customHeight="1" outlineLevel="1">
      <c r="E99" s="9" t="s">
        <v>68</v>
      </c>
      <c r="F99" s="8">
        <v>172530460</v>
      </c>
      <c r="H99" s="9" t="s">
        <v>232</v>
      </c>
      <c r="I99" s="350">
        <v>10000000</v>
      </c>
    </row>
    <row r="100" spans="5:10" ht="15" customHeight="1" outlineLevel="1">
      <c r="E100" s="9" t="s">
        <v>70</v>
      </c>
      <c r="F100" s="8">
        <v>12097393</v>
      </c>
      <c r="H100" s="9" t="s">
        <v>233</v>
      </c>
      <c r="I100" s="350">
        <v>7000000</v>
      </c>
    </row>
    <row r="101" spans="5:10" ht="15" customHeight="1" outlineLevel="1">
      <c r="E101" s="9" t="s">
        <v>231</v>
      </c>
      <c r="F101" s="8">
        <v>1112000</v>
      </c>
      <c r="H101" s="9" t="s">
        <v>234</v>
      </c>
      <c r="I101" s="350">
        <v>1190808</v>
      </c>
    </row>
    <row r="102" spans="5:10" ht="15" customHeight="1" outlineLevel="1">
      <c r="E102" s="9" t="s">
        <v>232</v>
      </c>
      <c r="F102" s="350">
        <v>25000000</v>
      </c>
      <c r="H102" s="9" t="s">
        <v>235</v>
      </c>
      <c r="I102" s="350">
        <v>1600000</v>
      </c>
    </row>
    <row r="103" spans="5:10" ht="15" customHeight="1" outlineLevel="1">
      <c r="E103" s="9" t="s">
        <v>233</v>
      </c>
      <c r="F103" s="350">
        <v>15000000</v>
      </c>
      <c r="H103" s="347" t="s">
        <v>237</v>
      </c>
      <c r="I103" s="8">
        <v>13000000</v>
      </c>
    </row>
    <row r="104" spans="5:10" ht="15" customHeight="1" outlineLevel="1">
      <c r="E104" s="9" t="s">
        <v>234</v>
      </c>
      <c r="F104" s="350">
        <v>1190808</v>
      </c>
      <c r="H104" s="347" t="s">
        <v>238</v>
      </c>
      <c r="I104" s="8">
        <v>320000</v>
      </c>
    </row>
    <row r="105" spans="5:10" ht="15" customHeight="1" outlineLevel="1">
      <c r="E105" s="9" t="s">
        <v>235</v>
      </c>
      <c r="F105" s="350">
        <v>1600000</v>
      </c>
      <c r="H105" s="9" t="s">
        <v>239</v>
      </c>
      <c r="I105" s="8">
        <v>15000000</v>
      </c>
    </row>
    <row r="106" spans="5:10" ht="15" customHeight="1" outlineLevel="1" thickBot="1">
      <c r="E106" s="347" t="s">
        <v>237</v>
      </c>
      <c r="F106" s="8">
        <v>13000000</v>
      </c>
      <c r="H106" s="9" t="s">
        <v>240</v>
      </c>
      <c r="I106" s="350">
        <f>J106</f>
        <v>10191875.48192</v>
      </c>
      <c r="J106" s="45">
        <f>(SUM(I86:I105)*4/1000)</f>
        <v>10191875.48192</v>
      </c>
    </row>
    <row r="107" spans="5:10" ht="15" customHeight="1" outlineLevel="1" thickBot="1">
      <c r="E107" s="347" t="s">
        <v>238</v>
      </c>
      <c r="F107" s="8">
        <v>320000</v>
      </c>
      <c r="H107" s="386" t="s">
        <v>241</v>
      </c>
      <c r="I107" s="387">
        <f>I83-I85</f>
        <v>1114317894.6091766</v>
      </c>
    </row>
    <row r="108" spans="5:10" ht="15" customHeight="1" outlineLevel="1">
      <c r="E108" s="9" t="s">
        <v>239</v>
      </c>
      <c r="F108" s="8">
        <v>5000000</v>
      </c>
    </row>
    <row r="109" spans="5:10" ht="15" customHeight="1" outlineLevel="1">
      <c r="E109" s="9" t="s">
        <v>1102</v>
      </c>
      <c r="F109" s="8">
        <v>44756000</v>
      </c>
    </row>
    <row r="110" spans="5:10" ht="15" customHeight="1" outlineLevel="1" thickBot="1">
      <c r="E110" s="9" t="s">
        <v>240</v>
      </c>
      <c r="F110" s="350">
        <f>G110</f>
        <v>8216840.0420000004</v>
      </c>
      <c r="G110" s="45">
        <f>(SUM(F89:F109)*4/1000)</f>
        <v>8216840.0420000004</v>
      </c>
    </row>
    <row r="111" spans="5:10" ht="15" customHeight="1" thickBot="1">
      <c r="E111" s="386" t="s">
        <v>241</v>
      </c>
      <c r="F111" s="387">
        <f>F86-F88</f>
        <v>1142810599.4477446</v>
      </c>
    </row>
    <row r="112" spans="5:10" ht="15" customHeight="1"/>
    <row r="113" spans="4:6" ht="15" customHeight="1"/>
    <row r="115" spans="4:6">
      <c r="D115" s="229"/>
    </row>
    <row r="122" spans="4:6">
      <c r="E122" s="42"/>
      <c r="F122" s="8"/>
    </row>
    <row r="123" spans="4:6">
      <c r="E123" s="65"/>
      <c r="F123" s="45"/>
    </row>
    <row r="124" spans="4:6">
      <c r="E124" s="230"/>
      <c r="F124" s="63"/>
    </row>
    <row r="129" spans="5:6">
      <c r="E129" s="347"/>
      <c r="F129" s="350"/>
    </row>
    <row r="130" spans="5:6">
      <c r="E130" s="347"/>
      <c r="F130" s="8"/>
    </row>
    <row r="131" spans="5:6">
      <c r="E131" s="347"/>
      <c r="F131" s="8"/>
    </row>
    <row r="132" spans="5:6">
      <c r="E132" s="9"/>
      <c r="F132" s="8"/>
    </row>
    <row r="133" spans="5:6">
      <c r="E133" s="9"/>
      <c r="F133" s="8"/>
    </row>
    <row r="134" spans="5:6">
      <c r="E134" s="347"/>
      <c r="F134" s="45"/>
    </row>
    <row r="135" spans="5:6">
      <c r="E135" s="347"/>
      <c r="F135" s="45"/>
    </row>
    <row r="136" spans="5:6">
      <c r="F136" s="42"/>
    </row>
  </sheetData>
  <protectedRanges>
    <protectedRange sqref="I105 F108:F109" name="Presupuestos_2_1_1_1"/>
    <protectedRange sqref="F99 I96" name="Presupuestos_2_1_1_1_1"/>
    <protectedRange sqref="F98 I95" name="Presupuestos_6_1_1_1"/>
    <protectedRange sqref="F68 I65" name="Presupuestos_6_2"/>
    <protectedRange sqref="I71:I73 F74:F76" name="Presupuestos_16_1_1"/>
    <protectedRange sqref="F77 I74" name="Presupuestos_5_1_2"/>
  </protectedRanges>
  <mergeCells count="5">
    <mergeCell ref="H39:I39"/>
    <mergeCell ref="E39:F39"/>
    <mergeCell ref="B2:F2"/>
    <mergeCell ref="B14:E14"/>
    <mergeCell ref="E16:F16"/>
  </mergeCells>
  <dataValidations count="2">
    <dataValidation type="list" allowBlank="1" showInputMessage="1" showErrorMessage="1" sqref="H1:I1" xr:uid="{331696DD-B392-4103-A0DE-CB16C3FBC292}">
      <formula1>"Cancelado,Pagar,Sin Pagar"</formula1>
    </dataValidation>
    <dataValidation type="list" allowBlank="1" showInputMessage="1" showErrorMessage="1" sqref="G43:G44 G47 G26 J43:J44 J47" xr:uid="{EBFF1982-9A2C-4417-8826-57BE6C2B9430}">
      <formula1>"0,1"</formula1>
    </dataValidation>
  </dataValidations>
  <pageMargins left="0.7" right="0.7" top="0.75" bottom="0.75" header="0.3" footer="0.3"/>
  <pageSetup orientation="portrait" r:id="rId1"/>
  <ignoredErrors>
    <ignoredError sqref="F29:F30" formulaRange="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8E25-789C-465B-AD04-47D570833264}">
  <sheetPr codeName="Hoja7"/>
  <dimension ref="B1:XFC562"/>
  <sheetViews>
    <sheetView showGridLines="0" topLeftCell="A2" zoomScale="80" zoomScaleNormal="80" workbookViewId="0">
      <selection activeCell="O9" sqref="O9"/>
    </sheetView>
  </sheetViews>
  <sheetFormatPr baseColWidth="10" defaultColWidth="11.42578125" defaultRowHeight="15" outlineLevelRow="1"/>
  <cols>
    <col min="1" max="1" width="2.28515625" style="108" customWidth="1"/>
    <col min="2" max="2" width="4.140625" style="108" customWidth="1"/>
    <col min="3" max="3" width="28.7109375" style="108" customWidth="1"/>
    <col min="4" max="4" width="33.5703125" style="108" customWidth="1"/>
    <col min="5" max="5" width="17.28515625" style="108" customWidth="1"/>
    <col min="6" max="6" width="16.140625" style="108" customWidth="1"/>
    <col min="7" max="7" width="9.42578125" style="108" customWidth="1"/>
    <col min="8" max="8" width="12.140625" style="108" customWidth="1"/>
    <col min="9" max="9" width="17.140625" style="108" bestFit="1" customWidth="1"/>
    <col min="10" max="10" width="17.85546875" style="108" bestFit="1" customWidth="1"/>
    <col min="11" max="11" width="22.28515625" style="108" customWidth="1"/>
    <col min="12" max="12" width="23.28515625" style="108" customWidth="1"/>
    <col min="13" max="13" width="17.85546875" style="108" customWidth="1"/>
    <col min="14" max="14" width="24.85546875" style="108" customWidth="1"/>
    <col min="15" max="15" width="16" style="108" customWidth="1"/>
    <col min="16" max="16" width="19.140625" style="108" customWidth="1"/>
    <col min="17" max="18" width="24.5703125" style="108" customWidth="1"/>
    <col min="19" max="19" width="23.28515625" style="108" customWidth="1"/>
    <col min="20" max="20" width="14.5703125" style="108" customWidth="1"/>
    <col min="21" max="21" width="11.42578125" style="108" customWidth="1"/>
    <col min="22" max="22" width="12.42578125" style="108" customWidth="1"/>
    <col min="23" max="23" width="15.85546875" style="108" customWidth="1"/>
    <col min="24" max="24" width="13.85546875" style="108" customWidth="1"/>
    <col min="25" max="25" width="15.5703125" style="108" customWidth="1"/>
    <col min="26" max="26" width="22.140625" style="108" bestFit="1" customWidth="1"/>
    <col min="27" max="27" width="22.85546875" style="108" bestFit="1" customWidth="1"/>
    <col min="28" max="16384" width="11.42578125" style="108"/>
  </cols>
  <sheetData>
    <row r="1" spans="2:32" ht="15.75" thickBot="1">
      <c r="O1" s="262">
        <v>0</v>
      </c>
    </row>
    <row r="2" spans="2:32" ht="42.75" customHeight="1" thickBot="1">
      <c r="B2" s="176" t="s">
        <v>242</v>
      </c>
      <c r="C2" s="177" t="s">
        <v>243</v>
      </c>
      <c r="D2" s="177" t="s">
        <v>244</v>
      </c>
      <c r="E2" s="178" t="s">
        <v>245</v>
      </c>
      <c r="F2" s="178" t="s">
        <v>246</v>
      </c>
      <c r="G2" s="178" t="s">
        <v>247</v>
      </c>
      <c r="H2" s="178" t="s">
        <v>248</v>
      </c>
      <c r="I2" s="178" t="s">
        <v>249</v>
      </c>
      <c r="J2" s="178" t="s">
        <v>250</v>
      </c>
      <c r="K2" s="177" t="s">
        <v>251</v>
      </c>
      <c r="L2" s="390" t="s">
        <v>252</v>
      </c>
      <c r="M2" s="178" t="s">
        <v>253</v>
      </c>
      <c r="N2" s="178" t="s">
        <v>254</v>
      </c>
      <c r="O2" s="179" t="s">
        <v>255</v>
      </c>
      <c r="P2" s="178" t="s">
        <v>256</v>
      </c>
      <c r="Q2" s="178" t="s">
        <v>257</v>
      </c>
      <c r="R2" s="178" t="s">
        <v>258</v>
      </c>
      <c r="S2" s="178" t="s">
        <v>259</v>
      </c>
      <c r="T2" s="177" t="s">
        <v>16</v>
      </c>
      <c r="U2" s="177" t="s">
        <v>260</v>
      </c>
    </row>
    <row r="3" spans="2:32">
      <c r="B3" s="693">
        <v>1</v>
      </c>
      <c r="C3" s="582" t="s">
        <v>1434</v>
      </c>
      <c r="D3" s="694" t="s">
        <v>1435</v>
      </c>
      <c r="E3" s="556">
        <v>46085</v>
      </c>
      <c r="F3" s="556">
        <v>46145</v>
      </c>
      <c r="G3" s="718" t="str">
        <f>(TEXT(F3,"ddd"))</f>
        <v>dom</v>
      </c>
      <c r="H3" s="718" t="str">
        <f>(TEXT(F3,"mmm"))</f>
        <v>may</v>
      </c>
      <c r="I3" s="719">
        <f>F3-E3</f>
        <v>60</v>
      </c>
      <c r="J3" s="720">
        <f t="shared" ref="J3" ca="1" si="0">IFERROR(IF(TODAY()&gt;=E3,(TODAY()-E3)/I3,0),0)</f>
        <v>0.6</v>
      </c>
      <c r="K3" s="695">
        <v>600</v>
      </c>
      <c r="L3" s="695">
        <v>599.18805397837332</v>
      </c>
      <c r="M3" s="696">
        <f t="shared" ref="M3:M8" si="1">K3-L3</f>
        <v>0.81194602162668161</v>
      </c>
      <c r="N3" s="697">
        <v>4019.9</v>
      </c>
      <c r="O3" s="559"/>
      <c r="P3" s="560"/>
      <c r="Q3" s="560">
        <f t="shared" ref="Q3:Q11" si="2">K3*N3</f>
        <v>2411940</v>
      </c>
      <c r="R3" s="560">
        <f t="shared" ref="R3:R11" si="3">L3*O3</f>
        <v>0</v>
      </c>
      <c r="S3" s="560">
        <f t="shared" ref="S3:S11" si="4">R3-Q3</f>
        <v>-2411940</v>
      </c>
      <c r="T3" s="698" t="str">
        <f t="shared" ref="T3:T11" si="5">IF(R3&lt;= Q3,"No Monetizar","Monetizar")</f>
        <v>No Monetizar</v>
      </c>
      <c r="U3" s="699"/>
      <c r="V3" s="141"/>
      <c r="AF3" s="112"/>
    </row>
    <row r="4" spans="2:32">
      <c r="B4" s="700">
        <v>2</v>
      </c>
      <c r="C4" s="120" t="s">
        <v>1434</v>
      </c>
      <c r="D4" s="153" t="s">
        <v>1436</v>
      </c>
      <c r="E4" s="126">
        <v>46085</v>
      </c>
      <c r="F4" s="126">
        <v>46145</v>
      </c>
      <c r="G4" s="718" t="str">
        <f t="shared" ref="G4:G11" si="6">(TEXT(F4,"ddd"))</f>
        <v>dom</v>
      </c>
      <c r="H4" s="718" t="str">
        <f t="shared" ref="H4:H11" si="7">(TEXT(F4,"mmm"))</f>
        <v>may</v>
      </c>
      <c r="I4" s="719">
        <f t="shared" ref="I4:I11" si="8">F4-E4</f>
        <v>60</v>
      </c>
      <c r="J4" s="720">
        <f t="shared" ref="J4:J21" ca="1" si="9">IFERROR(IF(TODAY()&gt;=E4,(TODAY()-E4)/I4,0),0)</f>
        <v>0.6</v>
      </c>
      <c r="K4" s="448">
        <v>3380</v>
      </c>
      <c r="L4" s="448">
        <v>3375.4260374115033</v>
      </c>
      <c r="M4" s="661">
        <f t="shared" si="1"/>
        <v>4.5739625884966699</v>
      </c>
      <c r="N4" s="451">
        <v>4019.09</v>
      </c>
      <c r="O4" s="130"/>
      <c r="P4" s="168"/>
      <c r="Q4" s="168">
        <f t="shared" si="2"/>
        <v>13584524.200000001</v>
      </c>
      <c r="R4" s="168">
        <f t="shared" si="3"/>
        <v>0</v>
      </c>
      <c r="S4" s="168">
        <f t="shared" si="4"/>
        <v>-13584524.200000001</v>
      </c>
      <c r="T4" s="216" t="str">
        <f t="shared" si="5"/>
        <v>No Monetizar</v>
      </c>
      <c r="U4" s="561"/>
      <c r="V4" s="141"/>
      <c r="AF4" s="112"/>
    </row>
    <row r="5" spans="2:32">
      <c r="B5" s="700">
        <v>3</v>
      </c>
      <c r="C5" s="120" t="s">
        <v>1434</v>
      </c>
      <c r="D5" s="153" t="s">
        <v>1437</v>
      </c>
      <c r="E5" s="126">
        <v>46085</v>
      </c>
      <c r="F5" s="126">
        <v>46145</v>
      </c>
      <c r="G5" s="718" t="str">
        <f t="shared" si="6"/>
        <v>dom</v>
      </c>
      <c r="H5" s="718" t="str">
        <f t="shared" si="7"/>
        <v>may</v>
      </c>
      <c r="I5" s="719">
        <f t="shared" si="8"/>
        <v>60</v>
      </c>
      <c r="J5" s="720">
        <f t="shared" ca="1" si="9"/>
        <v>0.6</v>
      </c>
      <c r="K5" s="448">
        <v>780</v>
      </c>
      <c r="L5" s="448">
        <v>778.94447017188543</v>
      </c>
      <c r="M5" s="661">
        <f t="shared" si="1"/>
        <v>1.0555298281145724</v>
      </c>
      <c r="N5" s="451">
        <v>3844.47</v>
      </c>
      <c r="O5" s="130"/>
      <c r="P5" s="168"/>
      <c r="Q5" s="168">
        <f t="shared" si="2"/>
        <v>2998686.5999999996</v>
      </c>
      <c r="R5" s="168">
        <f t="shared" si="3"/>
        <v>0</v>
      </c>
      <c r="S5" s="168">
        <f t="shared" si="4"/>
        <v>-2998686.5999999996</v>
      </c>
      <c r="T5" s="216" t="str">
        <f t="shared" si="5"/>
        <v>No Monetizar</v>
      </c>
      <c r="U5" s="561"/>
      <c r="V5" s="141"/>
      <c r="AF5" s="112"/>
    </row>
    <row r="6" spans="2:32">
      <c r="B6" s="700">
        <v>4</v>
      </c>
      <c r="C6" s="120" t="s">
        <v>1434</v>
      </c>
      <c r="D6" s="153" t="s">
        <v>1438</v>
      </c>
      <c r="E6" s="126">
        <v>46085</v>
      </c>
      <c r="F6" s="126">
        <v>46145</v>
      </c>
      <c r="G6" s="718" t="str">
        <f t="shared" si="6"/>
        <v>dom</v>
      </c>
      <c r="H6" s="718" t="str">
        <f t="shared" si="7"/>
        <v>may</v>
      </c>
      <c r="I6" s="719">
        <f t="shared" si="8"/>
        <v>60</v>
      </c>
      <c r="J6" s="720">
        <f t="shared" ca="1" si="9"/>
        <v>0.6</v>
      </c>
      <c r="K6" s="448">
        <v>2003.42</v>
      </c>
      <c r="L6" s="448">
        <v>2000.7088851689209</v>
      </c>
      <c r="M6" s="661">
        <f t="shared" si="1"/>
        <v>2.7111148310791577</v>
      </c>
      <c r="N6" s="451">
        <v>3682.97</v>
      </c>
      <c r="O6" s="130"/>
      <c r="P6" s="168"/>
      <c r="Q6" s="168">
        <f t="shared" si="2"/>
        <v>7378535.7573999995</v>
      </c>
      <c r="R6" s="168">
        <f t="shared" si="3"/>
        <v>0</v>
      </c>
      <c r="S6" s="168">
        <f t="shared" si="4"/>
        <v>-7378535.7573999995</v>
      </c>
      <c r="T6" s="216" t="str">
        <f t="shared" si="5"/>
        <v>No Monetizar</v>
      </c>
      <c r="U6" s="561"/>
      <c r="V6" s="141"/>
      <c r="AF6" s="112"/>
    </row>
    <row r="7" spans="2:32">
      <c r="B7" s="700">
        <v>5</v>
      </c>
      <c r="C7" s="120" t="s">
        <v>1434</v>
      </c>
      <c r="D7" s="153" t="s">
        <v>1439</v>
      </c>
      <c r="E7" s="126">
        <v>46085</v>
      </c>
      <c r="F7" s="126">
        <v>46145</v>
      </c>
      <c r="G7" s="718" t="str">
        <f t="shared" si="6"/>
        <v>dom</v>
      </c>
      <c r="H7" s="718" t="str">
        <f t="shared" si="7"/>
        <v>may</v>
      </c>
      <c r="I7" s="719">
        <f t="shared" si="8"/>
        <v>60</v>
      </c>
      <c r="J7" s="720">
        <f t="shared" ca="1" si="9"/>
        <v>0.6</v>
      </c>
      <c r="K7" s="448">
        <v>2280</v>
      </c>
      <c r="L7" s="448">
        <v>2276.9146051178186</v>
      </c>
      <c r="M7" s="661">
        <f t="shared" si="1"/>
        <v>3.0853948821813901</v>
      </c>
      <c r="N7" s="701">
        <v>3682.97</v>
      </c>
      <c r="O7" s="130"/>
      <c r="P7" s="168"/>
      <c r="Q7" s="168">
        <f t="shared" si="2"/>
        <v>8397171.5999999996</v>
      </c>
      <c r="R7" s="168">
        <f t="shared" si="3"/>
        <v>0</v>
      </c>
      <c r="S7" s="168">
        <f t="shared" si="4"/>
        <v>-8397171.5999999996</v>
      </c>
      <c r="T7" s="216" t="str">
        <f t="shared" si="5"/>
        <v>No Monetizar</v>
      </c>
      <c r="U7" s="561"/>
      <c r="V7" s="141"/>
      <c r="AF7" s="112"/>
    </row>
    <row r="8" spans="2:32">
      <c r="B8" s="700">
        <v>6</v>
      </c>
      <c r="C8" s="120" t="s">
        <v>1434</v>
      </c>
      <c r="D8" s="153" t="s">
        <v>1440</v>
      </c>
      <c r="E8" s="126">
        <v>46085</v>
      </c>
      <c r="F8" s="126">
        <v>46145</v>
      </c>
      <c r="G8" s="718" t="str">
        <f t="shared" si="6"/>
        <v>dom</v>
      </c>
      <c r="H8" s="718" t="str">
        <f t="shared" si="7"/>
        <v>may</v>
      </c>
      <c r="I8" s="719">
        <f t="shared" si="8"/>
        <v>60</v>
      </c>
      <c r="J8" s="720">
        <f t="shared" ca="1" si="9"/>
        <v>0.6</v>
      </c>
      <c r="K8" s="448">
        <v>2055.84</v>
      </c>
      <c r="L8" s="448">
        <v>2053.0579481514987</v>
      </c>
      <c r="M8" s="661">
        <f t="shared" si="1"/>
        <v>2.7820518485013963</v>
      </c>
      <c r="N8" s="451">
        <v>3691.34</v>
      </c>
      <c r="O8" s="130"/>
      <c r="P8" s="168"/>
      <c r="Q8" s="168">
        <f t="shared" si="2"/>
        <v>7588804.4256000007</v>
      </c>
      <c r="R8" s="168">
        <f t="shared" si="3"/>
        <v>0</v>
      </c>
      <c r="S8" s="168">
        <f t="shared" si="4"/>
        <v>-7588804.4256000007</v>
      </c>
      <c r="T8" s="216" t="str">
        <f t="shared" si="5"/>
        <v>No Monetizar</v>
      </c>
      <c r="U8" s="561"/>
      <c r="V8" s="141"/>
      <c r="AF8" s="112"/>
    </row>
    <row r="9" spans="2:32">
      <c r="B9" s="700">
        <v>7</v>
      </c>
      <c r="C9" s="120" t="s">
        <v>1434</v>
      </c>
      <c r="D9" s="153" t="s">
        <v>1441</v>
      </c>
      <c r="E9" s="792">
        <v>46080</v>
      </c>
      <c r="F9" s="792">
        <v>46140</v>
      </c>
      <c r="G9" s="718" t="str">
        <f t="shared" si="6"/>
        <v>mar</v>
      </c>
      <c r="H9" s="718" t="str">
        <f t="shared" si="7"/>
        <v>abr</v>
      </c>
      <c r="I9" s="719">
        <f t="shared" si="8"/>
        <v>60</v>
      </c>
      <c r="J9" s="720">
        <f t="shared" ca="1" si="9"/>
        <v>0.68333333333333335</v>
      </c>
      <c r="K9" s="691">
        <v>1969.45</v>
      </c>
      <c r="L9" s="691">
        <v>1969.45</v>
      </c>
      <c r="M9" s="661">
        <f t="shared" ref="M9:M16" si="10">K9-L9</f>
        <v>0</v>
      </c>
      <c r="N9" s="692">
        <v>3817.93</v>
      </c>
      <c r="O9" s="130">
        <v>3650</v>
      </c>
      <c r="P9" s="168"/>
      <c r="Q9" s="168">
        <f t="shared" si="2"/>
        <v>7519222.2385</v>
      </c>
      <c r="R9" s="168">
        <f t="shared" si="3"/>
        <v>7188492.5</v>
      </c>
      <c r="S9" s="168">
        <f t="shared" si="4"/>
        <v>-330729.73849999998</v>
      </c>
      <c r="T9" s="216" t="str">
        <f t="shared" si="5"/>
        <v>No Monetizar</v>
      </c>
      <c r="U9" s="561"/>
    </row>
    <row r="10" spans="2:32">
      <c r="B10" s="700">
        <v>8</v>
      </c>
      <c r="C10" s="120" t="s">
        <v>1434</v>
      </c>
      <c r="D10" s="153" t="s">
        <v>1442</v>
      </c>
      <c r="E10" s="792">
        <v>46080</v>
      </c>
      <c r="F10" s="792">
        <v>46140</v>
      </c>
      <c r="G10" s="718" t="str">
        <f t="shared" si="6"/>
        <v>mar</v>
      </c>
      <c r="H10" s="718" t="str">
        <f t="shared" si="7"/>
        <v>abr</v>
      </c>
      <c r="I10" s="719">
        <f t="shared" si="8"/>
        <v>60</v>
      </c>
      <c r="J10" s="720">
        <f t="shared" ca="1" si="9"/>
        <v>0.68333333333333335</v>
      </c>
      <c r="K10" s="691">
        <v>1523.38</v>
      </c>
      <c r="L10" s="691">
        <v>1523.38</v>
      </c>
      <c r="M10" s="661">
        <f t="shared" si="10"/>
        <v>0</v>
      </c>
      <c r="N10" s="702">
        <v>3817.93</v>
      </c>
      <c r="O10" s="130">
        <v>3650</v>
      </c>
      <c r="P10" s="168"/>
      <c r="Q10" s="168">
        <f t="shared" si="2"/>
        <v>5816158.2034</v>
      </c>
      <c r="R10" s="168">
        <f t="shared" si="3"/>
        <v>5560337</v>
      </c>
      <c r="S10" s="168">
        <f t="shared" si="4"/>
        <v>-255821.2034</v>
      </c>
      <c r="T10" s="216" t="str">
        <f t="shared" si="5"/>
        <v>No Monetizar</v>
      </c>
      <c r="U10" s="561"/>
    </row>
    <row r="11" spans="2:32">
      <c r="B11" s="700">
        <v>9</v>
      </c>
      <c r="C11" s="120" t="s">
        <v>1434</v>
      </c>
      <c r="D11" s="153" t="s">
        <v>1443</v>
      </c>
      <c r="E11" s="792">
        <v>46080</v>
      </c>
      <c r="F11" s="792">
        <v>46140</v>
      </c>
      <c r="G11" s="718" t="str">
        <f t="shared" si="6"/>
        <v>mar</v>
      </c>
      <c r="H11" s="718" t="str">
        <f t="shared" si="7"/>
        <v>abr</v>
      </c>
      <c r="I11" s="719">
        <f t="shared" si="8"/>
        <v>60</v>
      </c>
      <c r="J11" s="720">
        <f t="shared" ca="1" si="9"/>
        <v>0.68333333333333335</v>
      </c>
      <c r="K11" s="691">
        <v>2280</v>
      </c>
      <c r="L11" s="691">
        <v>2280</v>
      </c>
      <c r="M11" s="661">
        <f t="shared" si="10"/>
        <v>0</v>
      </c>
      <c r="N11" s="692">
        <v>3817.93</v>
      </c>
      <c r="O11" s="130">
        <v>3650</v>
      </c>
      <c r="P11" s="168"/>
      <c r="Q11" s="168">
        <f t="shared" si="2"/>
        <v>8704880.4000000004</v>
      </c>
      <c r="R11" s="168">
        <f t="shared" si="3"/>
        <v>8322000</v>
      </c>
      <c r="S11" s="168">
        <f t="shared" si="4"/>
        <v>-382880.40000000037</v>
      </c>
      <c r="T11" s="216" t="str">
        <f t="shared" si="5"/>
        <v>No Monetizar</v>
      </c>
      <c r="U11" s="561"/>
      <c r="V11" s="141"/>
      <c r="AF11" s="112"/>
    </row>
    <row r="12" spans="2:32">
      <c r="B12" s="700">
        <v>10</v>
      </c>
      <c r="C12" s="791" t="s">
        <v>1571</v>
      </c>
      <c r="D12" s="153">
        <v>6750</v>
      </c>
      <c r="E12" s="126">
        <v>46100</v>
      </c>
      <c r="F12" s="126">
        <v>46160</v>
      </c>
      <c r="G12" s="718" t="str">
        <f>(TEXT(F12,"ddd"))</f>
        <v>lun</v>
      </c>
      <c r="H12" s="718" t="str">
        <f>(TEXT(F12,"mmm"))</f>
        <v>may</v>
      </c>
      <c r="I12" s="719">
        <f>F12-E12</f>
        <v>60</v>
      </c>
      <c r="J12" s="720">
        <f ca="1">IFERROR(IF(TODAY()&gt;=E12,(TODAY()-E12)/I12,0),0)</f>
        <v>0.35</v>
      </c>
      <c r="K12" s="134">
        <v>1870</v>
      </c>
      <c r="L12" s="134">
        <v>1870</v>
      </c>
      <c r="M12" s="661">
        <f t="shared" si="10"/>
        <v>0</v>
      </c>
      <c r="N12" s="219">
        <v>3767.94</v>
      </c>
      <c r="O12" s="130">
        <v>3650</v>
      </c>
      <c r="P12" s="168"/>
      <c r="Q12" s="168">
        <f t="shared" ref="Q12" si="11">K12*N12</f>
        <v>7046047.7999999998</v>
      </c>
      <c r="R12" s="168">
        <f t="shared" ref="R12" si="12">L12*O12</f>
        <v>6825500</v>
      </c>
      <c r="S12" s="168">
        <f t="shared" ref="S12" si="13">R12-Q12</f>
        <v>-220547.79999999981</v>
      </c>
      <c r="T12" s="216" t="str">
        <f t="shared" ref="T12" si="14">IF(R12&lt;= Q12,"No Monetizar","Monetizar")</f>
        <v>No Monetizar</v>
      </c>
      <c r="U12" s="561"/>
      <c r="V12" s="141"/>
      <c r="AF12" s="112"/>
    </row>
    <row r="13" spans="2:32">
      <c r="B13" s="700">
        <v>11</v>
      </c>
      <c r="C13" s="791" t="s">
        <v>1555</v>
      </c>
      <c r="D13" s="153" t="s">
        <v>1556</v>
      </c>
      <c r="E13" s="792">
        <v>46105</v>
      </c>
      <c r="F13" s="792">
        <v>46165</v>
      </c>
      <c r="G13" s="718" t="str">
        <f>(TEXT(F13,"ddd"))</f>
        <v>sáb</v>
      </c>
      <c r="H13" s="718" t="str">
        <f>(TEXT(F13,"mmm"))</f>
        <v>may</v>
      </c>
      <c r="I13" s="719">
        <f>F13-E13</f>
        <v>60</v>
      </c>
      <c r="J13" s="720">
        <f ca="1">IFERROR(IF(TODAY()&gt;=E13,(TODAY()-E13)/I13,0),0)</f>
        <v>0.26666666666666666</v>
      </c>
      <c r="K13" s="134">
        <v>13129</v>
      </c>
      <c r="L13" s="134">
        <v>13129</v>
      </c>
      <c r="M13" s="661">
        <f t="shared" si="10"/>
        <v>0</v>
      </c>
      <c r="N13" s="219">
        <v>3704.87</v>
      </c>
      <c r="O13" s="130">
        <v>3650</v>
      </c>
      <c r="P13" s="168"/>
      <c r="Q13" s="168">
        <f t="shared" ref="Q13" si="15">K13*N13</f>
        <v>48641238.229999997</v>
      </c>
      <c r="R13" s="168">
        <f t="shared" ref="R13" si="16">L13*O13</f>
        <v>47920850</v>
      </c>
      <c r="S13" s="168">
        <f t="shared" ref="S13" si="17">R13-Q13</f>
        <v>-720388.22999999672</v>
      </c>
      <c r="T13" s="216" t="str">
        <f t="shared" ref="T13" si="18">IF(R13&lt;= Q13,"No Monetizar","Monetizar")</f>
        <v>No Monetizar</v>
      </c>
      <c r="U13" s="561"/>
      <c r="V13" s="141"/>
      <c r="AF13" s="112"/>
    </row>
    <row r="14" spans="2:32" ht="30">
      <c r="B14" s="700">
        <v>12</v>
      </c>
      <c r="C14" s="791" t="s">
        <v>1197</v>
      </c>
      <c r="D14" s="280" t="s">
        <v>1569</v>
      </c>
      <c r="E14" s="792">
        <v>46105</v>
      </c>
      <c r="F14" s="792">
        <v>46165</v>
      </c>
      <c r="G14" s="718" t="str">
        <f>(TEXT(F14,"ddd"))</f>
        <v>sáb</v>
      </c>
      <c r="H14" s="718" t="str">
        <f>(TEXT(F14,"mmm"))</f>
        <v>may</v>
      </c>
      <c r="I14" s="719">
        <f>F14-E14</f>
        <v>60</v>
      </c>
      <c r="J14" s="720">
        <f ca="1">IFERROR(IF(TODAY()&gt;=E14,(TODAY()-E14)/I14,0),0)</f>
        <v>0.26666666666666666</v>
      </c>
      <c r="K14" s="754">
        <v>11314.66</v>
      </c>
      <c r="L14" s="754">
        <v>11299.66</v>
      </c>
      <c r="M14" s="755">
        <f t="shared" si="10"/>
        <v>15</v>
      </c>
      <c r="N14" s="219">
        <v>3703.69</v>
      </c>
      <c r="O14" s="130">
        <v>3650</v>
      </c>
      <c r="P14" s="168"/>
      <c r="Q14" s="168">
        <f t="shared" ref="Q14" si="19">K14*N14</f>
        <v>41905993.095399998</v>
      </c>
      <c r="R14" s="168">
        <f t="shared" ref="R14" si="20">L14*O14</f>
        <v>41243759</v>
      </c>
      <c r="S14" s="168">
        <f t="shared" ref="S14" si="21">R14-Q14</f>
        <v>-662234.09539999813</v>
      </c>
      <c r="T14" s="216" t="str">
        <f t="shared" ref="T14" si="22">IF(R14&lt;= Q14,"No Monetizar","Monetizar")</f>
        <v>No Monetizar</v>
      </c>
      <c r="U14" s="561"/>
      <c r="V14" s="141"/>
      <c r="AF14" s="112"/>
    </row>
    <row r="15" spans="2:32">
      <c r="B15" s="700">
        <v>13</v>
      </c>
      <c r="C15" s="791" t="s">
        <v>1197</v>
      </c>
      <c r="D15" s="153" t="s">
        <v>1570</v>
      </c>
      <c r="E15" s="792">
        <v>46105</v>
      </c>
      <c r="F15" s="792">
        <v>46165</v>
      </c>
      <c r="G15" s="718" t="str">
        <f>(TEXT(F15,"ddd"))</f>
        <v>sáb</v>
      </c>
      <c r="H15" s="718" t="str">
        <f>(TEXT(F15,"mmm"))</f>
        <v>may</v>
      </c>
      <c r="I15" s="719">
        <f>F15-E15</f>
        <v>60</v>
      </c>
      <c r="J15" s="720">
        <f ca="1">IFERROR(IF(TODAY()&gt;=E15,(TODAY()-E15)/I15,0),0)</f>
        <v>0.26666666666666666</v>
      </c>
      <c r="K15" s="756">
        <v>5765.38</v>
      </c>
      <c r="L15" s="756">
        <v>5765.38</v>
      </c>
      <c r="M15" s="757">
        <f t="shared" si="10"/>
        <v>0</v>
      </c>
      <c r="N15" s="219">
        <v>3703.69</v>
      </c>
      <c r="O15" s="130">
        <v>3650</v>
      </c>
      <c r="P15" s="168"/>
      <c r="Q15" s="168">
        <f t="shared" ref="Q15:Q16" si="23">K15*N15</f>
        <v>21353180.2522</v>
      </c>
      <c r="R15" s="168">
        <f t="shared" ref="R15:R16" si="24">L15*O15</f>
        <v>21043637</v>
      </c>
      <c r="S15" s="168">
        <f t="shared" ref="S15:S16" si="25">R15-Q15</f>
        <v>-309543.25219999999</v>
      </c>
      <c r="T15" s="216" t="str">
        <f t="shared" ref="T15:T16" si="26">IF(R15&lt;= Q15,"No Monetizar","Monetizar")</f>
        <v>No Monetizar</v>
      </c>
      <c r="U15" s="561"/>
      <c r="V15" s="141"/>
      <c r="AF15" s="112"/>
    </row>
    <row r="16" spans="2:32">
      <c r="B16" s="700">
        <v>14</v>
      </c>
      <c r="C16" s="791" t="s">
        <v>1197</v>
      </c>
      <c r="D16" s="153" t="s">
        <v>1561</v>
      </c>
      <c r="E16" s="792">
        <v>46105</v>
      </c>
      <c r="F16" s="792">
        <v>46165</v>
      </c>
      <c r="G16" s="718" t="str">
        <f>(TEXT(F16,"ddd"))</f>
        <v>sáb</v>
      </c>
      <c r="H16" s="718" t="str">
        <f>(TEXT(F16,"mmm"))</f>
        <v>may</v>
      </c>
      <c r="I16" s="719">
        <f>F16-E16</f>
        <v>60</v>
      </c>
      <c r="J16" s="720">
        <f ca="1">IFERROR(IF(TODAY()&gt;=E16,(TODAY()-E16)/I16,0),0)</f>
        <v>0.26666666666666666</v>
      </c>
      <c r="K16" s="752">
        <v>1462.1</v>
      </c>
      <c r="L16" s="752">
        <v>1452.1</v>
      </c>
      <c r="M16" s="753">
        <f t="shared" si="10"/>
        <v>10</v>
      </c>
      <c r="N16" s="219">
        <v>3901.29</v>
      </c>
      <c r="O16" s="130">
        <v>3650</v>
      </c>
      <c r="P16" s="168"/>
      <c r="Q16" s="168">
        <f t="shared" si="23"/>
        <v>5704076.1089999992</v>
      </c>
      <c r="R16" s="168">
        <f t="shared" si="24"/>
        <v>5300165</v>
      </c>
      <c r="S16" s="168">
        <f t="shared" si="25"/>
        <v>-403911.10899999924</v>
      </c>
      <c r="T16" s="216" t="str">
        <f t="shared" si="26"/>
        <v>No Monetizar</v>
      </c>
      <c r="U16" s="561"/>
      <c r="V16" s="141"/>
      <c r="AF16" s="112"/>
    </row>
    <row r="17" spans="2:32" s="744" customFormat="1">
      <c r="B17" s="735"/>
      <c r="C17" s="446"/>
      <c r="D17" s="447"/>
      <c r="E17" s="445"/>
      <c r="F17" s="445"/>
      <c r="G17" s="736"/>
      <c r="H17" s="736"/>
      <c r="I17" s="737"/>
      <c r="J17" s="738"/>
      <c r="K17" s="448"/>
      <c r="L17" s="448"/>
      <c r="M17" s="739"/>
      <c r="N17" s="451"/>
      <c r="O17" s="740"/>
      <c r="P17" s="452"/>
      <c r="Q17" s="452"/>
      <c r="R17" s="452"/>
      <c r="S17" s="452"/>
      <c r="T17" s="741"/>
      <c r="U17" s="742"/>
      <c r="V17" s="743"/>
      <c r="AF17" s="745"/>
    </row>
    <row r="18" spans="2:32">
      <c r="B18" s="700">
        <v>4</v>
      </c>
      <c r="C18" s="120" t="s">
        <v>1662</v>
      </c>
      <c r="D18" s="153" t="s">
        <v>1663</v>
      </c>
      <c r="E18" s="126">
        <v>46112</v>
      </c>
      <c r="F18" s="126">
        <v>46172</v>
      </c>
      <c r="G18" s="718" t="str">
        <f>(TEXT(F18,"ddd"))</f>
        <v>sáb</v>
      </c>
      <c r="H18" s="718" t="str">
        <f>(TEXT(F18,"mmm"))</f>
        <v>may</v>
      </c>
      <c r="I18" s="719">
        <f>F18-E18</f>
        <v>60</v>
      </c>
      <c r="J18" s="720">
        <f ca="1">IFERROR(IF(TODAY()&gt;=E18,(TODAY()-E18)/I18,0),0)</f>
        <v>0.15</v>
      </c>
      <c r="K18" s="134">
        <v>129.22</v>
      </c>
      <c r="L18" s="134">
        <v>128.22901108171325</v>
      </c>
      <c r="M18" s="661">
        <f t="shared" ref="M18:M19" si="27">K18-L18</f>
        <v>0.99098891828674596</v>
      </c>
      <c r="N18" s="219">
        <v>3637.76</v>
      </c>
      <c r="O18" s="781">
        <v>3750</v>
      </c>
      <c r="P18" s="168"/>
      <c r="Q18" s="168">
        <f t="shared" ref="Q18:Q19" si="28">K18*N18</f>
        <v>470071.34720000002</v>
      </c>
      <c r="R18" s="168">
        <f t="shared" ref="R18:R19" si="29">L18*O18</f>
        <v>480858.79155642469</v>
      </c>
      <c r="S18" s="168">
        <f t="shared" ref="S18:S19" si="30">R18-Q18</f>
        <v>10787.444356424676</v>
      </c>
      <c r="T18" s="216" t="str">
        <f t="shared" ref="T18:T19" si="31">IF(R18&lt;= Q18,"No Monetizar","Monetizar")</f>
        <v>Monetizar</v>
      </c>
      <c r="U18" s="561"/>
      <c r="V18" s="141"/>
      <c r="AF18" s="112"/>
    </row>
    <row r="19" spans="2:32">
      <c r="B19" s="700">
        <v>5</v>
      </c>
      <c r="C19" s="120" t="s">
        <v>1662</v>
      </c>
      <c r="D19" s="153" t="s">
        <v>1664</v>
      </c>
      <c r="E19" s="126">
        <v>46112</v>
      </c>
      <c r="F19" s="126">
        <v>46172</v>
      </c>
      <c r="G19" s="718" t="str">
        <f>(TEXT(F19,"ddd"))</f>
        <v>sáb</v>
      </c>
      <c r="H19" s="718" t="str">
        <f>(TEXT(F19,"mmm"))</f>
        <v>may</v>
      </c>
      <c r="I19" s="719">
        <f>F19-E19</f>
        <v>60</v>
      </c>
      <c r="J19" s="720">
        <f ca="1">IFERROR(IF(TODAY()&gt;=E19,(TODAY()-E19)/I19,0),0)</f>
        <v>0.15</v>
      </c>
      <c r="K19" s="134">
        <v>1174.73</v>
      </c>
      <c r="L19" s="134">
        <v>1165.7209889182866</v>
      </c>
      <c r="M19" s="661">
        <f t="shared" si="27"/>
        <v>9.0090110817134246</v>
      </c>
      <c r="N19" s="219">
        <v>3637.76</v>
      </c>
      <c r="O19" s="781">
        <v>3750</v>
      </c>
      <c r="P19" s="168"/>
      <c r="Q19" s="168">
        <f t="shared" si="28"/>
        <v>4273385.8048</v>
      </c>
      <c r="R19" s="168">
        <f t="shared" si="29"/>
        <v>4371453.7084435746</v>
      </c>
      <c r="S19" s="168">
        <f t="shared" si="30"/>
        <v>98067.903643574566</v>
      </c>
      <c r="T19" s="216" t="str">
        <f t="shared" si="31"/>
        <v>Monetizar</v>
      </c>
      <c r="U19" s="561"/>
      <c r="V19" s="141"/>
      <c r="AF19" s="112"/>
    </row>
    <row r="20" spans="2:32">
      <c r="B20" s="700"/>
      <c r="C20" s="120"/>
      <c r="D20" s="153"/>
      <c r="E20" s="126"/>
      <c r="F20" s="126"/>
      <c r="G20" s="126"/>
      <c r="H20" s="126"/>
      <c r="I20" s="127"/>
      <c r="J20" s="720">
        <f t="shared" ca="1" si="9"/>
        <v>0</v>
      </c>
      <c r="K20" s="134"/>
      <c r="L20" s="134"/>
      <c r="M20" s="661"/>
      <c r="N20" s="219"/>
      <c r="O20" s="130"/>
      <c r="P20" s="168"/>
      <c r="Q20" s="168"/>
      <c r="R20" s="168"/>
      <c r="S20" s="168"/>
      <c r="T20" s="216"/>
      <c r="U20" s="561"/>
      <c r="V20" s="141"/>
      <c r="AF20" s="112"/>
    </row>
    <row r="21" spans="2:32">
      <c r="B21" s="700"/>
      <c r="C21" s="120"/>
      <c r="D21" s="153"/>
      <c r="E21" s="126"/>
      <c r="F21" s="126"/>
      <c r="G21" s="126"/>
      <c r="H21" s="126"/>
      <c r="I21" s="127"/>
      <c r="J21" s="720">
        <f t="shared" ca="1" si="9"/>
        <v>0</v>
      </c>
      <c r="K21" s="218"/>
      <c r="L21" s="218"/>
      <c r="M21" s="129"/>
      <c r="N21" s="130"/>
      <c r="O21" s="130"/>
      <c r="P21" s="168"/>
      <c r="Q21" s="168">
        <f t="shared" ref="Q21" si="32">K21*N21</f>
        <v>0</v>
      </c>
      <c r="R21" s="168">
        <f t="shared" ref="R21" si="33">L21*O21</f>
        <v>0</v>
      </c>
      <c r="S21" s="168">
        <f t="shared" ref="S21" si="34">R21-Q21</f>
        <v>0</v>
      </c>
      <c r="T21" s="216" t="str">
        <f t="shared" ref="T21" si="35">IF(R21&lt;= Q21,"No Monetizar","Monetizar")</f>
        <v>No Monetizar</v>
      </c>
      <c r="U21" s="561"/>
      <c r="V21" s="141"/>
      <c r="AF21" s="112"/>
    </row>
    <row r="22" spans="2:32" ht="15.75" thickBot="1">
      <c r="B22" s="630"/>
      <c r="C22" s="631"/>
      <c r="D22" s="632"/>
      <c r="E22" s="200"/>
      <c r="F22" s="200"/>
      <c r="G22" s="200"/>
      <c r="H22" s="200"/>
      <c r="I22" s="633"/>
      <c r="J22" s="634"/>
      <c r="K22" s="635"/>
      <c r="L22" s="635"/>
      <c r="M22" s="202"/>
      <c r="N22" s="203"/>
      <c r="O22" s="203"/>
      <c r="P22" s="204"/>
      <c r="Q22" s="204">
        <f>K22*N22</f>
        <v>0</v>
      </c>
      <c r="R22" s="204">
        <f t="shared" ref="R22" si="36">L22*O22</f>
        <v>0</v>
      </c>
      <c r="S22" s="204">
        <f>R22-Q22</f>
        <v>0</v>
      </c>
      <c r="T22" s="636" t="str">
        <f t="shared" ref="T22" si="37">IF(R22&lt;= Q22,"No Monetizar","Monetizar")</f>
        <v>No Monetizar</v>
      </c>
      <c r="U22" s="637"/>
      <c r="V22" s="141"/>
      <c r="AF22" s="112"/>
    </row>
    <row r="23" spans="2:32" ht="15.75" thickBot="1">
      <c r="B23" s="817" t="s">
        <v>170</v>
      </c>
      <c r="C23" s="818"/>
      <c r="D23" s="818"/>
      <c r="E23" s="818"/>
      <c r="F23" s="818"/>
      <c r="G23" s="818"/>
      <c r="H23" s="818"/>
      <c r="I23" s="818"/>
      <c r="J23" s="818"/>
      <c r="K23" s="115">
        <f>SUBTOTAL(9,K3:K22)</f>
        <v>51717.18</v>
      </c>
      <c r="L23" s="115">
        <f>SUBTOTAL(9,L3:L22)</f>
        <v>51667.159999999989</v>
      </c>
      <c r="M23" s="115">
        <f>SUBTOTAL(9,M3:M22)</f>
        <v>50.020000000000039</v>
      </c>
      <c r="O23" s="157"/>
      <c r="P23" s="391"/>
      <c r="Q23" s="623">
        <f>SUBTOTAL(9,Q3:Q22)</f>
        <v>193793916.06350002</v>
      </c>
      <c r="R23" s="147">
        <f>SUBTOTAL(9,R3:R22)</f>
        <v>148257053</v>
      </c>
      <c r="S23" s="147">
        <f>SUBTOTAL(9,S3:S22)</f>
        <v>-45536863.063499987</v>
      </c>
      <c r="T23" s="135">
        <f>S23/Q23</f>
        <v>-0.23497571022084629</v>
      </c>
    </row>
    <row r="24" spans="2:32">
      <c r="B24" s="117"/>
      <c r="C24" s="117"/>
      <c r="D24" s="117"/>
      <c r="E24" s="117"/>
      <c r="F24" s="117"/>
      <c r="G24" s="117"/>
      <c r="H24" s="117"/>
      <c r="I24" s="117"/>
      <c r="J24" s="271"/>
      <c r="K24" s="272"/>
      <c r="L24" s="273"/>
      <c r="M24" s="148"/>
      <c r="O24" s="282"/>
      <c r="P24" s="391"/>
      <c r="Q24" s="263"/>
      <c r="R24" s="263"/>
      <c r="S24" s="303"/>
      <c r="T24" s="135"/>
    </row>
    <row r="25" spans="2:32">
      <c r="C25" s="118"/>
      <c r="E25" s="118"/>
      <c r="F25" s="392"/>
      <c r="G25" s="392"/>
      <c r="H25" s="392"/>
      <c r="J25" s="824" t="s">
        <v>1448</v>
      </c>
      <c r="K25" s="321"/>
      <c r="M25" s="330"/>
      <c r="N25" s="330"/>
      <c r="O25" s="330"/>
      <c r="P25" s="263"/>
      <c r="Q25" s="510"/>
      <c r="R25" s="263"/>
      <c r="S25" s="135"/>
    </row>
    <row r="26" spans="2:32">
      <c r="F26" s="118"/>
      <c r="G26" s="118"/>
      <c r="H26" s="118"/>
      <c r="J26" s="825"/>
      <c r="K26" s="305">
        <v>3741.47</v>
      </c>
      <c r="L26" s="118"/>
      <c r="M26" s="305"/>
      <c r="N26" s="157"/>
      <c r="O26" s="304"/>
      <c r="P26" s="263"/>
      <c r="Q26" s="263"/>
      <c r="R26" s="263"/>
      <c r="S26" s="135"/>
    </row>
    <row r="27" spans="2:32">
      <c r="F27" s="118"/>
      <c r="G27" s="118"/>
      <c r="H27" s="118"/>
      <c r="J27" s="392"/>
      <c r="K27" s="282"/>
      <c r="M27" s="305"/>
      <c r="N27" s="157"/>
      <c r="O27" s="304"/>
      <c r="P27" s="263"/>
      <c r="Q27" s="263"/>
      <c r="R27" s="263"/>
      <c r="S27" s="135"/>
    </row>
    <row r="28" spans="2:32" ht="15.75" thickBot="1">
      <c r="F28" s="118"/>
      <c r="G28" s="118"/>
      <c r="H28" s="118"/>
      <c r="J28" s="392"/>
      <c r="K28" s="321"/>
      <c r="M28" s="305"/>
      <c r="N28" s="157"/>
      <c r="O28" s="304"/>
      <c r="P28" s="263"/>
      <c r="Q28" s="263"/>
      <c r="R28" s="263"/>
      <c r="S28" s="640"/>
    </row>
    <row r="29" spans="2:32" ht="15.75" thickBot="1">
      <c r="L29" s="391"/>
      <c r="M29" s="118"/>
      <c r="Q29" s="821" t="s">
        <v>267</v>
      </c>
      <c r="R29" s="822"/>
      <c r="S29" s="823"/>
      <c r="Z29" s="815" t="s">
        <v>268</v>
      </c>
      <c r="AA29" s="816"/>
    </row>
    <row r="30" spans="2:32" ht="3.75" customHeight="1" thickBot="1">
      <c r="Q30" s="185"/>
      <c r="R30" s="185"/>
      <c r="S30" s="185"/>
      <c r="Z30" s="185"/>
      <c r="AA30" s="185"/>
    </row>
    <row r="31" spans="2:32" ht="45.75" thickBot="1">
      <c r="B31" s="109" t="s">
        <v>242</v>
      </c>
      <c r="C31" s="110" t="s">
        <v>243</v>
      </c>
      <c r="D31" s="110" t="s">
        <v>244</v>
      </c>
      <c r="E31" s="111" t="s">
        <v>245</v>
      </c>
      <c r="F31" s="111" t="s">
        <v>246</v>
      </c>
      <c r="G31" s="111"/>
      <c r="H31" s="111"/>
      <c r="I31" s="178" t="s">
        <v>249</v>
      </c>
      <c r="J31" s="178" t="s">
        <v>250</v>
      </c>
      <c r="K31" s="110" t="s">
        <v>251</v>
      </c>
      <c r="L31" s="110" t="s">
        <v>252</v>
      </c>
      <c r="M31" s="111" t="s">
        <v>253</v>
      </c>
      <c r="N31" s="111" t="s">
        <v>269</v>
      </c>
      <c r="O31" s="184" t="s">
        <v>255</v>
      </c>
      <c r="P31" s="111" t="s">
        <v>256</v>
      </c>
      <c r="Q31" s="111" t="s">
        <v>257</v>
      </c>
      <c r="R31" s="111" t="s">
        <v>258</v>
      </c>
      <c r="S31" s="111" t="s">
        <v>259</v>
      </c>
      <c r="T31" s="110" t="s">
        <v>16</v>
      </c>
      <c r="U31" s="110" t="s">
        <v>260</v>
      </c>
      <c r="V31" s="111" t="s">
        <v>270</v>
      </c>
      <c r="W31" s="110" t="s">
        <v>271</v>
      </c>
      <c r="X31" s="145" t="s">
        <v>272</v>
      </c>
      <c r="Y31" s="146" t="s">
        <v>273</v>
      </c>
      <c r="Z31" s="184" t="s">
        <v>258</v>
      </c>
      <c r="AA31" s="184" t="s">
        <v>259</v>
      </c>
    </row>
    <row r="32" spans="2:32" outlineLevel="1">
      <c r="B32" s="609">
        <v>1</v>
      </c>
      <c r="C32" s="582" t="s">
        <v>274</v>
      </c>
      <c r="D32" s="610">
        <v>5618</v>
      </c>
      <c r="E32" s="556">
        <v>45670</v>
      </c>
      <c r="F32" s="556">
        <v>45730</v>
      </c>
      <c r="G32" s="556"/>
      <c r="H32" s="556"/>
      <c r="I32" s="556"/>
      <c r="J32" s="557">
        <f t="shared" ref="J32:J37" ca="1" si="38">IFERROR(IF(TODAY()&gt;=E32,(TODAY()-E32)/I32,0),0)*0</f>
        <v>0</v>
      </c>
      <c r="K32" s="611">
        <v>6950.93</v>
      </c>
      <c r="L32" s="611">
        <v>6950.93</v>
      </c>
      <c r="M32" s="558">
        <f t="shared" ref="M32:M37" si="39">K32-L32</f>
        <v>0</v>
      </c>
      <c r="N32" s="559">
        <v>4252.3100000000004</v>
      </c>
      <c r="O32" s="559">
        <v>4290.5</v>
      </c>
      <c r="P32" s="560">
        <f t="shared" ref="P32:P37" si="40">O32-N32</f>
        <v>38.1899999999996</v>
      </c>
      <c r="Q32" s="612">
        <f t="shared" ref="Q32:Q37" si="41">K32*N32</f>
        <v>29557509.148300003</v>
      </c>
      <c r="R32" s="612">
        <f t="shared" ref="R32:R37" si="42">L32*O32</f>
        <v>29822965.165000003</v>
      </c>
      <c r="S32" s="612">
        <f t="shared" ref="S32:S37" si="43">R32-Q32</f>
        <v>265456.01669999957</v>
      </c>
      <c r="T32" s="613" t="str">
        <f>IF(R32&lt;= Q32,"No Monetizar","Monetizar")</f>
        <v>Monetizar</v>
      </c>
      <c r="U32" s="614"/>
      <c r="V32" s="615">
        <v>45684</v>
      </c>
      <c r="W32" s="616" t="s">
        <v>275</v>
      </c>
      <c r="X32" s="616" t="s">
        <v>275</v>
      </c>
      <c r="Y32" s="616" t="s">
        <v>276</v>
      </c>
      <c r="Z32" s="617">
        <f t="shared" ref="Z32:Z37" si="44">K32*O32</f>
        <v>29822965.165000003</v>
      </c>
      <c r="AA32" s="618">
        <f t="shared" ref="AA32:AA95" si="45">Z32-Q32</f>
        <v>265456.01669999957</v>
      </c>
    </row>
    <row r="33" spans="2:32" outlineLevel="1">
      <c r="B33" s="125">
        <v>2</v>
      </c>
      <c r="C33" s="120" t="s">
        <v>277</v>
      </c>
      <c r="D33" s="238">
        <v>5619</v>
      </c>
      <c r="E33" s="126">
        <v>45684</v>
      </c>
      <c r="F33" s="126">
        <v>45744</v>
      </c>
      <c r="G33" s="126"/>
      <c r="H33" s="126"/>
      <c r="I33" s="126"/>
      <c r="J33" s="208">
        <f t="shared" ca="1" si="38"/>
        <v>0</v>
      </c>
      <c r="K33" s="128">
        <v>152785.56</v>
      </c>
      <c r="L33" s="128">
        <v>152785.56</v>
      </c>
      <c r="M33" s="129">
        <f t="shared" si="39"/>
        <v>0</v>
      </c>
      <c r="N33" s="130">
        <v>4235.51</v>
      </c>
      <c r="O33" s="130">
        <v>4303.83</v>
      </c>
      <c r="P33" s="168">
        <f t="shared" si="40"/>
        <v>68.319999999999709</v>
      </c>
      <c r="Q33" s="132">
        <f t="shared" si="41"/>
        <v>647124767.23559999</v>
      </c>
      <c r="R33" s="132">
        <f t="shared" si="42"/>
        <v>657563076.69480002</v>
      </c>
      <c r="S33" s="132">
        <f t="shared" si="43"/>
        <v>10438309.459200025</v>
      </c>
      <c r="T33" s="133" t="str">
        <f t="shared" ref="T33:T37" si="46">IF(R33&lt;= Q33,"No Monetizar","Monetizar")</f>
        <v>Monetizar</v>
      </c>
      <c r="U33" s="239"/>
      <c r="V33" s="210">
        <v>45684</v>
      </c>
      <c r="W33" s="393" t="s">
        <v>275</v>
      </c>
      <c r="X33" s="393" t="s">
        <v>275</v>
      </c>
      <c r="Y33" s="393" t="s">
        <v>276</v>
      </c>
      <c r="Z33" s="211">
        <f t="shared" si="44"/>
        <v>657563076.69480002</v>
      </c>
      <c r="AA33" s="225">
        <f t="shared" si="45"/>
        <v>10438309.459200025</v>
      </c>
    </row>
    <row r="34" spans="2:32" outlineLevel="1">
      <c r="B34" s="125">
        <v>3</v>
      </c>
      <c r="C34" s="120" t="s">
        <v>265</v>
      </c>
      <c r="D34" s="238">
        <v>5629</v>
      </c>
      <c r="E34" s="126">
        <v>45684</v>
      </c>
      <c r="F34" s="126">
        <v>45744</v>
      </c>
      <c r="G34" s="126"/>
      <c r="H34" s="126"/>
      <c r="I34" s="126"/>
      <c r="J34" s="208">
        <f t="shared" ca="1" si="38"/>
        <v>0</v>
      </c>
      <c r="K34" s="128">
        <v>22896.82</v>
      </c>
      <c r="L34" s="128">
        <v>22896.82</v>
      </c>
      <c r="M34" s="129">
        <f t="shared" si="39"/>
        <v>0</v>
      </c>
      <c r="N34" s="130">
        <v>4251.2299999999996</v>
      </c>
      <c r="O34" s="130">
        <v>4303.83</v>
      </c>
      <c r="P34" s="168">
        <f t="shared" si="40"/>
        <v>52.600000000000364</v>
      </c>
      <c r="Q34" s="132">
        <f t="shared" si="41"/>
        <v>97339648.088599995</v>
      </c>
      <c r="R34" s="132">
        <f t="shared" si="42"/>
        <v>98544020.820600003</v>
      </c>
      <c r="S34" s="132">
        <f t="shared" si="43"/>
        <v>1204372.7320000082</v>
      </c>
      <c r="T34" s="133" t="str">
        <f t="shared" si="46"/>
        <v>Monetizar</v>
      </c>
      <c r="U34" s="239"/>
      <c r="V34" s="210">
        <v>45684</v>
      </c>
      <c r="W34" s="393" t="s">
        <v>275</v>
      </c>
      <c r="X34" s="393" t="s">
        <v>275</v>
      </c>
      <c r="Y34" s="393" t="s">
        <v>276</v>
      </c>
      <c r="Z34" s="211">
        <f t="shared" si="44"/>
        <v>98544020.820600003</v>
      </c>
      <c r="AA34" s="225">
        <f t="shared" si="45"/>
        <v>1204372.7320000082</v>
      </c>
    </row>
    <row r="35" spans="2:32" outlineLevel="1">
      <c r="B35" s="125">
        <v>4</v>
      </c>
      <c r="C35" s="120" t="s">
        <v>278</v>
      </c>
      <c r="D35" s="238">
        <v>5622</v>
      </c>
      <c r="E35" s="126">
        <v>45684</v>
      </c>
      <c r="F35" s="126">
        <v>45744</v>
      </c>
      <c r="G35" s="126"/>
      <c r="H35" s="126"/>
      <c r="I35" s="126"/>
      <c r="J35" s="208">
        <f t="shared" ca="1" si="38"/>
        <v>0</v>
      </c>
      <c r="K35" s="128">
        <v>2660.37</v>
      </c>
      <c r="L35" s="128">
        <v>2660.37</v>
      </c>
      <c r="M35" s="129">
        <f t="shared" si="39"/>
        <v>0</v>
      </c>
      <c r="N35" s="130">
        <v>4231.2299999999996</v>
      </c>
      <c r="O35" s="130">
        <v>4303.83</v>
      </c>
      <c r="P35" s="168">
        <f t="shared" si="40"/>
        <v>72.600000000000364</v>
      </c>
      <c r="Q35" s="132">
        <f t="shared" si="41"/>
        <v>11256637.355099998</v>
      </c>
      <c r="R35" s="132">
        <f t="shared" si="42"/>
        <v>11449780.2171</v>
      </c>
      <c r="S35" s="132">
        <f t="shared" si="43"/>
        <v>193142.86200000159</v>
      </c>
      <c r="T35" s="133" t="str">
        <f t="shared" si="46"/>
        <v>Monetizar</v>
      </c>
      <c r="U35" s="239"/>
      <c r="V35" s="210">
        <v>45684</v>
      </c>
      <c r="W35" s="393" t="s">
        <v>275</v>
      </c>
      <c r="X35" s="393" t="s">
        <v>275</v>
      </c>
      <c r="Y35" s="393" t="s">
        <v>276</v>
      </c>
      <c r="Z35" s="211">
        <f t="shared" si="44"/>
        <v>11449780.2171</v>
      </c>
      <c r="AA35" s="225">
        <f t="shared" si="45"/>
        <v>193142.86200000159</v>
      </c>
    </row>
    <row r="36" spans="2:32" ht="14.25" customHeight="1" outlineLevel="1">
      <c r="B36" s="125">
        <v>5</v>
      </c>
      <c r="C36" s="120" t="s">
        <v>116</v>
      </c>
      <c r="D36" s="238">
        <v>5630</v>
      </c>
      <c r="E36" s="126">
        <v>45684</v>
      </c>
      <c r="F36" s="126">
        <v>45744</v>
      </c>
      <c r="G36" s="126"/>
      <c r="H36" s="126"/>
      <c r="I36" s="126"/>
      <c r="J36" s="208">
        <f t="shared" ca="1" si="38"/>
        <v>0</v>
      </c>
      <c r="K36" s="128">
        <v>12800.27</v>
      </c>
      <c r="L36" s="128">
        <v>12785.27</v>
      </c>
      <c r="M36" s="129">
        <f t="shared" si="39"/>
        <v>15</v>
      </c>
      <c r="N36" s="130">
        <v>4194.1099999999997</v>
      </c>
      <c r="O36" s="130">
        <v>4303.83</v>
      </c>
      <c r="P36" s="168">
        <f t="shared" si="40"/>
        <v>109.72000000000025</v>
      </c>
      <c r="Q36" s="132">
        <f t="shared" si="41"/>
        <v>53685740.409699999</v>
      </c>
      <c r="R36" s="132">
        <f t="shared" si="42"/>
        <v>55025628.584100001</v>
      </c>
      <c r="S36" s="132">
        <f t="shared" si="43"/>
        <v>1339888.1744000018</v>
      </c>
      <c r="T36" s="133" t="str">
        <f t="shared" si="46"/>
        <v>Monetizar</v>
      </c>
      <c r="U36" s="239"/>
      <c r="V36" s="210">
        <v>45684</v>
      </c>
      <c r="W36" s="393" t="s">
        <v>275</v>
      </c>
      <c r="X36" s="393" t="s">
        <v>275</v>
      </c>
      <c r="Y36" s="393" t="s">
        <v>276</v>
      </c>
      <c r="Z36" s="211">
        <f t="shared" si="44"/>
        <v>55090186.034100004</v>
      </c>
      <c r="AA36" s="225">
        <f t="shared" si="45"/>
        <v>1404445.6244000047</v>
      </c>
    </row>
    <row r="37" spans="2:32" outlineLevel="1">
      <c r="B37" s="125">
        <v>6</v>
      </c>
      <c r="C37" s="120" t="s">
        <v>279</v>
      </c>
      <c r="D37" s="238">
        <v>5623</v>
      </c>
      <c r="E37" s="126">
        <v>45684</v>
      </c>
      <c r="F37" s="126">
        <v>45744</v>
      </c>
      <c r="G37" s="126"/>
      <c r="H37" s="126"/>
      <c r="I37" s="126"/>
      <c r="J37" s="208">
        <f t="shared" ca="1" si="38"/>
        <v>0</v>
      </c>
      <c r="K37" s="128">
        <v>18062.89</v>
      </c>
      <c r="L37" s="128">
        <v>18047.89</v>
      </c>
      <c r="M37" s="129">
        <f t="shared" si="39"/>
        <v>15</v>
      </c>
      <c r="N37" s="212">
        <v>4251.2299999999996</v>
      </c>
      <c r="O37" s="130">
        <v>4303.83</v>
      </c>
      <c r="P37" s="168">
        <f t="shared" si="40"/>
        <v>52.600000000000364</v>
      </c>
      <c r="Q37" s="132">
        <f t="shared" si="41"/>
        <v>76789499.854699984</v>
      </c>
      <c r="R37" s="132">
        <f t="shared" si="42"/>
        <v>77675050.418699995</v>
      </c>
      <c r="S37" s="132">
        <f t="shared" si="43"/>
        <v>885550.56400001049</v>
      </c>
      <c r="T37" s="133" t="str">
        <f t="shared" si="46"/>
        <v>Monetizar</v>
      </c>
      <c r="U37" s="239"/>
      <c r="V37" s="210">
        <v>45684</v>
      </c>
      <c r="W37" s="393" t="s">
        <v>275</v>
      </c>
      <c r="X37" s="393" t="s">
        <v>275</v>
      </c>
      <c r="Y37" s="393" t="s">
        <v>276</v>
      </c>
      <c r="Z37" s="211">
        <f t="shared" si="44"/>
        <v>77739607.868699998</v>
      </c>
      <c r="AA37" s="225">
        <f t="shared" si="45"/>
        <v>950108.01400001347</v>
      </c>
    </row>
    <row r="38" spans="2:32" outlineLevel="1">
      <c r="B38" s="125">
        <v>7</v>
      </c>
      <c r="C38" s="120" t="s">
        <v>120</v>
      </c>
      <c r="D38" s="238">
        <v>5631</v>
      </c>
      <c r="E38" s="126">
        <v>45684</v>
      </c>
      <c r="F38" s="126">
        <v>45744</v>
      </c>
      <c r="G38" s="126"/>
      <c r="H38" s="126"/>
      <c r="I38" s="126"/>
      <c r="J38" s="208">
        <f t="shared" ref="J38:J69" ca="1" si="47">IFERROR(IF(TODAY()&gt;=E38,(TODAY()-E38)/I38,0),0)*0</f>
        <v>0</v>
      </c>
      <c r="K38" s="128">
        <v>2833.35</v>
      </c>
      <c r="L38" s="128">
        <v>2813.35</v>
      </c>
      <c r="M38" s="129">
        <f t="shared" ref="M38:M50" si="48">K38-L38</f>
        <v>20</v>
      </c>
      <c r="N38" s="212">
        <v>4231.53</v>
      </c>
      <c r="O38" s="130">
        <v>4303.83</v>
      </c>
      <c r="P38" s="168">
        <f t="shared" ref="P38:P69" si="49">O38-N38</f>
        <v>72.300000000000182</v>
      </c>
      <c r="Q38" s="132">
        <f t="shared" ref="Q38:Q82" si="50">K38*N38</f>
        <v>11989405.5255</v>
      </c>
      <c r="R38" s="132">
        <f t="shared" ref="R38:R82" si="51">L38*O38</f>
        <v>12108180.1305</v>
      </c>
      <c r="S38" s="132">
        <f t="shared" ref="S38:S54" si="52">R38-Q38</f>
        <v>118774.60500000045</v>
      </c>
      <c r="T38" s="133" t="str">
        <f t="shared" ref="T38:T69" si="53">IF(R38&lt;= Q38,"No Monetizar","Monetizar")</f>
        <v>Monetizar</v>
      </c>
      <c r="U38" s="239"/>
      <c r="V38" s="210">
        <v>45684</v>
      </c>
      <c r="W38" s="393" t="s">
        <v>275</v>
      </c>
      <c r="X38" s="393" t="s">
        <v>275</v>
      </c>
      <c r="Y38" s="393" t="s">
        <v>276</v>
      </c>
      <c r="Z38" s="211">
        <f t="shared" ref="Z38:Z69" si="54">K38*O38</f>
        <v>12194256.7305</v>
      </c>
      <c r="AA38" s="225">
        <f t="shared" si="45"/>
        <v>204851.20500000007</v>
      </c>
    </row>
    <row r="39" spans="2:32" outlineLevel="1">
      <c r="B39" s="125">
        <v>8</v>
      </c>
      <c r="C39" s="120" t="s">
        <v>117</v>
      </c>
      <c r="D39" s="238">
        <v>5655</v>
      </c>
      <c r="E39" s="126">
        <v>45685</v>
      </c>
      <c r="F39" s="126">
        <v>45745</v>
      </c>
      <c r="G39" s="126"/>
      <c r="H39" s="126"/>
      <c r="I39" s="126"/>
      <c r="J39" s="208">
        <f t="shared" ca="1" si="47"/>
        <v>0</v>
      </c>
      <c r="K39" s="128">
        <v>106150.36</v>
      </c>
      <c r="L39" s="134">
        <v>106135.36</v>
      </c>
      <c r="M39" s="129">
        <f t="shared" si="48"/>
        <v>15</v>
      </c>
      <c r="N39" s="212">
        <v>4070.86</v>
      </c>
      <c r="O39" s="130">
        <v>4177.7</v>
      </c>
      <c r="P39" s="168">
        <f t="shared" si="49"/>
        <v>106.83999999999969</v>
      </c>
      <c r="Q39" s="132">
        <f t="shared" si="50"/>
        <v>432123254.50960004</v>
      </c>
      <c r="R39" s="132">
        <f t="shared" si="51"/>
        <v>443401693.472</v>
      </c>
      <c r="S39" s="132">
        <f t="shared" si="52"/>
        <v>11278438.96239996</v>
      </c>
      <c r="T39" s="133" t="str">
        <f t="shared" si="53"/>
        <v>Monetizar</v>
      </c>
      <c r="U39" s="239"/>
      <c r="V39" s="210">
        <v>45686</v>
      </c>
      <c r="W39" s="393" t="s">
        <v>275</v>
      </c>
      <c r="X39" s="393" t="s">
        <v>275</v>
      </c>
      <c r="Y39" s="393" t="s">
        <v>276</v>
      </c>
      <c r="Z39" s="211">
        <f t="shared" si="54"/>
        <v>443464358.972</v>
      </c>
      <c r="AA39" s="225">
        <f t="shared" si="45"/>
        <v>11341104.46239996</v>
      </c>
    </row>
    <row r="40" spans="2:32" outlineLevel="1">
      <c r="B40" s="125">
        <v>9</v>
      </c>
      <c r="C40" s="120" t="s">
        <v>280</v>
      </c>
      <c r="D40" s="238" t="s">
        <v>281</v>
      </c>
      <c r="E40" s="126">
        <v>45680</v>
      </c>
      <c r="F40" s="126">
        <v>45740</v>
      </c>
      <c r="G40" s="126"/>
      <c r="H40" s="126"/>
      <c r="I40" s="126"/>
      <c r="J40" s="208">
        <f t="shared" ca="1" si="47"/>
        <v>0</v>
      </c>
      <c r="K40" s="128">
        <v>17192.43</v>
      </c>
      <c r="L40" s="134">
        <v>17177.43</v>
      </c>
      <c r="M40" s="129">
        <f t="shared" si="48"/>
        <v>15</v>
      </c>
      <c r="N40" s="212">
        <v>4367.3900000000003</v>
      </c>
      <c r="O40" s="130">
        <v>4441.62</v>
      </c>
      <c r="P40" s="168">
        <f t="shared" si="49"/>
        <v>74.229999999999563</v>
      </c>
      <c r="Q40" s="132">
        <f t="shared" si="50"/>
        <v>75086046.857700005</v>
      </c>
      <c r="R40" s="132">
        <f t="shared" si="51"/>
        <v>76295616.636600003</v>
      </c>
      <c r="S40" s="132">
        <f t="shared" si="52"/>
        <v>1209569.7788999975</v>
      </c>
      <c r="T40" s="133" t="str">
        <f t="shared" si="53"/>
        <v>Monetizar</v>
      </c>
      <c r="U40" s="239"/>
      <c r="V40" s="210">
        <v>45687</v>
      </c>
      <c r="W40" s="393" t="s">
        <v>275</v>
      </c>
      <c r="X40" s="393" t="s">
        <v>275</v>
      </c>
      <c r="Y40" s="393" t="s">
        <v>276</v>
      </c>
      <c r="Z40" s="211">
        <f t="shared" si="54"/>
        <v>76362240.9366</v>
      </c>
      <c r="AA40" s="225">
        <f t="shared" si="45"/>
        <v>1276194.0788999945</v>
      </c>
    </row>
    <row r="41" spans="2:32" outlineLevel="1">
      <c r="B41" s="125">
        <v>10</v>
      </c>
      <c r="C41" s="120" t="s">
        <v>282</v>
      </c>
      <c r="D41" s="153">
        <v>5656</v>
      </c>
      <c r="E41" s="126">
        <v>45691</v>
      </c>
      <c r="F41" s="126">
        <v>45751</v>
      </c>
      <c r="G41" s="126"/>
      <c r="H41" s="126"/>
      <c r="I41" s="126"/>
      <c r="J41" s="208">
        <f t="shared" ca="1" si="47"/>
        <v>0</v>
      </c>
      <c r="K41" s="128">
        <v>1459.33</v>
      </c>
      <c r="L41" s="128">
        <v>1459.33</v>
      </c>
      <c r="M41" s="129">
        <f t="shared" si="48"/>
        <v>0</v>
      </c>
      <c r="N41" s="130">
        <v>4100.8599999999997</v>
      </c>
      <c r="O41" s="130">
        <v>4136.07</v>
      </c>
      <c r="P41" s="168">
        <f t="shared" si="49"/>
        <v>35.210000000000036</v>
      </c>
      <c r="Q41" s="132">
        <f t="shared" si="50"/>
        <v>5984508.0237999996</v>
      </c>
      <c r="R41" s="132">
        <f t="shared" si="51"/>
        <v>6035891.0330999997</v>
      </c>
      <c r="S41" s="132">
        <f t="shared" si="52"/>
        <v>51383.009300000034</v>
      </c>
      <c r="T41" s="133" t="str">
        <f t="shared" si="53"/>
        <v>Monetizar</v>
      </c>
      <c r="U41" s="239"/>
      <c r="V41" s="210">
        <v>45692</v>
      </c>
      <c r="W41" s="393" t="s">
        <v>275</v>
      </c>
      <c r="X41" s="393" t="s">
        <v>275</v>
      </c>
      <c r="Y41" s="393" t="s">
        <v>276</v>
      </c>
      <c r="Z41" s="211">
        <f t="shared" si="54"/>
        <v>6035891.0330999997</v>
      </c>
      <c r="AA41" s="225">
        <f t="shared" si="45"/>
        <v>51383.009300000034</v>
      </c>
      <c r="AF41" s="112"/>
    </row>
    <row r="42" spans="2:32" outlineLevel="1">
      <c r="B42" s="125">
        <v>11</v>
      </c>
      <c r="C42" s="120" t="s">
        <v>283</v>
      </c>
      <c r="D42" s="153">
        <v>5656</v>
      </c>
      <c r="E42" s="126">
        <v>45700</v>
      </c>
      <c r="F42" s="126">
        <v>45760</v>
      </c>
      <c r="G42" s="126"/>
      <c r="H42" s="126"/>
      <c r="I42" s="126"/>
      <c r="J42" s="208">
        <f t="shared" ca="1" si="47"/>
        <v>0</v>
      </c>
      <c r="K42" s="128">
        <v>593.48</v>
      </c>
      <c r="L42" s="128">
        <v>593.48</v>
      </c>
      <c r="M42" s="129">
        <f t="shared" si="48"/>
        <v>0</v>
      </c>
      <c r="N42" s="130">
        <v>4100.8599999999997</v>
      </c>
      <c r="O42" s="130">
        <v>4147.5</v>
      </c>
      <c r="P42" s="168">
        <f t="shared" si="49"/>
        <v>46.640000000000327</v>
      </c>
      <c r="Q42" s="132">
        <f t="shared" si="50"/>
        <v>2433778.3928</v>
      </c>
      <c r="R42" s="132">
        <f t="shared" si="51"/>
        <v>2461458.3000000003</v>
      </c>
      <c r="S42" s="132">
        <f t="shared" si="52"/>
        <v>27679.907200000249</v>
      </c>
      <c r="T42" s="133" t="str">
        <f t="shared" si="53"/>
        <v>Monetizar</v>
      </c>
      <c r="U42" s="239"/>
      <c r="V42" s="394">
        <v>45700</v>
      </c>
      <c r="W42" s="393" t="s">
        <v>275</v>
      </c>
      <c r="X42" s="393" t="s">
        <v>275</v>
      </c>
      <c r="Y42" s="393" t="s">
        <v>276</v>
      </c>
      <c r="Z42" s="211">
        <f t="shared" si="54"/>
        <v>2461458.3000000003</v>
      </c>
      <c r="AA42" s="225">
        <f t="shared" si="45"/>
        <v>27679.907200000249</v>
      </c>
    </row>
    <row r="43" spans="2:32" ht="30" outlineLevel="1">
      <c r="B43" s="125">
        <v>12</v>
      </c>
      <c r="C43" s="120" t="s">
        <v>284</v>
      </c>
      <c r="D43" s="153">
        <v>5628</v>
      </c>
      <c r="E43" s="126">
        <v>45679</v>
      </c>
      <c r="F43" s="126">
        <v>45739</v>
      </c>
      <c r="G43" s="126"/>
      <c r="H43" s="126"/>
      <c r="I43" s="126"/>
      <c r="J43" s="208">
        <f t="shared" ca="1" si="47"/>
        <v>0</v>
      </c>
      <c r="K43" s="128">
        <v>4737.5</v>
      </c>
      <c r="L43" s="128">
        <v>4737.5</v>
      </c>
      <c r="M43" s="129">
        <f t="shared" si="48"/>
        <v>0</v>
      </c>
      <c r="N43" s="130">
        <v>4231.2299999999996</v>
      </c>
      <c r="O43" s="130">
        <v>4143.4399999999996</v>
      </c>
      <c r="P43" s="168">
        <f t="shared" si="49"/>
        <v>-87.789999999999964</v>
      </c>
      <c r="Q43" s="395">
        <f t="shared" si="50"/>
        <v>20045452.124999996</v>
      </c>
      <c r="R43" s="395">
        <f t="shared" si="51"/>
        <v>19629546.999999996</v>
      </c>
      <c r="S43" s="395">
        <f t="shared" si="52"/>
        <v>-415905.125</v>
      </c>
      <c r="T43" s="133" t="str">
        <f t="shared" si="53"/>
        <v>No Monetizar</v>
      </c>
      <c r="U43" s="209"/>
      <c r="V43" s="394">
        <v>45700</v>
      </c>
      <c r="W43" s="393" t="s">
        <v>275</v>
      </c>
      <c r="X43" s="393" t="s">
        <v>285</v>
      </c>
      <c r="Y43" s="393" t="s">
        <v>286</v>
      </c>
      <c r="Z43" s="211">
        <f t="shared" si="54"/>
        <v>19629546.999999996</v>
      </c>
      <c r="AA43" s="225">
        <f t="shared" si="45"/>
        <v>-415905.125</v>
      </c>
    </row>
    <row r="44" spans="2:32" s="142" customFormat="1" outlineLevel="1">
      <c r="B44" s="125">
        <v>13</v>
      </c>
      <c r="C44" s="120" t="s">
        <v>287</v>
      </c>
      <c r="D44" s="153">
        <v>5586</v>
      </c>
      <c r="E44" s="126">
        <v>45679</v>
      </c>
      <c r="F44" s="126">
        <v>45739</v>
      </c>
      <c r="G44" s="126"/>
      <c r="H44" s="126"/>
      <c r="I44" s="126"/>
      <c r="J44" s="208">
        <f t="shared" ca="1" si="47"/>
        <v>0</v>
      </c>
      <c r="K44" s="128">
        <v>867.66</v>
      </c>
      <c r="L44" s="291">
        <v>867.66</v>
      </c>
      <c r="M44" s="129">
        <f t="shared" si="48"/>
        <v>0</v>
      </c>
      <c r="N44" s="130">
        <v>4294.6400000000003</v>
      </c>
      <c r="O44" s="130">
        <v>4143.4399999999996</v>
      </c>
      <c r="P44" s="168">
        <f t="shared" si="49"/>
        <v>-151.20000000000073</v>
      </c>
      <c r="Q44" s="395">
        <f t="shared" si="50"/>
        <v>3726287.3424</v>
      </c>
      <c r="R44" s="395">
        <f t="shared" si="51"/>
        <v>3595097.1503999997</v>
      </c>
      <c r="S44" s="395">
        <f t="shared" si="52"/>
        <v>-131190.19200000027</v>
      </c>
      <c r="T44" s="133" t="str">
        <f t="shared" si="53"/>
        <v>No Monetizar</v>
      </c>
      <c r="U44" s="209"/>
      <c r="V44" s="394">
        <v>45700</v>
      </c>
      <c r="W44" s="393" t="s">
        <v>275</v>
      </c>
      <c r="X44" s="393" t="s">
        <v>285</v>
      </c>
      <c r="Y44" s="393" t="s">
        <v>286</v>
      </c>
      <c r="Z44" s="211">
        <f t="shared" si="54"/>
        <v>3595097.1503999997</v>
      </c>
      <c r="AA44" s="225">
        <f t="shared" si="45"/>
        <v>-131190.19200000027</v>
      </c>
    </row>
    <row r="45" spans="2:32" outlineLevel="1">
      <c r="B45" s="125">
        <v>14</v>
      </c>
      <c r="C45" s="120" t="s">
        <v>288</v>
      </c>
      <c r="D45" s="153">
        <v>5624</v>
      </c>
      <c r="E45" s="126">
        <v>45680</v>
      </c>
      <c r="F45" s="126">
        <v>45740</v>
      </c>
      <c r="G45" s="126"/>
      <c r="H45" s="126"/>
      <c r="I45" s="126"/>
      <c r="J45" s="208">
        <f t="shared" ca="1" si="47"/>
        <v>0</v>
      </c>
      <c r="K45" s="128">
        <v>22499.23</v>
      </c>
      <c r="L45" s="291">
        <v>22453.23</v>
      </c>
      <c r="M45" s="129">
        <f t="shared" si="48"/>
        <v>46</v>
      </c>
      <c r="N45" s="130">
        <v>4216.2299999999996</v>
      </c>
      <c r="O45" s="130">
        <v>4143.4399999999996</v>
      </c>
      <c r="P45" s="168">
        <f t="shared" si="49"/>
        <v>-72.789999999999964</v>
      </c>
      <c r="Q45" s="395">
        <f t="shared" si="50"/>
        <v>94861928.502899989</v>
      </c>
      <c r="R45" s="395">
        <f t="shared" si="51"/>
        <v>93033611.311199993</v>
      </c>
      <c r="S45" s="132">
        <f t="shared" si="52"/>
        <v>-1828317.1916999966</v>
      </c>
      <c r="T45" s="133" t="str">
        <f t="shared" si="53"/>
        <v>No Monetizar</v>
      </c>
      <c r="U45" s="209"/>
      <c r="V45" s="394">
        <v>45700</v>
      </c>
      <c r="W45" s="393" t="s">
        <v>275</v>
      </c>
      <c r="X45" s="393" t="s">
        <v>285</v>
      </c>
      <c r="Y45" s="393" t="s">
        <v>286</v>
      </c>
      <c r="Z45" s="211">
        <f t="shared" si="54"/>
        <v>93224209.551199988</v>
      </c>
      <c r="AA45" s="225">
        <f t="shared" si="45"/>
        <v>-1637718.951700002</v>
      </c>
    </row>
    <row r="46" spans="2:32" outlineLevel="1">
      <c r="B46" s="125">
        <v>15</v>
      </c>
      <c r="C46" s="120" t="s">
        <v>287</v>
      </c>
      <c r="D46" s="153">
        <v>5585</v>
      </c>
      <c r="E46" s="126">
        <v>45687</v>
      </c>
      <c r="F46" s="126">
        <v>45747</v>
      </c>
      <c r="G46" s="126"/>
      <c r="H46" s="126"/>
      <c r="I46" s="126"/>
      <c r="J46" s="208">
        <f t="shared" ca="1" si="47"/>
        <v>0</v>
      </c>
      <c r="K46" s="128">
        <v>3469.98</v>
      </c>
      <c r="L46" s="291">
        <v>3469.98</v>
      </c>
      <c r="M46" s="129">
        <f t="shared" si="48"/>
        <v>0</v>
      </c>
      <c r="N46" s="130">
        <v>4294.6400000000003</v>
      </c>
      <c r="O46" s="130">
        <v>4143.4399999999996</v>
      </c>
      <c r="P46" s="168">
        <f t="shared" si="49"/>
        <v>-151.20000000000073</v>
      </c>
      <c r="Q46" s="132">
        <f t="shared" si="50"/>
        <v>14902314.907200001</v>
      </c>
      <c r="R46" s="132">
        <f t="shared" si="51"/>
        <v>14377653.9312</v>
      </c>
      <c r="S46" s="132">
        <f t="shared" si="52"/>
        <v>-524660.97600000165</v>
      </c>
      <c r="T46" s="133" t="str">
        <f t="shared" si="53"/>
        <v>No Monetizar</v>
      </c>
      <c r="U46" s="209"/>
      <c r="V46" s="394">
        <v>45700</v>
      </c>
      <c r="W46" s="393" t="s">
        <v>275</v>
      </c>
      <c r="X46" s="393" t="s">
        <v>285</v>
      </c>
      <c r="Y46" s="393" t="s">
        <v>286</v>
      </c>
      <c r="Z46" s="211">
        <f t="shared" si="54"/>
        <v>14377653.9312</v>
      </c>
      <c r="AA46" s="225">
        <f t="shared" si="45"/>
        <v>-524660.97600000165</v>
      </c>
    </row>
    <row r="47" spans="2:32" outlineLevel="1">
      <c r="B47" s="125">
        <v>16</v>
      </c>
      <c r="C47" s="120" t="s">
        <v>117</v>
      </c>
      <c r="D47" s="153">
        <v>5575</v>
      </c>
      <c r="E47" s="126">
        <v>45691</v>
      </c>
      <c r="F47" s="126">
        <v>45751</v>
      </c>
      <c r="G47" s="126"/>
      <c r="H47" s="126"/>
      <c r="I47" s="126"/>
      <c r="J47" s="208">
        <f t="shared" ca="1" si="47"/>
        <v>0</v>
      </c>
      <c r="K47" s="128">
        <v>672.6</v>
      </c>
      <c r="L47" s="291">
        <v>667.6</v>
      </c>
      <c r="M47" s="129">
        <f t="shared" si="48"/>
        <v>5</v>
      </c>
      <c r="N47" s="130">
        <v>4249.1099999999997</v>
      </c>
      <c r="O47" s="130">
        <v>4143.4399999999996</v>
      </c>
      <c r="P47" s="168">
        <f t="shared" si="49"/>
        <v>-105.67000000000007</v>
      </c>
      <c r="Q47" s="395">
        <f t="shared" si="50"/>
        <v>2857951.3859999999</v>
      </c>
      <c r="R47" s="395">
        <f t="shared" si="51"/>
        <v>2766160.5439999998</v>
      </c>
      <c r="S47" s="395">
        <f t="shared" si="52"/>
        <v>-91790.842000000179</v>
      </c>
      <c r="T47" s="133" t="str">
        <f t="shared" si="53"/>
        <v>No Monetizar</v>
      </c>
      <c r="U47" s="209"/>
      <c r="V47" s="394">
        <v>45700</v>
      </c>
      <c r="W47" s="393" t="s">
        <v>275</v>
      </c>
      <c r="X47" s="393" t="s">
        <v>285</v>
      </c>
      <c r="Y47" s="393" t="s">
        <v>286</v>
      </c>
      <c r="Z47" s="211">
        <f t="shared" si="54"/>
        <v>2786877.7439999999</v>
      </c>
      <c r="AA47" s="225">
        <f t="shared" si="45"/>
        <v>-71073.641999999993</v>
      </c>
    </row>
    <row r="48" spans="2:32" outlineLevel="1">
      <c r="B48" s="125">
        <v>17</v>
      </c>
      <c r="C48" s="120" t="s">
        <v>287</v>
      </c>
      <c r="D48" s="153">
        <v>5626</v>
      </c>
      <c r="E48" s="126">
        <v>45695</v>
      </c>
      <c r="F48" s="126">
        <v>45755</v>
      </c>
      <c r="G48" s="126"/>
      <c r="H48" s="126"/>
      <c r="I48" s="126"/>
      <c r="J48" s="208">
        <f t="shared" ca="1" si="47"/>
        <v>0</v>
      </c>
      <c r="K48" s="128">
        <v>1107.05</v>
      </c>
      <c r="L48" s="291">
        <v>1107.05</v>
      </c>
      <c r="M48" s="129">
        <f t="shared" si="48"/>
        <v>0</v>
      </c>
      <c r="N48" s="130">
        <v>4231.2299999999996</v>
      </c>
      <c r="O48" s="130">
        <v>4143.4399999999996</v>
      </c>
      <c r="P48" s="168">
        <f t="shared" si="49"/>
        <v>-87.789999999999964</v>
      </c>
      <c r="Q48" s="132">
        <f t="shared" si="50"/>
        <v>4684183.1714999992</v>
      </c>
      <c r="R48" s="132">
        <f t="shared" si="51"/>
        <v>4586995.2519999994</v>
      </c>
      <c r="S48" s="132">
        <f t="shared" si="52"/>
        <v>-97187.919499999844</v>
      </c>
      <c r="T48" s="133" t="str">
        <f t="shared" si="53"/>
        <v>No Monetizar</v>
      </c>
      <c r="U48" s="209"/>
      <c r="V48" s="394">
        <v>45700</v>
      </c>
      <c r="W48" s="393" t="s">
        <v>275</v>
      </c>
      <c r="X48" s="393" t="s">
        <v>285</v>
      </c>
      <c r="Y48" s="393" t="s">
        <v>286</v>
      </c>
      <c r="Z48" s="211">
        <f t="shared" si="54"/>
        <v>4586995.2519999994</v>
      </c>
      <c r="AA48" s="225">
        <f t="shared" si="45"/>
        <v>-97187.919499999844</v>
      </c>
      <c r="AF48" s="112"/>
    </row>
    <row r="49" spans="2:32" outlineLevel="1">
      <c r="B49" s="125">
        <v>18</v>
      </c>
      <c r="C49" s="120" t="s">
        <v>287</v>
      </c>
      <c r="D49" s="153">
        <v>5627</v>
      </c>
      <c r="E49" s="126">
        <v>45695</v>
      </c>
      <c r="F49" s="126">
        <v>45755</v>
      </c>
      <c r="G49" s="126"/>
      <c r="H49" s="126"/>
      <c r="I49" s="126"/>
      <c r="J49" s="208">
        <f t="shared" ca="1" si="47"/>
        <v>0</v>
      </c>
      <c r="K49" s="128">
        <v>3521.96</v>
      </c>
      <c r="L49" s="291">
        <v>3521.96</v>
      </c>
      <c r="M49" s="129">
        <f t="shared" si="48"/>
        <v>0</v>
      </c>
      <c r="N49" s="130">
        <v>4231.2299999999996</v>
      </c>
      <c r="O49" s="130">
        <v>4143.4399999999996</v>
      </c>
      <c r="P49" s="168">
        <f t="shared" si="49"/>
        <v>-87.789999999999964</v>
      </c>
      <c r="Q49" s="132">
        <f t="shared" si="50"/>
        <v>14902222.810799999</v>
      </c>
      <c r="R49" s="132">
        <f t="shared" si="51"/>
        <v>14593029.942399999</v>
      </c>
      <c r="S49" s="132">
        <f t="shared" si="52"/>
        <v>-309192.86840000004</v>
      </c>
      <c r="T49" s="133" t="str">
        <f t="shared" si="53"/>
        <v>No Monetizar</v>
      </c>
      <c r="U49" s="209"/>
      <c r="V49" s="394">
        <v>45700</v>
      </c>
      <c r="W49" s="393" t="s">
        <v>275</v>
      </c>
      <c r="X49" s="393" t="s">
        <v>285</v>
      </c>
      <c r="Y49" s="393" t="s">
        <v>286</v>
      </c>
      <c r="Z49" s="211">
        <f t="shared" si="54"/>
        <v>14593029.942399999</v>
      </c>
      <c r="AA49" s="225">
        <f t="shared" si="45"/>
        <v>-309192.86840000004</v>
      </c>
      <c r="AF49" s="112"/>
    </row>
    <row r="50" spans="2:32" outlineLevel="1">
      <c r="B50" s="125">
        <v>19</v>
      </c>
      <c r="C50" s="120" t="s">
        <v>261</v>
      </c>
      <c r="D50" s="153">
        <v>5633</v>
      </c>
      <c r="E50" s="126">
        <v>45695</v>
      </c>
      <c r="F50" s="126">
        <v>45755</v>
      </c>
      <c r="G50" s="126"/>
      <c r="H50" s="126"/>
      <c r="I50" s="126"/>
      <c r="J50" s="208">
        <f t="shared" ca="1" si="47"/>
        <v>0</v>
      </c>
      <c r="K50" s="128">
        <v>1250.93</v>
      </c>
      <c r="L50" s="291">
        <v>1250.93</v>
      </c>
      <c r="M50" s="129">
        <f t="shared" si="48"/>
        <v>0</v>
      </c>
      <c r="N50" s="130">
        <v>4194.1099999999997</v>
      </c>
      <c r="O50" s="130">
        <v>4143.4399999999996</v>
      </c>
      <c r="P50" s="168">
        <f t="shared" si="49"/>
        <v>-50.670000000000073</v>
      </c>
      <c r="Q50" s="395">
        <f t="shared" si="50"/>
        <v>5246538.0223000003</v>
      </c>
      <c r="R50" s="395">
        <f t="shared" si="51"/>
        <v>5183153.3991999999</v>
      </c>
      <c r="S50" s="395">
        <f t="shared" si="52"/>
        <v>-63384.623100000434</v>
      </c>
      <c r="T50" s="133" t="str">
        <f t="shared" si="53"/>
        <v>No Monetizar</v>
      </c>
      <c r="U50" s="209"/>
      <c r="V50" s="394">
        <v>45700</v>
      </c>
      <c r="W50" s="393" t="s">
        <v>275</v>
      </c>
      <c r="X50" s="393" t="s">
        <v>285</v>
      </c>
      <c r="Y50" s="393" t="s">
        <v>286</v>
      </c>
      <c r="Z50" s="211">
        <f t="shared" si="54"/>
        <v>5183153.3991999999</v>
      </c>
      <c r="AA50" s="225">
        <f t="shared" si="45"/>
        <v>-63384.623100000434</v>
      </c>
    </row>
    <row r="51" spans="2:32" outlineLevel="1">
      <c r="B51" s="125">
        <v>20</v>
      </c>
      <c r="C51" s="120" t="s">
        <v>274</v>
      </c>
      <c r="D51" s="153">
        <v>5678</v>
      </c>
      <c r="E51" s="126">
        <v>45699</v>
      </c>
      <c r="F51" s="126">
        <v>45759</v>
      </c>
      <c r="G51" s="126"/>
      <c r="H51" s="126"/>
      <c r="I51" s="126"/>
      <c r="J51" s="208">
        <f t="shared" ca="1" si="47"/>
        <v>0</v>
      </c>
      <c r="K51" s="128">
        <v>3689.78</v>
      </c>
      <c r="L51" s="291">
        <v>3689.78</v>
      </c>
      <c r="M51" s="129">
        <f>(K51-L51)*0</f>
        <v>0</v>
      </c>
      <c r="N51" s="130">
        <v>3980.06</v>
      </c>
      <c r="O51" s="130">
        <f>O50</f>
        <v>4143.4399999999996</v>
      </c>
      <c r="P51" s="168">
        <f t="shared" si="49"/>
        <v>163.37999999999965</v>
      </c>
      <c r="Q51" s="132">
        <f t="shared" si="50"/>
        <v>14685545.786800001</v>
      </c>
      <c r="R51" s="132">
        <f t="shared" si="51"/>
        <v>15288382.043199999</v>
      </c>
      <c r="S51" s="132">
        <f t="shared" si="52"/>
        <v>602836.25639999844</v>
      </c>
      <c r="T51" s="133" t="str">
        <f t="shared" si="53"/>
        <v>Monetizar</v>
      </c>
      <c r="U51" s="239"/>
      <c r="V51" s="394">
        <v>45700</v>
      </c>
      <c r="W51" s="393" t="s">
        <v>275</v>
      </c>
      <c r="X51" s="393" t="s">
        <v>285</v>
      </c>
      <c r="Y51" s="393" t="s">
        <v>286</v>
      </c>
      <c r="Z51" s="211">
        <f t="shared" si="54"/>
        <v>15288382.043199999</v>
      </c>
      <c r="AA51" s="225">
        <f t="shared" si="45"/>
        <v>602836.25639999844</v>
      </c>
      <c r="AF51" s="112"/>
    </row>
    <row r="52" spans="2:32" outlineLevel="1">
      <c r="B52" s="125">
        <v>21</v>
      </c>
      <c r="C52" s="120" t="s">
        <v>265</v>
      </c>
      <c r="D52" s="153">
        <v>5689</v>
      </c>
      <c r="E52" s="126">
        <v>45706</v>
      </c>
      <c r="F52" s="126">
        <v>45764</v>
      </c>
      <c r="G52" s="126"/>
      <c r="H52" s="126"/>
      <c r="I52" s="126"/>
      <c r="J52" s="208">
        <f t="shared" ca="1" si="47"/>
        <v>0</v>
      </c>
      <c r="K52" s="128">
        <v>23626.52</v>
      </c>
      <c r="L52" s="128">
        <v>23626.52</v>
      </c>
      <c r="M52" s="129">
        <f t="shared" ref="M52:M81" si="55">K52-L52</f>
        <v>0</v>
      </c>
      <c r="N52" s="130">
        <v>3953.8</v>
      </c>
      <c r="O52" s="130">
        <v>4410.1000000000004</v>
      </c>
      <c r="P52" s="168">
        <f t="shared" si="49"/>
        <v>456.30000000000018</v>
      </c>
      <c r="Q52" s="132">
        <f t="shared" si="50"/>
        <v>93414534.776000008</v>
      </c>
      <c r="R52" s="132">
        <f t="shared" si="51"/>
        <v>104195315.85200001</v>
      </c>
      <c r="S52" s="132">
        <f t="shared" si="52"/>
        <v>10780781.076000005</v>
      </c>
      <c r="T52" s="133" t="str">
        <f t="shared" si="53"/>
        <v>Monetizar</v>
      </c>
      <c r="U52" s="239"/>
      <c r="V52" s="394">
        <v>45706</v>
      </c>
      <c r="W52" s="393" t="s">
        <v>275</v>
      </c>
      <c r="X52" s="393" t="s">
        <v>275</v>
      </c>
      <c r="Y52" s="393" t="s">
        <v>276</v>
      </c>
      <c r="Z52" s="211">
        <f t="shared" si="54"/>
        <v>104195315.85200001</v>
      </c>
      <c r="AA52" s="225">
        <f t="shared" si="45"/>
        <v>10780781.076000005</v>
      </c>
      <c r="AF52" s="112"/>
    </row>
    <row r="53" spans="2:32" outlineLevel="1">
      <c r="B53" s="125">
        <v>22</v>
      </c>
      <c r="C53" s="120" t="s">
        <v>278</v>
      </c>
      <c r="D53" s="153">
        <v>5694</v>
      </c>
      <c r="E53" s="126">
        <v>45706</v>
      </c>
      <c r="F53" s="126">
        <v>45764</v>
      </c>
      <c r="G53" s="126"/>
      <c r="H53" s="126"/>
      <c r="I53" s="126"/>
      <c r="J53" s="208">
        <f t="shared" ca="1" si="47"/>
        <v>0</v>
      </c>
      <c r="K53" s="134">
        <v>2546.09</v>
      </c>
      <c r="L53" s="134">
        <v>2546.09</v>
      </c>
      <c r="M53" s="129">
        <f t="shared" si="55"/>
        <v>0</v>
      </c>
      <c r="N53" s="130">
        <v>3953.8</v>
      </c>
      <c r="O53" s="130">
        <v>4410.1000000000004</v>
      </c>
      <c r="P53" s="168">
        <f t="shared" si="49"/>
        <v>456.30000000000018</v>
      </c>
      <c r="Q53" s="395">
        <f t="shared" si="50"/>
        <v>10066730.642000001</v>
      </c>
      <c r="R53" s="395">
        <f t="shared" si="51"/>
        <v>11228511.509000001</v>
      </c>
      <c r="S53" s="395">
        <f t="shared" si="52"/>
        <v>1161780.8670000006</v>
      </c>
      <c r="T53" s="133" t="str">
        <f t="shared" si="53"/>
        <v>Monetizar</v>
      </c>
      <c r="U53" s="239"/>
      <c r="V53" s="394">
        <v>45706</v>
      </c>
      <c r="W53" s="393" t="s">
        <v>275</v>
      </c>
      <c r="X53" s="393" t="s">
        <v>275</v>
      </c>
      <c r="Y53" s="393" t="s">
        <v>276</v>
      </c>
      <c r="Z53" s="211">
        <f t="shared" si="54"/>
        <v>11228511.509000001</v>
      </c>
      <c r="AA53" s="225">
        <f t="shared" si="45"/>
        <v>1161780.8670000006</v>
      </c>
    </row>
    <row r="54" spans="2:32" outlineLevel="1">
      <c r="B54" s="125">
        <v>23</v>
      </c>
      <c r="C54" s="120" t="s">
        <v>261</v>
      </c>
      <c r="D54" s="153">
        <v>5695</v>
      </c>
      <c r="E54" s="126">
        <v>45706</v>
      </c>
      <c r="F54" s="126">
        <v>45764</v>
      </c>
      <c r="G54" s="126"/>
      <c r="H54" s="126"/>
      <c r="I54" s="126"/>
      <c r="J54" s="208">
        <f t="shared" ca="1" si="47"/>
        <v>0</v>
      </c>
      <c r="K54" s="134">
        <v>1308.1199999999999</v>
      </c>
      <c r="L54" s="128">
        <v>1308.1199999999999</v>
      </c>
      <c r="M54" s="129">
        <f t="shared" si="55"/>
        <v>0</v>
      </c>
      <c r="N54" s="130">
        <v>3953.8</v>
      </c>
      <c r="O54" s="130">
        <v>4075.6</v>
      </c>
      <c r="P54" s="168">
        <f t="shared" si="49"/>
        <v>121.79999999999973</v>
      </c>
      <c r="Q54" s="132">
        <f t="shared" si="50"/>
        <v>5172044.8559999997</v>
      </c>
      <c r="R54" s="132">
        <f t="shared" si="51"/>
        <v>5331373.8719999995</v>
      </c>
      <c r="S54" s="132">
        <f t="shared" si="52"/>
        <v>159329.01599999983</v>
      </c>
      <c r="T54" s="133" t="str">
        <f t="shared" si="53"/>
        <v>Monetizar</v>
      </c>
      <c r="U54" s="239"/>
      <c r="V54" s="394">
        <v>45707</v>
      </c>
      <c r="W54" s="393" t="s">
        <v>275</v>
      </c>
      <c r="X54" s="393" t="s">
        <v>275</v>
      </c>
      <c r="Y54" s="393" t="s">
        <v>276</v>
      </c>
      <c r="Z54" s="211">
        <f t="shared" si="54"/>
        <v>5331373.8719999995</v>
      </c>
      <c r="AA54" s="225">
        <f t="shared" si="45"/>
        <v>159329.01599999983</v>
      </c>
      <c r="AF54" s="112"/>
    </row>
    <row r="55" spans="2:32" outlineLevel="1">
      <c r="B55" s="125">
        <v>24</v>
      </c>
      <c r="C55" s="120" t="s">
        <v>120</v>
      </c>
      <c r="D55" s="153">
        <v>5691</v>
      </c>
      <c r="E55" s="126">
        <v>45706</v>
      </c>
      <c r="F55" s="126">
        <v>45764</v>
      </c>
      <c r="G55" s="126"/>
      <c r="H55" s="126"/>
      <c r="I55" s="126"/>
      <c r="J55" s="208">
        <f t="shared" ca="1" si="47"/>
        <v>0</v>
      </c>
      <c r="K55" s="134">
        <v>3069.09</v>
      </c>
      <c r="L55" s="128">
        <v>3049.09</v>
      </c>
      <c r="M55" s="215">
        <f t="shared" si="55"/>
        <v>20</v>
      </c>
      <c r="N55" s="130">
        <v>3953.8</v>
      </c>
      <c r="O55" s="130">
        <v>4069.15</v>
      </c>
      <c r="P55" s="168">
        <f t="shared" si="49"/>
        <v>115.34999999999991</v>
      </c>
      <c r="Q55" s="168">
        <f t="shared" si="50"/>
        <v>12134568.042000001</v>
      </c>
      <c r="R55" s="168">
        <f t="shared" si="51"/>
        <v>12407204.5735</v>
      </c>
      <c r="S55" s="132">
        <f>(R55-Q55)/N55</f>
        <v>68.955569705093481</v>
      </c>
      <c r="T55" s="133" t="str">
        <f t="shared" si="53"/>
        <v>Monetizar</v>
      </c>
      <c r="U55" s="239"/>
      <c r="V55" s="394">
        <v>45708</v>
      </c>
      <c r="W55" s="393" t="s">
        <v>275</v>
      </c>
      <c r="X55" s="393" t="s">
        <v>275</v>
      </c>
      <c r="Y55" s="393" t="s">
        <v>276</v>
      </c>
      <c r="Z55" s="211">
        <f t="shared" si="54"/>
        <v>12488587.5735</v>
      </c>
      <c r="AA55" s="225">
        <f t="shared" si="45"/>
        <v>354019.53149999864</v>
      </c>
      <c r="AF55" s="112"/>
    </row>
    <row r="56" spans="2:32" outlineLevel="1">
      <c r="B56" s="125">
        <v>25</v>
      </c>
      <c r="C56" s="120" t="s">
        <v>279</v>
      </c>
      <c r="D56" s="153">
        <v>5704</v>
      </c>
      <c r="E56" s="126">
        <v>45706</v>
      </c>
      <c r="F56" s="126">
        <v>45764</v>
      </c>
      <c r="G56" s="126"/>
      <c r="H56" s="126"/>
      <c r="I56" s="126"/>
      <c r="J56" s="208">
        <f t="shared" ca="1" si="47"/>
        <v>0</v>
      </c>
      <c r="K56" s="134">
        <v>13815.14</v>
      </c>
      <c r="L56" s="128">
        <v>13800.14</v>
      </c>
      <c r="M56" s="396">
        <f t="shared" si="55"/>
        <v>15</v>
      </c>
      <c r="N56" s="130">
        <v>3800.18</v>
      </c>
      <c r="O56" s="130">
        <v>4061.2</v>
      </c>
      <c r="P56" s="168">
        <f t="shared" si="49"/>
        <v>261.02</v>
      </c>
      <c r="Q56" s="132">
        <f t="shared" si="50"/>
        <v>52500018.725199997</v>
      </c>
      <c r="R56" s="132">
        <f t="shared" si="51"/>
        <v>56045128.567999996</v>
      </c>
      <c r="S56" s="132">
        <f t="shared" ref="S56:S87" si="56">R56-Q56</f>
        <v>3545109.8427999988</v>
      </c>
      <c r="T56" s="133" t="str">
        <f t="shared" si="53"/>
        <v>Monetizar</v>
      </c>
      <c r="U56" s="239"/>
      <c r="V56" s="394">
        <v>45708</v>
      </c>
      <c r="W56" s="393" t="s">
        <v>275</v>
      </c>
      <c r="X56" s="393" t="s">
        <v>275</v>
      </c>
      <c r="Y56" s="393" t="s">
        <v>276</v>
      </c>
      <c r="Z56" s="211">
        <f t="shared" si="54"/>
        <v>56106046.567999996</v>
      </c>
      <c r="AA56" s="225">
        <f t="shared" si="45"/>
        <v>3606027.8427999988</v>
      </c>
      <c r="AF56" s="112"/>
    </row>
    <row r="57" spans="2:32" outlineLevel="1">
      <c r="B57" s="125">
        <v>26</v>
      </c>
      <c r="C57" s="120" t="s">
        <v>116</v>
      </c>
      <c r="D57" s="153">
        <v>5690</v>
      </c>
      <c r="E57" s="126">
        <v>45706</v>
      </c>
      <c r="F57" s="126">
        <v>45764</v>
      </c>
      <c r="G57" s="126"/>
      <c r="H57" s="126"/>
      <c r="I57" s="126"/>
      <c r="J57" s="208">
        <f t="shared" ca="1" si="47"/>
        <v>0</v>
      </c>
      <c r="K57" s="134">
        <v>3827.13</v>
      </c>
      <c r="L57" s="128">
        <v>3817.13</v>
      </c>
      <c r="M57" s="396">
        <f t="shared" si="55"/>
        <v>10</v>
      </c>
      <c r="N57" s="130">
        <v>3953.8</v>
      </c>
      <c r="O57" s="130">
        <v>4055.15</v>
      </c>
      <c r="P57" s="168">
        <f t="shared" si="49"/>
        <v>101.34999999999991</v>
      </c>
      <c r="Q57" s="132">
        <f t="shared" si="50"/>
        <v>15131706.594000001</v>
      </c>
      <c r="R57" s="132">
        <f t="shared" si="51"/>
        <v>15479034.719500002</v>
      </c>
      <c r="S57" s="132">
        <f t="shared" si="56"/>
        <v>347328.12550000101</v>
      </c>
      <c r="T57" s="133" t="str">
        <f t="shared" si="53"/>
        <v>Monetizar</v>
      </c>
      <c r="U57" s="239"/>
      <c r="V57" s="394">
        <v>45708</v>
      </c>
      <c r="W57" s="393" t="s">
        <v>275</v>
      </c>
      <c r="X57" s="393" t="s">
        <v>275</v>
      </c>
      <c r="Y57" s="393" t="s">
        <v>276</v>
      </c>
      <c r="Z57" s="211">
        <f t="shared" si="54"/>
        <v>15519586.219500002</v>
      </c>
      <c r="AA57" s="225">
        <f t="shared" si="45"/>
        <v>387879.62550000101</v>
      </c>
      <c r="AF57" s="112"/>
    </row>
    <row r="58" spans="2:32" outlineLevel="1">
      <c r="B58" s="125">
        <v>27</v>
      </c>
      <c r="C58" s="120" t="s">
        <v>288</v>
      </c>
      <c r="D58" s="153">
        <v>5692</v>
      </c>
      <c r="E58" s="126">
        <v>45706</v>
      </c>
      <c r="F58" s="126">
        <v>45764</v>
      </c>
      <c r="G58" s="126"/>
      <c r="H58" s="126"/>
      <c r="I58" s="126"/>
      <c r="J58" s="208">
        <f t="shared" ca="1" si="47"/>
        <v>0</v>
      </c>
      <c r="K58" s="134">
        <v>22597.84</v>
      </c>
      <c r="L58" s="128">
        <v>22551.84</v>
      </c>
      <c r="M58" s="396">
        <f t="shared" si="55"/>
        <v>46</v>
      </c>
      <c r="N58" s="130">
        <v>3953.8</v>
      </c>
      <c r="O58" s="130">
        <v>4094</v>
      </c>
      <c r="P58" s="168">
        <f t="shared" si="49"/>
        <v>140.19999999999982</v>
      </c>
      <c r="Q58" s="132">
        <f t="shared" si="50"/>
        <v>89347339.792000011</v>
      </c>
      <c r="R58" s="132">
        <f t="shared" si="51"/>
        <v>92327232.959999993</v>
      </c>
      <c r="S58" s="132">
        <f t="shared" si="56"/>
        <v>2979893.1679999828</v>
      </c>
      <c r="T58" s="133" t="str">
        <f t="shared" si="53"/>
        <v>Monetizar</v>
      </c>
      <c r="U58" s="239"/>
      <c r="V58" s="394">
        <v>45712</v>
      </c>
      <c r="W58" s="393" t="s">
        <v>275</v>
      </c>
      <c r="X58" s="393" t="s">
        <v>275</v>
      </c>
      <c r="Y58" s="393" t="s">
        <v>276</v>
      </c>
      <c r="Z58" s="211">
        <f t="shared" si="54"/>
        <v>92515556.959999993</v>
      </c>
      <c r="AA58" s="225">
        <f t="shared" si="45"/>
        <v>3168217.1679999828</v>
      </c>
      <c r="AF58" s="112"/>
    </row>
    <row r="59" spans="2:32" outlineLevel="1">
      <c r="B59" s="125">
        <v>28</v>
      </c>
      <c r="C59" s="120" t="s">
        <v>121</v>
      </c>
      <c r="D59" s="153">
        <v>5688</v>
      </c>
      <c r="E59" s="126">
        <v>45706</v>
      </c>
      <c r="F59" s="126">
        <v>45764</v>
      </c>
      <c r="G59" s="126"/>
      <c r="H59" s="126"/>
      <c r="I59" s="126"/>
      <c r="J59" s="208">
        <f t="shared" ca="1" si="47"/>
        <v>0</v>
      </c>
      <c r="K59" s="134">
        <v>201884.45</v>
      </c>
      <c r="L59" s="128">
        <v>201884.45</v>
      </c>
      <c r="M59" s="396">
        <f t="shared" si="55"/>
        <v>0</v>
      </c>
      <c r="N59" s="130">
        <v>3850.81</v>
      </c>
      <c r="O59" s="130">
        <v>4098.6099999999997</v>
      </c>
      <c r="P59" s="168">
        <f t="shared" si="49"/>
        <v>247.79999999999973</v>
      </c>
      <c r="Q59" s="132">
        <f t="shared" si="50"/>
        <v>777418658.90450001</v>
      </c>
      <c r="R59" s="132">
        <f t="shared" si="51"/>
        <v>827445625.61449993</v>
      </c>
      <c r="S59" s="132">
        <f t="shared" si="56"/>
        <v>50026966.709999919</v>
      </c>
      <c r="T59" s="133" t="str">
        <f t="shared" si="53"/>
        <v>Monetizar</v>
      </c>
      <c r="U59" s="239"/>
      <c r="V59" s="394">
        <v>45712</v>
      </c>
      <c r="W59" s="393" t="s">
        <v>275</v>
      </c>
      <c r="X59" s="393" t="s">
        <v>275</v>
      </c>
      <c r="Y59" s="393" t="s">
        <v>276</v>
      </c>
      <c r="Z59" s="211">
        <f t="shared" si="54"/>
        <v>827445625.61449993</v>
      </c>
      <c r="AA59" s="225">
        <f t="shared" si="45"/>
        <v>50026966.709999919</v>
      </c>
      <c r="AF59" s="112"/>
    </row>
    <row r="60" spans="2:32" outlineLevel="1">
      <c r="B60" s="125">
        <v>29</v>
      </c>
      <c r="C60" s="120" t="s">
        <v>117</v>
      </c>
      <c r="D60" s="153">
        <v>5729</v>
      </c>
      <c r="E60" s="126">
        <v>45706</v>
      </c>
      <c r="F60" s="126">
        <v>45764</v>
      </c>
      <c r="G60" s="126"/>
      <c r="H60" s="126"/>
      <c r="I60" s="126"/>
      <c r="J60" s="208">
        <f t="shared" ca="1" si="47"/>
        <v>0</v>
      </c>
      <c r="K60" s="134">
        <v>97590.24</v>
      </c>
      <c r="L60" s="128">
        <v>97575.24</v>
      </c>
      <c r="M60" s="396">
        <f t="shared" si="55"/>
        <v>15</v>
      </c>
      <c r="N60" s="130">
        <v>3862.63</v>
      </c>
      <c r="O60" s="130">
        <v>4112.1499999999996</v>
      </c>
      <c r="P60" s="168">
        <f t="shared" si="49"/>
        <v>249.51999999999953</v>
      </c>
      <c r="Q60" s="132">
        <f t="shared" si="50"/>
        <v>376954988.73120004</v>
      </c>
      <c r="R60" s="132">
        <f t="shared" si="51"/>
        <v>401244023.16600001</v>
      </c>
      <c r="S60" s="132">
        <f t="shared" si="56"/>
        <v>24289034.434799969</v>
      </c>
      <c r="T60" s="133" t="str">
        <f t="shared" si="53"/>
        <v>Monetizar</v>
      </c>
      <c r="U60" s="239"/>
      <c r="V60" s="394">
        <v>45713</v>
      </c>
      <c r="W60" s="393" t="s">
        <v>275</v>
      </c>
      <c r="X60" s="393" t="s">
        <v>275</v>
      </c>
      <c r="Y60" s="393" t="s">
        <v>276</v>
      </c>
      <c r="Z60" s="211">
        <f t="shared" si="54"/>
        <v>401305705.41600001</v>
      </c>
      <c r="AA60" s="225">
        <f t="shared" si="45"/>
        <v>24350716.684799969</v>
      </c>
      <c r="AF60" s="112"/>
    </row>
    <row r="61" spans="2:32" ht="30" outlineLevel="1">
      <c r="B61" s="125">
        <v>30</v>
      </c>
      <c r="C61" s="120" t="s">
        <v>284</v>
      </c>
      <c r="D61" s="153">
        <v>5699</v>
      </c>
      <c r="E61" s="126">
        <v>45706</v>
      </c>
      <c r="F61" s="126">
        <v>45764</v>
      </c>
      <c r="G61" s="126"/>
      <c r="H61" s="126"/>
      <c r="I61" s="126"/>
      <c r="J61" s="208">
        <f t="shared" ca="1" si="47"/>
        <v>0</v>
      </c>
      <c r="K61" s="134">
        <v>6079.63</v>
      </c>
      <c r="L61" s="134">
        <v>6079.63</v>
      </c>
      <c r="M61" s="396">
        <f t="shared" si="55"/>
        <v>0</v>
      </c>
      <c r="N61" s="130">
        <v>3865.07</v>
      </c>
      <c r="O61" s="130">
        <v>4096.5</v>
      </c>
      <c r="P61" s="168">
        <f t="shared" si="49"/>
        <v>231.42999999999984</v>
      </c>
      <c r="Q61" s="132">
        <f t="shared" si="50"/>
        <v>23498195.524100002</v>
      </c>
      <c r="R61" s="132">
        <f t="shared" si="51"/>
        <v>24905204.295000002</v>
      </c>
      <c r="S61" s="132">
        <f t="shared" si="56"/>
        <v>1407008.7708999999</v>
      </c>
      <c r="T61" s="133" t="str">
        <f t="shared" si="53"/>
        <v>Monetizar</v>
      </c>
      <c r="U61" s="239"/>
      <c r="V61" s="394">
        <v>45715</v>
      </c>
      <c r="W61" s="393" t="s">
        <v>275</v>
      </c>
      <c r="X61" s="393" t="s">
        <v>275</v>
      </c>
      <c r="Y61" s="393" t="s">
        <v>276</v>
      </c>
      <c r="Z61" s="211">
        <f t="shared" si="54"/>
        <v>24905204.295000002</v>
      </c>
      <c r="AA61" s="225">
        <f t="shared" si="45"/>
        <v>1407008.7708999999</v>
      </c>
      <c r="AF61" s="112"/>
    </row>
    <row r="62" spans="2:32" ht="30" outlineLevel="1">
      <c r="B62" s="125">
        <v>31</v>
      </c>
      <c r="C62" s="120" t="s">
        <v>284</v>
      </c>
      <c r="D62" s="153">
        <v>5715</v>
      </c>
      <c r="E62" s="126">
        <v>45706</v>
      </c>
      <c r="F62" s="126">
        <v>45764</v>
      </c>
      <c r="G62" s="126"/>
      <c r="H62" s="126"/>
      <c r="I62" s="126"/>
      <c r="J62" s="208">
        <f t="shared" ca="1" si="47"/>
        <v>0</v>
      </c>
      <c r="K62" s="134">
        <v>2753.32</v>
      </c>
      <c r="L62" s="134">
        <v>2753.32</v>
      </c>
      <c r="M62" s="396">
        <f t="shared" si="55"/>
        <v>0</v>
      </c>
      <c r="N62" s="130">
        <v>3865.07</v>
      </c>
      <c r="O62" s="130">
        <v>4096.5</v>
      </c>
      <c r="P62" s="168">
        <f t="shared" si="49"/>
        <v>231.42999999999984</v>
      </c>
      <c r="Q62" s="132">
        <f t="shared" si="50"/>
        <v>10641774.532400001</v>
      </c>
      <c r="R62" s="132">
        <f t="shared" si="51"/>
        <v>11278975.380000001</v>
      </c>
      <c r="S62" s="132">
        <f t="shared" si="56"/>
        <v>637200.84759999998</v>
      </c>
      <c r="T62" s="133" t="str">
        <f t="shared" si="53"/>
        <v>Monetizar</v>
      </c>
      <c r="U62" s="239"/>
      <c r="V62" s="394">
        <v>45715</v>
      </c>
      <c r="W62" s="393" t="s">
        <v>275</v>
      </c>
      <c r="X62" s="393" t="s">
        <v>275</v>
      </c>
      <c r="Y62" s="393" t="s">
        <v>276</v>
      </c>
      <c r="Z62" s="211">
        <f t="shared" si="54"/>
        <v>11278975.380000001</v>
      </c>
      <c r="AA62" s="225">
        <f t="shared" si="45"/>
        <v>637200.84759999998</v>
      </c>
      <c r="AF62" s="112"/>
    </row>
    <row r="63" spans="2:32" outlineLevel="1">
      <c r="B63" s="125">
        <v>32</v>
      </c>
      <c r="C63" s="120" t="s">
        <v>117</v>
      </c>
      <c r="D63" s="153">
        <v>5730</v>
      </c>
      <c r="E63" s="126">
        <v>45706</v>
      </c>
      <c r="F63" s="126">
        <v>45764</v>
      </c>
      <c r="G63" s="126"/>
      <c r="H63" s="126"/>
      <c r="I63" s="126"/>
      <c r="J63" s="208">
        <f t="shared" ca="1" si="47"/>
        <v>0</v>
      </c>
      <c r="K63" s="134">
        <v>2920.43</v>
      </c>
      <c r="L63" s="128">
        <v>2910.43</v>
      </c>
      <c r="M63" s="396">
        <f t="shared" si="55"/>
        <v>10</v>
      </c>
      <c r="N63" s="130">
        <v>3862.63</v>
      </c>
      <c r="O63" s="130">
        <v>4134</v>
      </c>
      <c r="P63" s="168">
        <f t="shared" si="49"/>
        <v>271.36999999999989</v>
      </c>
      <c r="Q63" s="132">
        <f t="shared" si="50"/>
        <v>11280540.5309</v>
      </c>
      <c r="R63" s="132">
        <f t="shared" si="51"/>
        <v>12031717.619999999</v>
      </c>
      <c r="S63" s="132">
        <f t="shared" si="56"/>
        <v>751177.08909999952</v>
      </c>
      <c r="T63" s="133" t="str">
        <f t="shared" si="53"/>
        <v>Monetizar</v>
      </c>
      <c r="U63" s="239"/>
      <c r="V63" s="394">
        <v>45716</v>
      </c>
      <c r="W63" s="393" t="s">
        <v>275</v>
      </c>
      <c r="X63" s="393" t="s">
        <v>275</v>
      </c>
      <c r="Y63" s="393" t="s">
        <v>276</v>
      </c>
      <c r="Z63" s="211">
        <f t="shared" si="54"/>
        <v>12073057.619999999</v>
      </c>
      <c r="AA63" s="225">
        <f t="shared" si="45"/>
        <v>792517.08909999952</v>
      </c>
      <c r="AF63" s="112"/>
    </row>
    <row r="64" spans="2:32" outlineLevel="1">
      <c r="B64" s="125">
        <v>33</v>
      </c>
      <c r="C64" s="120" t="s">
        <v>121</v>
      </c>
      <c r="D64" s="153">
        <v>5736</v>
      </c>
      <c r="E64" s="126">
        <v>45706</v>
      </c>
      <c r="F64" s="126">
        <v>45764</v>
      </c>
      <c r="G64" s="126"/>
      <c r="H64" s="126"/>
      <c r="I64" s="126"/>
      <c r="J64" s="208">
        <f t="shared" ca="1" si="47"/>
        <v>0</v>
      </c>
      <c r="K64" s="134">
        <v>5905.3</v>
      </c>
      <c r="L64" s="128">
        <v>6141.42</v>
      </c>
      <c r="M64" s="396">
        <f t="shared" si="55"/>
        <v>-236.11999999999989</v>
      </c>
      <c r="N64" s="130">
        <v>3850.81</v>
      </c>
      <c r="O64" s="130">
        <v>4119.3</v>
      </c>
      <c r="P64" s="168">
        <f t="shared" si="49"/>
        <v>268.49000000000024</v>
      </c>
      <c r="Q64" s="132">
        <f t="shared" si="50"/>
        <v>22740188.293000001</v>
      </c>
      <c r="R64" s="132">
        <f t="shared" si="51"/>
        <v>25298351.406000003</v>
      </c>
      <c r="S64" s="132">
        <f t="shared" si="56"/>
        <v>2558163.1130000018</v>
      </c>
      <c r="T64" s="133" t="str">
        <f t="shared" si="53"/>
        <v>Monetizar</v>
      </c>
      <c r="U64" s="239"/>
      <c r="V64" s="394">
        <v>45721</v>
      </c>
      <c r="W64" s="393" t="s">
        <v>275</v>
      </c>
      <c r="X64" s="393" t="s">
        <v>275</v>
      </c>
      <c r="Y64" s="393" t="s">
        <v>276</v>
      </c>
      <c r="Z64" s="211">
        <f t="shared" si="54"/>
        <v>24325702.290000003</v>
      </c>
      <c r="AA64" s="225">
        <f t="shared" si="45"/>
        <v>1585513.9970000014</v>
      </c>
      <c r="AF64" s="112"/>
    </row>
    <row r="65" spans="2:32" outlineLevel="1">
      <c r="B65" s="125">
        <v>34</v>
      </c>
      <c r="C65" s="120" t="s">
        <v>287</v>
      </c>
      <c r="D65" s="280">
        <v>5697</v>
      </c>
      <c r="E65" s="126">
        <v>45722</v>
      </c>
      <c r="F65" s="126">
        <v>45782</v>
      </c>
      <c r="G65" s="126"/>
      <c r="H65" s="126"/>
      <c r="I65" s="126"/>
      <c r="J65" s="208">
        <f t="shared" ca="1" si="47"/>
        <v>0</v>
      </c>
      <c r="K65" s="134">
        <v>3852.15</v>
      </c>
      <c r="L65" s="134">
        <v>3852.15</v>
      </c>
      <c r="M65" s="396">
        <f t="shared" si="55"/>
        <v>0</v>
      </c>
      <c r="N65" s="130">
        <v>3865.07</v>
      </c>
      <c r="O65" s="130">
        <v>4136.54</v>
      </c>
      <c r="P65" s="168">
        <f t="shared" si="49"/>
        <v>271.4699999999998</v>
      </c>
      <c r="Q65" s="132">
        <f t="shared" si="50"/>
        <v>14888829.400500001</v>
      </c>
      <c r="R65" s="132">
        <f t="shared" si="51"/>
        <v>15934572.561000001</v>
      </c>
      <c r="S65" s="132">
        <f t="shared" si="56"/>
        <v>1045743.1604999993</v>
      </c>
      <c r="T65" s="133" t="str">
        <f t="shared" si="53"/>
        <v>Monetizar</v>
      </c>
      <c r="U65" s="239"/>
      <c r="V65" s="394">
        <v>45726</v>
      </c>
      <c r="W65" s="393" t="s">
        <v>275</v>
      </c>
      <c r="X65" s="393" t="s">
        <v>275</v>
      </c>
      <c r="Y65" s="393" t="s">
        <v>276</v>
      </c>
      <c r="Z65" s="211">
        <f t="shared" si="54"/>
        <v>15934572.561000001</v>
      </c>
      <c r="AA65" s="225">
        <f t="shared" si="45"/>
        <v>1045743.1604999993</v>
      </c>
      <c r="AF65" s="112"/>
    </row>
    <row r="66" spans="2:32" outlineLevel="1">
      <c r="B66" s="125">
        <v>35</v>
      </c>
      <c r="C66" s="120" t="s">
        <v>287</v>
      </c>
      <c r="D66" s="153">
        <v>5698</v>
      </c>
      <c r="E66" s="126">
        <v>45722</v>
      </c>
      <c r="F66" s="126">
        <v>45782</v>
      </c>
      <c r="G66" s="126"/>
      <c r="H66" s="126"/>
      <c r="I66" s="126"/>
      <c r="J66" s="208">
        <f t="shared" ca="1" si="47"/>
        <v>0</v>
      </c>
      <c r="K66" s="134">
        <v>1203.24</v>
      </c>
      <c r="L66" s="134">
        <v>1203.24</v>
      </c>
      <c r="M66" s="396">
        <f t="shared" si="55"/>
        <v>0</v>
      </c>
      <c r="N66" s="130">
        <v>3865.07</v>
      </c>
      <c r="O66" s="130">
        <v>4136.54</v>
      </c>
      <c r="P66" s="168">
        <f t="shared" si="49"/>
        <v>271.4699999999998</v>
      </c>
      <c r="Q66" s="132">
        <f t="shared" si="50"/>
        <v>4650606.8267999999</v>
      </c>
      <c r="R66" s="132">
        <f t="shared" si="51"/>
        <v>4977250.3896000003</v>
      </c>
      <c r="S66" s="132">
        <f t="shared" si="56"/>
        <v>326643.56280000042</v>
      </c>
      <c r="T66" s="133" t="str">
        <f t="shared" si="53"/>
        <v>Monetizar</v>
      </c>
      <c r="U66" s="239"/>
      <c r="V66" s="394">
        <v>45726</v>
      </c>
      <c r="W66" s="393" t="s">
        <v>275</v>
      </c>
      <c r="X66" s="393" t="s">
        <v>275</v>
      </c>
      <c r="Y66" s="393" t="s">
        <v>276</v>
      </c>
      <c r="Z66" s="211">
        <f t="shared" si="54"/>
        <v>4977250.3896000003</v>
      </c>
      <c r="AA66" s="225">
        <f t="shared" si="45"/>
        <v>326643.56280000042</v>
      </c>
      <c r="AF66" s="112"/>
    </row>
    <row r="67" spans="2:32" outlineLevel="1">
      <c r="B67" s="125">
        <v>36</v>
      </c>
      <c r="C67" s="120" t="s">
        <v>117</v>
      </c>
      <c r="D67" s="153">
        <v>5760</v>
      </c>
      <c r="E67" s="126">
        <v>45964</v>
      </c>
      <c r="F67" s="126">
        <v>45787</v>
      </c>
      <c r="G67" s="126"/>
      <c r="H67" s="126"/>
      <c r="I67" s="126"/>
      <c r="J67" s="208">
        <f t="shared" ca="1" si="47"/>
        <v>0</v>
      </c>
      <c r="K67" s="134">
        <v>16477.68</v>
      </c>
      <c r="L67" s="128">
        <v>16462.68</v>
      </c>
      <c r="M67" s="396">
        <f t="shared" si="55"/>
        <v>15</v>
      </c>
      <c r="N67" s="130">
        <v>4036.8</v>
      </c>
      <c r="O67" s="130">
        <v>4146.1099999999997</v>
      </c>
      <c r="P67" s="168">
        <f t="shared" si="49"/>
        <v>109.30999999999949</v>
      </c>
      <c r="Q67" s="132">
        <f t="shared" si="50"/>
        <v>66517098.624000005</v>
      </c>
      <c r="R67" s="132">
        <f t="shared" si="51"/>
        <v>68256082.174799994</v>
      </c>
      <c r="S67" s="132">
        <f t="shared" si="56"/>
        <v>1738983.5507999882</v>
      </c>
      <c r="T67" s="133" t="str">
        <f t="shared" si="53"/>
        <v>Monetizar</v>
      </c>
      <c r="U67" s="239"/>
      <c r="V67" s="394">
        <v>45727</v>
      </c>
      <c r="W67" s="393" t="s">
        <v>275</v>
      </c>
      <c r="X67" s="393" t="s">
        <v>275</v>
      </c>
      <c r="Y67" s="393" t="s">
        <v>276</v>
      </c>
      <c r="Z67" s="211">
        <f t="shared" si="54"/>
        <v>68318273.8248</v>
      </c>
      <c r="AA67" s="225">
        <f t="shared" si="45"/>
        <v>1801175.2007999942</v>
      </c>
      <c r="AF67" s="112"/>
    </row>
    <row r="68" spans="2:32" outlineLevel="1">
      <c r="B68" s="125">
        <v>37</v>
      </c>
      <c r="C68" s="120" t="s">
        <v>264</v>
      </c>
      <c r="D68" s="153">
        <v>5411</v>
      </c>
      <c r="E68" s="126">
        <v>45672</v>
      </c>
      <c r="F68" s="126">
        <v>45732</v>
      </c>
      <c r="G68" s="126"/>
      <c r="H68" s="126"/>
      <c r="I68" s="126"/>
      <c r="J68" s="208">
        <f t="shared" ca="1" si="47"/>
        <v>0</v>
      </c>
      <c r="K68" s="134">
        <f>471.97</f>
        <v>471.97</v>
      </c>
      <c r="L68" s="128">
        <v>470.59800615110919</v>
      </c>
      <c r="M68" s="396">
        <f t="shared" si="55"/>
        <v>1.3719938488908383</v>
      </c>
      <c r="N68" s="130">
        <v>4414</v>
      </c>
      <c r="O68" s="130">
        <v>4090.77</v>
      </c>
      <c r="P68" s="168">
        <f t="shared" si="49"/>
        <v>-323.23</v>
      </c>
      <c r="Q68" s="132">
        <f t="shared" si="50"/>
        <v>2083275.58</v>
      </c>
      <c r="R68" s="132">
        <f t="shared" si="51"/>
        <v>1925108.2056227729</v>
      </c>
      <c r="S68" s="132">
        <f t="shared" si="56"/>
        <v>-158167.37437722716</v>
      </c>
      <c r="T68" s="133" t="str">
        <f t="shared" si="53"/>
        <v>No Monetizar</v>
      </c>
      <c r="U68" s="209"/>
      <c r="V68" s="394">
        <v>45729</v>
      </c>
      <c r="W68" s="393" t="s">
        <v>275</v>
      </c>
      <c r="X68" s="393" t="s">
        <v>275</v>
      </c>
      <c r="Y68" s="393" t="s">
        <v>289</v>
      </c>
      <c r="Z68" s="211">
        <f t="shared" si="54"/>
        <v>1930720.7169000001</v>
      </c>
      <c r="AA68" s="225">
        <f t="shared" si="45"/>
        <v>-152554.86309999996</v>
      </c>
      <c r="AF68" s="112"/>
    </row>
    <row r="69" spans="2:32" outlineLevel="1">
      <c r="B69" s="125">
        <v>38</v>
      </c>
      <c r="C69" s="120" t="s">
        <v>264</v>
      </c>
      <c r="D69" s="153">
        <v>5493</v>
      </c>
      <c r="E69" s="126">
        <v>45672</v>
      </c>
      <c r="F69" s="126">
        <v>45732</v>
      </c>
      <c r="G69" s="126"/>
      <c r="H69" s="126"/>
      <c r="I69" s="126"/>
      <c r="J69" s="208">
        <f t="shared" ca="1" si="47"/>
        <v>0</v>
      </c>
      <c r="K69" s="134">
        <v>2318.06</v>
      </c>
      <c r="L69" s="128">
        <v>2311.3215122542533</v>
      </c>
      <c r="M69" s="396">
        <f t="shared" si="55"/>
        <v>6.7384877457466246</v>
      </c>
      <c r="N69" s="130">
        <v>4418.58</v>
      </c>
      <c r="O69" s="130">
        <f>O68</f>
        <v>4090.77</v>
      </c>
      <c r="P69" s="168">
        <f t="shared" si="49"/>
        <v>-327.80999999999995</v>
      </c>
      <c r="Q69" s="132">
        <f t="shared" si="50"/>
        <v>10242533.5548</v>
      </c>
      <c r="R69" s="132">
        <f t="shared" si="51"/>
        <v>9455084.7026843317</v>
      </c>
      <c r="S69" s="132">
        <f t="shared" si="56"/>
        <v>-787448.85211566836</v>
      </c>
      <c r="T69" s="133" t="str">
        <f t="shared" si="53"/>
        <v>No Monetizar</v>
      </c>
      <c r="U69" s="209"/>
      <c r="V69" s="394">
        <v>45729</v>
      </c>
      <c r="W69" s="393" t="s">
        <v>275</v>
      </c>
      <c r="X69" s="393" t="s">
        <v>275</v>
      </c>
      <c r="Y69" s="393" t="s">
        <v>289</v>
      </c>
      <c r="Z69" s="211">
        <f t="shared" si="54"/>
        <v>9482650.3061999995</v>
      </c>
      <c r="AA69" s="225">
        <f t="shared" si="45"/>
        <v>-759883.24860000052</v>
      </c>
      <c r="AF69" s="112"/>
    </row>
    <row r="70" spans="2:32" outlineLevel="1">
      <c r="B70" s="125">
        <v>39</v>
      </c>
      <c r="C70" s="120" t="s">
        <v>264</v>
      </c>
      <c r="D70" s="153">
        <v>5514</v>
      </c>
      <c r="E70" s="126">
        <v>45672</v>
      </c>
      <c r="F70" s="126">
        <v>45732</v>
      </c>
      <c r="G70" s="126"/>
      <c r="H70" s="126"/>
      <c r="I70" s="126"/>
      <c r="J70" s="208">
        <f t="shared" ref="J70:J88" ca="1" si="57">IFERROR(IF(TODAY()&gt;=E70,(TODAY()-E70)/I70,0),0)*0</f>
        <v>0</v>
      </c>
      <c r="K70" s="134">
        <v>650</v>
      </c>
      <c r="L70" s="128">
        <v>648.11048159463724</v>
      </c>
      <c r="M70" s="396">
        <f t="shared" si="55"/>
        <v>1.8895184053627645</v>
      </c>
      <c r="N70" s="130">
        <v>4406.16</v>
      </c>
      <c r="O70" s="130">
        <f>O69</f>
        <v>4090.77</v>
      </c>
      <c r="P70" s="168">
        <f t="shared" ref="P70:P101" si="58">O70-N70</f>
        <v>-315.38999999999987</v>
      </c>
      <c r="Q70" s="132">
        <f t="shared" si="50"/>
        <v>2864004</v>
      </c>
      <c r="R70" s="132">
        <f t="shared" si="51"/>
        <v>2651270.9147928939</v>
      </c>
      <c r="S70" s="132">
        <f t="shared" si="56"/>
        <v>-212733.08520710608</v>
      </c>
      <c r="T70" s="133" t="str">
        <f t="shared" ref="T70:T101" si="59">IF(R70&lt;= Q70,"No Monetizar","Monetizar")</f>
        <v>No Monetizar</v>
      </c>
      <c r="U70" s="209"/>
      <c r="V70" s="394">
        <v>45729</v>
      </c>
      <c r="W70" s="393" t="s">
        <v>275</v>
      </c>
      <c r="X70" s="393" t="s">
        <v>275</v>
      </c>
      <c r="Y70" s="393" t="s">
        <v>289</v>
      </c>
      <c r="Z70" s="211">
        <f t="shared" ref="Z70:Z101" si="60">K70*O70</f>
        <v>2659000.5</v>
      </c>
      <c r="AA70" s="225">
        <f t="shared" si="45"/>
        <v>-205003.5</v>
      </c>
      <c r="AF70" s="112"/>
    </row>
    <row r="71" spans="2:32" outlineLevel="1">
      <c r="B71" s="125">
        <v>40</v>
      </c>
      <c r="C71" s="120" t="s">
        <v>274</v>
      </c>
      <c r="D71" s="153">
        <v>5762</v>
      </c>
      <c r="E71" s="126">
        <v>45733</v>
      </c>
      <c r="F71" s="126">
        <v>45793</v>
      </c>
      <c r="G71" s="126"/>
      <c r="H71" s="126"/>
      <c r="I71" s="126"/>
      <c r="J71" s="208">
        <f t="shared" ca="1" si="57"/>
        <v>0</v>
      </c>
      <c r="K71" s="134">
        <v>3149.17</v>
      </c>
      <c r="L71" s="128">
        <v>3149.17</v>
      </c>
      <c r="M71" s="396">
        <f t="shared" si="55"/>
        <v>0</v>
      </c>
      <c r="N71" s="130">
        <v>4101.96</v>
      </c>
      <c r="O71" s="130">
        <v>4121.6499999999996</v>
      </c>
      <c r="P71" s="168">
        <f t="shared" si="58"/>
        <v>19.6899999999996</v>
      </c>
      <c r="Q71" s="132">
        <f t="shared" si="50"/>
        <v>12917769.373200001</v>
      </c>
      <c r="R71" s="132">
        <f t="shared" si="51"/>
        <v>12979776.530499998</v>
      </c>
      <c r="S71" s="132">
        <f t="shared" si="56"/>
        <v>62007.157299997285</v>
      </c>
      <c r="T71" s="133" t="str">
        <f t="shared" si="59"/>
        <v>Monetizar</v>
      </c>
      <c r="U71" s="239"/>
      <c r="V71" s="394">
        <v>45733</v>
      </c>
      <c r="W71" s="393" t="s">
        <v>275</v>
      </c>
      <c r="X71" s="393" t="s">
        <v>275</v>
      </c>
      <c r="Y71" s="393" t="s">
        <v>276</v>
      </c>
      <c r="Z71" s="211">
        <f t="shared" si="60"/>
        <v>12979776.530499998</v>
      </c>
      <c r="AA71" s="225">
        <f t="shared" si="45"/>
        <v>62007.157299997285</v>
      </c>
      <c r="AF71" s="112"/>
    </row>
    <row r="72" spans="2:32" outlineLevel="1">
      <c r="B72" s="125">
        <v>41</v>
      </c>
      <c r="C72" s="120" t="s">
        <v>121</v>
      </c>
      <c r="D72" s="153">
        <v>5736</v>
      </c>
      <c r="E72" s="126">
        <v>45735</v>
      </c>
      <c r="F72" s="126">
        <v>45795</v>
      </c>
      <c r="G72" s="126"/>
      <c r="H72" s="126"/>
      <c r="I72" s="126"/>
      <c r="J72" s="208">
        <f t="shared" ca="1" si="57"/>
        <v>0</v>
      </c>
      <c r="K72" s="134">
        <v>1120.94</v>
      </c>
      <c r="L72" s="128">
        <v>1120.94</v>
      </c>
      <c r="M72" s="396">
        <f t="shared" si="55"/>
        <v>0</v>
      </c>
      <c r="N72" s="130">
        <v>3850.81</v>
      </c>
      <c r="O72" s="130">
        <v>4130.05</v>
      </c>
      <c r="P72" s="168">
        <f t="shared" si="58"/>
        <v>279.24000000000024</v>
      </c>
      <c r="Q72" s="132">
        <f t="shared" si="50"/>
        <v>4316526.9614000004</v>
      </c>
      <c r="R72" s="132">
        <f t="shared" si="51"/>
        <v>4629538.2470000004</v>
      </c>
      <c r="S72" s="132">
        <f t="shared" si="56"/>
        <v>313011.28560000006</v>
      </c>
      <c r="T72" s="133" t="str">
        <f t="shared" si="59"/>
        <v>Monetizar</v>
      </c>
      <c r="U72" s="239"/>
      <c r="V72" s="394">
        <v>45735</v>
      </c>
      <c r="W72" s="393" t="s">
        <v>275</v>
      </c>
      <c r="X72" s="393" t="s">
        <v>275</v>
      </c>
      <c r="Y72" s="393" t="s">
        <v>276</v>
      </c>
      <c r="Z72" s="211">
        <f t="shared" si="60"/>
        <v>4629538.2470000004</v>
      </c>
      <c r="AA72" s="225">
        <f t="shared" si="45"/>
        <v>313011.28560000006</v>
      </c>
      <c r="AF72" s="112"/>
    </row>
    <row r="73" spans="2:32" outlineLevel="1">
      <c r="B73" s="125">
        <v>42</v>
      </c>
      <c r="C73" s="120" t="s">
        <v>278</v>
      </c>
      <c r="D73" s="153">
        <v>5769</v>
      </c>
      <c r="E73" s="126">
        <v>45735</v>
      </c>
      <c r="F73" s="126">
        <v>45795</v>
      </c>
      <c r="G73" s="126"/>
      <c r="H73" s="126"/>
      <c r="I73" s="126"/>
      <c r="J73" s="208">
        <f t="shared" ca="1" si="57"/>
        <v>0</v>
      </c>
      <c r="K73" s="134">
        <v>2513.44</v>
      </c>
      <c r="L73" s="128">
        <v>2513.44</v>
      </c>
      <c r="M73" s="396">
        <f t="shared" si="55"/>
        <v>0</v>
      </c>
      <c r="N73" s="130">
        <v>4010.08</v>
      </c>
      <c r="O73" s="130">
        <v>4177.22</v>
      </c>
      <c r="P73" s="168">
        <f t="shared" si="58"/>
        <v>167.14000000000033</v>
      </c>
      <c r="Q73" s="132">
        <f t="shared" si="50"/>
        <v>10079095.475199999</v>
      </c>
      <c r="R73" s="132">
        <f t="shared" si="51"/>
        <v>10499191.836800002</v>
      </c>
      <c r="S73" s="132">
        <f t="shared" si="56"/>
        <v>420096.36160000227</v>
      </c>
      <c r="T73" s="133" t="str">
        <f t="shared" si="59"/>
        <v>Monetizar</v>
      </c>
      <c r="U73" s="239"/>
      <c r="V73" s="394">
        <v>45736</v>
      </c>
      <c r="W73" s="393" t="s">
        <v>275</v>
      </c>
      <c r="X73" s="393" t="s">
        <v>275</v>
      </c>
      <c r="Y73" s="393" t="s">
        <v>276</v>
      </c>
      <c r="Z73" s="211">
        <f t="shared" si="60"/>
        <v>10499191.836800002</v>
      </c>
      <c r="AA73" s="225">
        <f t="shared" si="45"/>
        <v>420096.36160000227</v>
      </c>
      <c r="AF73" s="112"/>
    </row>
    <row r="74" spans="2:32" outlineLevel="1">
      <c r="B74" s="125">
        <v>43</v>
      </c>
      <c r="C74" s="120" t="s">
        <v>279</v>
      </c>
      <c r="D74" s="153">
        <v>5771</v>
      </c>
      <c r="E74" s="126">
        <v>45736</v>
      </c>
      <c r="F74" s="126">
        <v>45796</v>
      </c>
      <c r="G74" s="126"/>
      <c r="H74" s="126"/>
      <c r="I74" s="126"/>
      <c r="J74" s="208">
        <f t="shared" ca="1" si="57"/>
        <v>0</v>
      </c>
      <c r="K74" s="134">
        <v>13839.49</v>
      </c>
      <c r="L74" s="128">
        <v>13824.49</v>
      </c>
      <c r="M74" s="396">
        <f t="shared" si="55"/>
        <v>15</v>
      </c>
      <c r="N74" s="130">
        <v>4010.08</v>
      </c>
      <c r="O74" s="130">
        <v>4171.5</v>
      </c>
      <c r="P74" s="168">
        <f t="shared" si="58"/>
        <v>161.42000000000007</v>
      </c>
      <c r="Q74" s="132">
        <f t="shared" si="50"/>
        <v>55497462.059199996</v>
      </c>
      <c r="R74" s="132">
        <f t="shared" si="51"/>
        <v>57668860.034999996</v>
      </c>
      <c r="S74" s="132">
        <f t="shared" si="56"/>
        <v>2171397.9758000001</v>
      </c>
      <c r="T74" s="133" t="str">
        <f t="shared" si="59"/>
        <v>Monetizar</v>
      </c>
      <c r="U74" s="239"/>
      <c r="V74" s="394">
        <v>45736</v>
      </c>
      <c r="W74" s="393" t="s">
        <v>275</v>
      </c>
      <c r="X74" s="393" t="s">
        <v>275</v>
      </c>
      <c r="Y74" s="393" t="s">
        <v>276</v>
      </c>
      <c r="Z74" s="211">
        <f t="shared" si="60"/>
        <v>57731432.534999996</v>
      </c>
      <c r="AA74" s="225">
        <f t="shared" si="45"/>
        <v>2233970.4758000001</v>
      </c>
      <c r="AF74" s="112"/>
    </row>
    <row r="75" spans="2:32" outlineLevel="1">
      <c r="B75" s="125">
        <v>44</v>
      </c>
      <c r="C75" s="120" t="s">
        <v>265</v>
      </c>
      <c r="D75" s="153">
        <v>5776</v>
      </c>
      <c r="E75" s="126">
        <v>45737</v>
      </c>
      <c r="F75" s="126">
        <v>45797</v>
      </c>
      <c r="G75" s="126"/>
      <c r="H75" s="126"/>
      <c r="I75" s="126"/>
      <c r="J75" s="208">
        <f t="shared" ca="1" si="57"/>
        <v>0</v>
      </c>
      <c r="K75" s="134">
        <v>20615.23</v>
      </c>
      <c r="L75" s="128">
        <v>20615.23</v>
      </c>
      <c r="M75" s="396">
        <f t="shared" si="55"/>
        <v>0</v>
      </c>
      <c r="N75" s="130">
        <v>3990.08</v>
      </c>
      <c r="O75" s="130">
        <v>4159.1000000000004</v>
      </c>
      <c r="P75" s="168">
        <f t="shared" si="58"/>
        <v>169.02000000000044</v>
      </c>
      <c r="Q75" s="132">
        <f t="shared" si="50"/>
        <v>82256416.91839999</v>
      </c>
      <c r="R75" s="132">
        <f t="shared" si="51"/>
        <v>85740803.09300001</v>
      </c>
      <c r="S75" s="132">
        <f t="shared" si="56"/>
        <v>3484386.1746000201</v>
      </c>
      <c r="T75" s="133" t="str">
        <f t="shared" si="59"/>
        <v>Monetizar</v>
      </c>
      <c r="U75" s="239"/>
      <c r="V75" s="394">
        <v>45737</v>
      </c>
      <c r="W75" s="393" t="s">
        <v>275</v>
      </c>
      <c r="X75" s="393" t="s">
        <v>275</v>
      </c>
      <c r="Y75" s="393" t="s">
        <v>276</v>
      </c>
      <c r="Z75" s="211">
        <f t="shared" si="60"/>
        <v>85740803.09300001</v>
      </c>
      <c r="AA75" s="225">
        <f t="shared" si="45"/>
        <v>3484386.1746000201</v>
      </c>
      <c r="AF75" s="112"/>
    </row>
    <row r="76" spans="2:32" outlineLevel="1">
      <c r="B76" s="125">
        <v>45</v>
      </c>
      <c r="C76" s="120" t="s">
        <v>264</v>
      </c>
      <c r="D76" s="153">
        <v>5521</v>
      </c>
      <c r="E76" s="126">
        <v>45707</v>
      </c>
      <c r="F76" s="126">
        <v>45767</v>
      </c>
      <c r="G76" s="126"/>
      <c r="H76" s="126"/>
      <c r="I76" s="126"/>
      <c r="J76" s="208">
        <f t="shared" ca="1" si="57"/>
        <v>0</v>
      </c>
      <c r="K76" s="128">
        <v>650</v>
      </c>
      <c r="L76" s="128">
        <v>645</v>
      </c>
      <c r="M76" s="129">
        <f t="shared" si="55"/>
        <v>5</v>
      </c>
      <c r="N76" s="130">
        <v>4424.5600000000004</v>
      </c>
      <c r="O76" s="130">
        <v>4130.6000000000004</v>
      </c>
      <c r="P76" s="168">
        <f t="shared" si="58"/>
        <v>-293.96000000000004</v>
      </c>
      <c r="Q76" s="132">
        <f t="shared" si="50"/>
        <v>2875964.0000000005</v>
      </c>
      <c r="R76" s="132">
        <f t="shared" si="51"/>
        <v>2664237.0000000005</v>
      </c>
      <c r="S76" s="132">
        <f t="shared" si="56"/>
        <v>-211727</v>
      </c>
      <c r="T76" s="133" t="str">
        <f t="shared" si="59"/>
        <v>No Monetizar</v>
      </c>
      <c r="U76" s="290"/>
      <c r="V76" s="394">
        <v>45737</v>
      </c>
      <c r="W76" s="393" t="s">
        <v>275</v>
      </c>
      <c r="X76" s="393" t="s">
        <v>285</v>
      </c>
      <c r="Y76" s="393" t="s">
        <v>290</v>
      </c>
      <c r="Z76" s="211">
        <f t="shared" si="60"/>
        <v>2684890.0000000005</v>
      </c>
      <c r="AA76" s="225">
        <f t="shared" si="45"/>
        <v>-191074</v>
      </c>
      <c r="AF76" s="112"/>
    </row>
    <row r="77" spans="2:32" outlineLevel="1">
      <c r="B77" s="125">
        <v>46</v>
      </c>
      <c r="C77" s="120" t="s">
        <v>291</v>
      </c>
      <c r="D77" s="153" t="s">
        <v>292</v>
      </c>
      <c r="E77" s="126">
        <v>45723</v>
      </c>
      <c r="F77" s="126">
        <v>45783</v>
      </c>
      <c r="G77" s="126"/>
      <c r="H77" s="126"/>
      <c r="I77" s="126"/>
      <c r="J77" s="208">
        <f t="shared" ca="1" si="57"/>
        <v>0</v>
      </c>
      <c r="K77" s="128">
        <v>6120.3399999999992</v>
      </c>
      <c r="L77" s="128">
        <f>6120.34-10</f>
        <v>6110.34</v>
      </c>
      <c r="M77" s="129">
        <f t="shared" si="55"/>
        <v>9.9999999999990905</v>
      </c>
      <c r="N77" s="130">
        <v>4375.8599999999997</v>
      </c>
      <c r="O77" s="130">
        <f>O76</f>
        <v>4130.6000000000004</v>
      </c>
      <c r="P77" s="168">
        <f t="shared" si="58"/>
        <v>-245.25999999999931</v>
      </c>
      <c r="Q77" s="132">
        <f t="shared" si="50"/>
        <v>26781750.992399994</v>
      </c>
      <c r="R77" s="132">
        <f t="shared" si="51"/>
        <v>25239370.404000003</v>
      </c>
      <c r="S77" s="132">
        <f t="shared" si="56"/>
        <v>-1542380.5883999914</v>
      </c>
      <c r="T77" s="133" t="str">
        <f t="shared" si="59"/>
        <v>No Monetizar</v>
      </c>
      <c r="U77" s="290"/>
      <c r="V77" s="394">
        <v>45737</v>
      </c>
      <c r="W77" s="393" t="s">
        <v>275</v>
      </c>
      <c r="X77" s="393" t="s">
        <v>285</v>
      </c>
      <c r="Y77" s="393" t="s">
        <v>290</v>
      </c>
      <c r="Z77" s="211">
        <f t="shared" si="60"/>
        <v>25280676.403999999</v>
      </c>
      <c r="AA77" s="225">
        <f t="shared" si="45"/>
        <v>-1501074.5883999951</v>
      </c>
      <c r="AF77" s="112"/>
    </row>
    <row r="78" spans="2:32" outlineLevel="1">
      <c r="B78" s="125">
        <v>47</v>
      </c>
      <c r="C78" s="120" t="s">
        <v>291</v>
      </c>
      <c r="D78" s="153">
        <v>5599</v>
      </c>
      <c r="E78" s="126">
        <v>45723</v>
      </c>
      <c r="F78" s="126">
        <v>45783</v>
      </c>
      <c r="G78" s="126"/>
      <c r="H78" s="126"/>
      <c r="I78" s="126"/>
      <c r="J78" s="208">
        <f t="shared" ca="1" si="57"/>
        <v>0</v>
      </c>
      <c r="K78" s="128">
        <v>955.43</v>
      </c>
      <c r="L78" s="128">
        <v>955.43</v>
      </c>
      <c r="M78" s="129">
        <f t="shared" si="55"/>
        <v>0</v>
      </c>
      <c r="N78" s="130">
        <v>4375.8599999999997</v>
      </c>
      <c r="O78" s="130">
        <f>O77</f>
        <v>4130.6000000000004</v>
      </c>
      <c r="P78" s="168">
        <f t="shared" si="58"/>
        <v>-245.25999999999931</v>
      </c>
      <c r="Q78" s="132">
        <f t="shared" si="50"/>
        <v>4180827.9197999993</v>
      </c>
      <c r="R78" s="132">
        <f t="shared" si="51"/>
        <v>3946499.1580000003</v>
      </c>
      <c r="S78" s="132">
        <f t="shared" si="56"/>
        <v>-234328.76179999905</v>
      </c>
      <c r="T78" s="133" t="str">
        <f t="shared" si="59"/>
        <v>No Monetizar</v>
      </c>
      <c r="U78" s="290"/>
      <c r="V78" s="394">
        <v>45737</v>
      </c>
      <c r="W78" s="393" t="s">
        <v>275</v>
      </c>
      <c r="X78" s="393" t="s">
        <v>285</v>
      </c>
      <c r="Y78" s="393" t="s">
        <v>290</v>
      </c>
      <c r="Z78" s="211">
        <f t="shared" si="60"/>
        <v>3946499.1580000003</v>
      </c>
      <c r="AA78" s="225">
        <f t="shared" si="45"/>
        <v>-234328.76179999905</v>
      </c>
      <c r="AF78" s="112"/>
    </row>
    <row r="79" spans="2:32" outlineLevel="1">
      <c r="B79" s="125">
        <v>48</v>
      </c>
      <c r="C79" s="120" t="s">
        <v>121</v>
      </c>
      <c r="D79" s="153">
        <v>5768</v>
      </c>
      <c r="E79" s="126">
        <v>45737</v>
      </c>
      <c r="F79" s="126">
        <v>45797</v>
      </c>
      <c r="G79" s="126"/>
      <c r="H79" s="126"/>
      <c r="I79" s="126"/>
      <c r="J79" s="208">
        <f t="shared" ca="1" si="57"/>
        <v>0</v>
      </c>
      <c r="K79" s="134">
        <v>185122.81</v>
      </c>
      <c r="L79" s="128">
        <v>185122.81</v>
      </c>
      <c r="M79" s="396">
        <f t="shared" si="55"/>
        <v>0</v>
      </c>
      <c r="N79" s="130">
        <v>3996.8</v>
      </c>
      <c r="O79" s="130">
        <v>4106</v>
      </c>
      <c r="P79" s="168">
        <f t="shared" si="58"/>
        <v>109.19999999999982</v>
      </c>
      <c r="Q79" s="132">
        <f t="shared" si="50"/>
        <v>739898847.00800002</v>
      </c>
      <c r="R79" s="132">
        <f t="shared" si="51"/>
        <v>760114257.86000001</v>
      </c>
      <c r="S79" s="132">
        <f t="shared" si="56"/>
        <v>20215410.851999998</v>
      </c>
      <c r="T79" s="133" t="str">
        <f t="shared" si="59"/>
        <v>Monetizar</v>
      </c>
      <c r="U79" s="239"/>
      <c r="V79" s="210">
        <v>45741</v>
      </c>
      <c r="W79" s="393" t="s">
        <v>275</v>
      </c>
      <c r="X79" s="393" t="s">
        <v>275</v>
      </c>
      <c r="Y79" s="393" t="s">
        <v>276</v>
      </c>
      <c r="Z79" s="211">
        <f t="shared" si="60"/>
        <v>760114257.86000001</v>
      </c>
      <c r="AA79" s="225">
        <f t="shared" si="45"/>
        <v>20215410.851999998</v>
      </c>
      <c r="AF79" s="112"/>
    </row>
    <row r="80" spans="2:32" outlineLevel="1">
      <c r="B80" s="125">
        <v>49</v>
      </c>
      <c r="C80" s="120" t="s">
        <v>288</v>
      </c>
      <c r="D80" s="153">
        <v>5772</v>
      </c>
      <c r="E80" s="126">
        <v>45741</v>
      </c>
      <c r="F80" s="126">
        <v>45801</v>
      </c>
      <c r="G80" s="126"/>
      <c r="H80" s="126"/>
      <c r="I80" s="126"/>
      <c r="J80" s="208">
        <f t="shared" ca="1" si="57"/>
        <v>0</v>
      </c>
      <c r="K80" s="134">
        <v>22511.27</v>
      </c>
      <c r="L80" s="128">
        <v>22465.27</v>
      </c>
      <c r="M80" s="396">
        <f t="shared" si="55"/>
        <v>46</v>
      </c>
      <c r="N80" s="130">
        <v>3980.08</v>
      </c>
      <c r="O80" s="130">
        <v>4103</v>
      </c>
      <c r="P80" s="168">
        <f t="shared" si="58"/>
        <v>122.92000000000007</v>
      </c>
      <c r="Q80" s="132">
        <f t="shared" si="50"/>
        <v>89596655.501599997</v>
      </c>
      <c r="R80" s="132">
        <f t="shared" si="51"/>
        <v>92175002.810000002</v>
      </c>
      <c r="S80" s="132">
        <f t="shared" si="56"/>
        <v>2578347.3084000051</v>
      </c>
      <c r="T80" s="133" t="str">
        <f t="shared" si="59"/>
        <v>Monetizar</v>
      </c>
      <c r="U80" s="239"/>
      <c r="V80" s="210">
        <v>45741</v>
      </c>
      <c r="W80" s="393" t="s">
        <v>275</v>
      </c>
      <c r="X80" s="393" t="s">
        <v>275</v>
      </c>
      <c r="Y80" s="393" t="s">
        <v>276</v>
      </c>
      <c r="Z80" s="211">
        <f t="shared" si="60"/>
        <v>92363740.810000002</v>
      </c>
      <c r="AA80" s="225">
        <f t="shared" si="45"/>
        <v>2767085.3084000051</v>
      </c>
      <c r="AF80" s="112"/>
    </row>
    <row r="81" spans="2:32" outlineLevel="1">
      <c r="B81" s="125">
        <v>50</v>
      </c>
      <c r="C81" s="120" t="s">
        <v>120</v>
      </c>
      <c r="D81" s="153">
        <v>5787</v>
      </c>
      <c r="E81" s="126">
        <v>45740</v>
      </c>
      <c r="F81" s="126">
        <v>45069</v>
      </c>
      <c r="G81" s="126"/>
      <c r="H81" s="126"/>
      <c r="I81" s="126"/>
      <c r="J81" s="208">
        <f t="shared" ca="1" si="57"/>
        <v>0</v>
      </c>
      <c r="K81" s="128">
        <v>2996.07</v>
      </c>
      <c r="L81" s="128">
        <v>2976.07</v>
      </c>
      <c r="M81" s="396">
        <f t="shared" si="55"/>
        <v>20</v>
      </c>
      <c r="N81" s="130">
        <v>4060.08</v>
      </c>
      <c r="O81" s="130">
        <v>4100</v>
      </c>
      <c r="P81" s="168">
        <f t="shared" si="58"/>
        <v>39.920000000000073</v>
      </c>
      <c r="Q81" s="132">
        <f t="shared" si="50"/>
        <v>12164283.885600001</v>
      </c>
      <c r="R81" s="132">
        <f t="shared" si="51"/>
        <v>12201887</v>
      </c>
      <c r="S81" s="132">
        <f t="shared" si="56"/>
        <v>37603.11439999938</v>
      </c>
      <c r="T81" s="133" t="str">
        <f t="shared" si="59"/>
        <v>Monetizar</v>
      </c>
      <c r="U81" s="239"/>
      <c r="V81" s="210">
        <v>45741</v>
      </c>
      <c r="W81" s="393" t="s">
        <v>275</v>
      </c>
      <c r="X81" s="393" t="s">
        <v>275</v>
      </c>
      <c r="Y81" s="393" t="s">
        <v>276</v>
      </c>
      <c r="Z81" s="211">
        <f t="shared" si="60"/>
        <v>12283887</v>
      </c>
      <c r="AA81" s="225">
        <f t="shared" si="45"/>
        <v>119603.11439999938</v>
      </c>
      <c r="AF81" s="112"/>
    </row>
    <row r="82" spans="2:32" ht="30" outlineLevel="1">
      <c r="B82" s="125">
        <v>51</v>
      </c>
      <c r="C82" s="120" t="s">
        <v>284</v>
      </c>
      <c r="D82" s="153">
        <v>5775</v>
      </c>
      <c r="E82" s="126">
        <v>45741</v>
      </c>
      <c r="F82" s="126">
        <v>45801</v>
      </c>
      <c r="G82" s="126"/>
      <c r="H82" s="126"/>
      <c r="I82" s="126"/>
      <c r="J82" s="208">
        <f t="shared" ca="1" si="57"/>
        <v>0</v>
      </c>
      <c r="K82" s="128">
        <v>14866.66</v>
      </c>
      <c r="L82" s="128">
        <v>14866.7</v>
      </c>
      <c r="M82" s="129">
        <f t="shared" ref="M82:M113" si="61">K82-L82</f>
        <v>-4.0000000000873115E-2</v>
      </c>
      <c r="N82" s="130">
        <v>4010.08</v>
      </c>
      <c r="O82" s="130">
        <v>4098</v>
      </c>
      <c r="P82" s="168">
        <f t="shared" si="58"/>
        <v>87.920000000000073</v>
      </c>
      <c r="Q82" s="132">
        <f t="shared" si="50"/>
        <v>59616495.932799995</v>
      </c>
      <c r="R82" s="132">
        <f t="shared" si="51"/>
        <v>60923736.600000001</v>
      </c>
      <c r="S82" s="132">
        <f t="shared" si="56"/>
        <v>1307240.6672000065</v>
      </c>
      <c r="T82" s="133" t="str">
        <f t="shared" si="59"/>
        <v>Monetizar</v>
      </c>
      <c r="U82" s="239"/>
      <c r="V82" s="210">
        <v>45741</v>
      </c>
      <c r="W82" s="393" t="s">
        <v>275</v>
      </c>
      <c r="X82" s="393" t="s">
        <v>275</v>
      </c>
      <c r="Y82" s="393" t="s">
        <v>276</v>
      </c>
      <c r="Z82" s="211">
        <f t="shared" si="60"/>
        <v>60923572.68</v>
      </c>
      <c r="AA82" s="225">
        <f t="shared" si="45"/>
        <v>1307076.7472000048</v>
      </c>
      <c r="AF82" s="112"/>
    </row>
    <row r="83" spans="2:32" outlineLevel="1">
      <c r="B83" s="125">
        <v>52</v>
      </c>
      <c r="C83" s="120" t="s">
        <v>116</v>
      </c>
      <c r="D83" s="153">
        <v>5770</v>
      </c>
      <c r="E83" s="126">
        <v>45741</v>
      </c>
      <c r="F83" s="126">
        <v>45801</v>
      </c>
      <c r="G83" s="126"/>
      <c r="H83" s="126"/>
      <c r="I83" s="126"/>
      <c r="J83" s="208">
        <f t="shared" ca="1" si="57"/>
        <v>0</v>
      </c>
      <c r="K83" s="134">
        <v>3777.61</v>
      </c>
      <c r="L83" s="128">
        <v>3767.61</v>
      </c>
      <c r="M83" s="396">
        <f t="shared" si="61"/>
        <v>10</v>
      </c>
      <c r="N83" s="130">
        <v>4010.08</v>
      </c>
      <c r="O83" s="130">
        <v>4096</v>
      </c>
      <c r="P83" s="168">
        <f t="shared" si="58"/>
        <v>85.920000000000073</v>
      </c>
      <c r="Q83" s="132">
        <f t="shared" ref="Q83:Q114" si="62">K83*N83</f>
        <v>15148518.308800001</v>
      </c>
      <c r="R83" s="132">
        <f>L83*O83+6028.44</f>
        <v>15438159</v>
      </c>
      <c r="S83" s="132">
        <f t="shared" si="56"/>
        <v>289640.6911999993</v>
      </c>
      <c r="T83" s="133" t="str">
        <f t="shared" si="59"/>
        <v>Monetizar</v>
      </c>
      <c r="U83" s="239"/>
      <c r="V83" s="394">
        <v>45742</v>
      </c>
      <c r="W83" s="393" t="s">
        <v>275</v>
      </c>
      <c r="X83" s="393" t="s">
        <v>275</v>
      </c>
      <c r="Y83" s="393" t="s">
        <v>276</v>
      </c>
      <c r="Z83" s="211">
        <f t="shared" si="60"/>
        <v>15473090.560000001</v>
      </c>
      <c r="AA83" s="225">
        <f t="shared" si="45"/>
        <v>324572.25119999982</v>
      </c>
      <c r="AF83" s="112"/>
    </row>
    <row r="84" spans="2:32" outlineLevel="1">
      <c r="B84" s="125">
        <v>53</v>
      </c>
      <c r="C84" s="120" t="s">
        <v>117</v>
      </c>
      <c r="D84" s="153">
        <v>5816</v>
      </c>
      <c r="E84" s="126">
        <v>45747</v>
      </c>
      <c r="F84" s="126">
        <v>45807</v>
      </c>
      <c r="G84" s="126"/>
      <c r="H84" s="126"/>
      <c r="I84" s="126"/>
      <c r="J84" s="208">
        <f t="shared" ca="1" si="57"/>
        <v>0</v>
      </c>
      <c r="K84" s="134">
        <v>98661.98</v>
      </c>
      <c r="L84" s="128">
        <v>98646.98</v>
      </c>
      <c r="M84" s="396">
        <f t="shared" si="61"/>
        <v>15</v>
      </c>
      <c r="N84" s="130">
        <v>4036.8</v>
      </c>
      <c r="O84" s="130">
        <v>4168</v>
      </c>
      <c r="P84" s="168">
        <f t="shared" si="58"/>
        <v>131.19999999999982</v>
      </c>
      <c r="Q84" s="132">
        <f t="shared" si="62"/>
        <v>398278680.86400002</v>
      </c>
      <c r="R84" s="132">
        <f t="shared" ref="R84:R115" si="63">L84*O84</f>
        <v>411160612.63999999</v>
      </c>
      <c r="S84" s="132">
        <f t="shared" si="56"/>
        <v>12881931.775999963</v>
      </c>
      <c r="T84" s="133" t="str">
        <f t="shared" si="59"/>
        <v>Monetizar</v>
      </c>
      <c r="U84" s="239"/>
      <c r="V84" s="394">
        <v>45747</v>
      </c>
      <c r="W84" s="393" t="s">
        <v>275</v>
      </c>
      <c r="X84" s="393" t="s">
        <v>275</v>
      </c>
      <c r="Y84" s="393" t="s">
        <v>276</v>
      </c>
      <c r="Z84" s="211">
        <f t="shared" si="60"/>
        <v>411223132.63999999</v>
      </c>
      <c r="AA84" s="225">
        <f t="shared" si="45"/>
        <v>12944451.775999963</v>
      </c>
      <c r="AF84" s="112"/>
    </row>
    <row r="85" spans="2:32" outlineLevel="1">
      <c r="B85" s="125">
        <v>54</v>
      </c>
      <c r="C85" s="120" t="s">
        <v>287</v>
      </c>
      <c r="D85" s="153">
        <v>5774</v>
      </c>
      <c r="E85" s="126">
        <v>45749</v>
      </c>
      <c r="F85" s="126">
        <v>45809</v>
      </c>
      <c r="G85" s="126"/>
      <c r="H85" s="126"/>
      <c r="I85" s="126"/>
      <c r="J85" s="208">
        <f t="shared" ca="1" si="57"/>
        <v>0</v>
      </c>
      <c r="K85" s="134">
        <v>1162.5999999999999</v>
      </c>
      <c r="L85" s="128">
        <v>1162.5999999999999</v>
      </c>
      <c r="M85" s="129">
        <f t="shared" si="61"/>
        <v>0</v>
      </c>
      <c r="N85" s="130">
        <v>3865.07</v>
      </c>
      <c r="O85" s="130">
        <v>4138</v>
      </c>
      <c r="P85" s="168">
        <f t="shared" si="58"/>
        <v>272.92999999999984</v>
      </c>
      <c r="Q85" s="132">
        <f t="shared" si="62"/>
        <v>4493530.3820000002</v>
      </c>
      <c r="R85" s="132">
        <f t="shared" si="63"/>
        <v>4810838.8</v>
      </c>
      <c r="S85" s="132">
        <f t="shared" si="56"/>
        <v>317308.4179999996</v>
      </c>
      <c r="T85" s="133" t="str">
        <f t="shared" si="59"/>
        <v>Monetizar</v>
      </c>
      <c r="U85" s="285"/>
      <c r="V85" s="394">
        <v>45749</v>
      </c>
      <c r="W85" s="393" t="s">
        <v>275</v>
      </c>
      <c r="X85" s="393" t="s">
        <v>275</v>
      </c>
      <c r="Y85" s="393" t="s">
        <v>276</v>
      </c>
      <c r="Z85" s="211">
        <f t="shared" si="60"/>
        <v>4810838.8</v>
      </c>
      <c r="AA85" s="225">
        <f t="shared" si="45"/>
        <v>317308.4179999996</v>
      </c>
      <c r="AF85" s="112"/>
    </row>
    <row r="86" spans="2:32" outlineLevel="1">
      <c r="B86" s="125">
        <v>55</v>
      </c>
      <c r="C86" s="120" t="s">
        <v>293</v>
      </c>
      <c r="D86" s="153" t="s">
        <v>294</v>
      </c>
      <c r="E86" s="126">
        <v>45709</v>
      </c>
      <c r="F86" s="126">
        <v>45769</v>
      </c>
      <c r="G86" s="126"/>
      <c r="H86" s="126"/>
      <c r="I86" s="126"/>
      <c r="J86" s="208">
        <f t="shared" ca="1" si="57"/>
        <v>0</v>
      </c>
      <c r="K86" s="128">
        <v>5954.34</v>
      </c>
      <c r="L86" s="128">
        <v>5954.34</v>
      </c>
      <c r="M86" s="215">
        <f t="shared" si="61"/>
        <v>0</v>
      </c>
      <c r="N86" s="130">
        <v>4406.16</v>
      </c>
      <c r="O86" s="130">
        <v>4265</v>
      </c>
      <c r="P86" s="168">
        <f t="shared" si="58"/>
        <v>-141.15999999999985</v>
      </c>
      <c r="Q86" s="168">
        <f t="shared" si="62"/>
        <v>26235774.7344</v>
      </c>
      <c r="R86" s="168">
        <f t="shared" si="63"/>
        <v>25395260.100000001</v>
      </c>
      <c r="S86" s="132">
        <f t="shared" si="56"/>
        <v>-840514.63439999893</v>
      </c>
      <c r="T86" s="133" t="str">
        <f t="shared" si="59"/>
        <v>No Monetizar</v>
      </c>
      <c r="U86" s="290"/>
      <c r="V86" s="210">
        <v>45751</v>
      </c>
      <c r="W86" s="393" t="s">
        <v>275</v>
      </c>
      <c r="X86" s="393" t="s">
        <v>285</v>
      </c>
      <c r="Y86" s="393" t="s">
        <v>295</v>
      </c>
      <c r="Z86" s="211">
        <f t="shared" si="60"/>
        <v>25395260.100000001</v>
      </c>
      <c r="AA86" s="225">
        <f t="shared" si="45"/>
        <v>-840514.63439999893</v>
      </c>
      <c r="AF86" s="112"/>
    </row>
    <row r="87" spans="2:32" outlineLevel="1">
      <c r="B87" s="125">
        <v>56</v>
      </c>
      <c r="C87" s="120" t="s">
        <v>296</v>
      </c>
      <c r="D87" s="153">
        <v>5418</v>
      </c>
      <c r="E87" s="126">
        <v>45709</v>
      </c>
      <c r="F87" s="126">
        <v>45769</v>
      </c>
      <c r="G87" s="126"/>
      <c r="H87" s="126"/>
      <c r="I87" s="126"/>
      <c r="J87" s="208">
        <f t="shared" ca="1" si="57"/>
        <v>0</v>
      </c>
      <c r="K87" s="128">
        <v>2634.12</v>
      </c>
      <c r="L87" s="128">
        <v>2634.12</v>
      </c>
      <c r="M87" s="215">
        <f t="shared" si="61"/>
        <v>0</v>
      </c>
      <c r="N87" s="130">
        <v>4344.55</v>
      </c>
      <c r="O87" s="130">
        <f>O86</f>
        <v>4265</v>
      </c>
      <c r="P87" s="168">
        <f t="shared" si="58"/>
        <v>-79.550000000000182</v>
      </c>
      <c r="Q87" s="168">
        <f t="shared" si="62"/>
        <v>11444066.046</v>
      </c>
      <c r="R87" s="168">
        <f t="shared" si="63"/>
        <v>11234521.799999999</v>
      </c>
      <c r="S87" s="132">
        <f t="shared" si="56"/>
        <v>-209544.24600000121</v>
      </c>
      <c r="T87" s="133" t="str">
        <f t="shared" si="59"/>
        <v>No Monetizar</v>
      </c>
      <c r="U87" s="290"/>
      <c r="V87" s="210">
        <v>45751</v>
      </c>
      <c r="W87" s="393" t="s">
        <v>275</v>
      </c>
      <c r="X87" s="393" t="s">
        <v>285</v>
      </c>
      <c r="Y87" s="393" t="s">
        <v>295</v>
      </c>
      <c r="Z87" s="211">
        <f t="shared" si="60"/>
        <v>11234521.799999999</v>
      </c>
      <c r="AA87" s="225">
        <f t="shared" si="45"/>
        <v>-209544.24600000121</v>
      </c>
      <c r="AF87" s="112"/>
    </row>
    <row r="88" spans="2:32" outlineLevel="1">
      <c r="B88" s="125">
        <v>57</v>
      </c>
      <c r="C88" s="120" t="s">
        <v>291</v>
      </c>
      <c r="D88" s="153" t="s">
        <v>297</v>
      </c>
      <c r="E88" s="126">
        <v>45709</v>
      </c>
      <c r="F88" s="126">
        <v>45769</v>
      </c>
      <c r="G88" s="126"/>
      <c r="H88" s="126"/>
      <c r="I88" s="126"/>
      <c r="J88" s="208">
        <f t="shared" ca="1" si="57"/>
        <v>0</v>
      </c>
      <c r="K88" s="128">
        <v>7836.92</v>
      </c>
      <c r="L88" s="128">
        <f>7836.92-10</f>
        <v>7826.92</v>
      </c>
      <c r="M88" s="215">
        <f t="shared" si="61"/>
        <v>10</v>
      </c>
      <c r="N88" s="130">
        <v>4406.16</v>
      </c>
      <c r="O88" s="130">
        <v>4266.5</v>
      </c>
      <c r="P88" s="168">
        <f t="shared" si="58"/>
        <v>-139.65999999999985</v>
      </c>
      <c r="Q88" s="168">
        <f t="shared" si="62"/>
        <v>34530723.427199997</v>
      </c>
      <c r="R88" s="168">
        <f t="shared" si="63"/>
        <v>33393554.18</v>
      </c>
      <c r="S88" s="132">
        <f t="shared" ref="S88:S119" si="64">R88-Q88</f>
        <v>-1137169.2471999973</v>
      </c>
      <c r="T88" s="133" t="str">
        <f t="shared" si="59"/>
        <v>No Monetizar</v>
      </c>
      <c r="U88" s="290"/>
      <c r="V88" s="210">
        <v>45751</v>
      </c>
      <c r="W88" s="393" t="s">
        <v>275</v>
      </c>
      <c r="X88" s="393" t="s">
        <v>285</v>
      </c>
      <c r="Y88" s="393" t="s">
        <v>295</v>
      </c>
      <c r="Z88" s="211">
        <f t="shared" si="60"/>
        <v>33436219.18</v>
      </c>
      <c r="AA88" s="225">
        <f t="shared" si="45"/>
        <v>-1094504.2471999973</v>
      </c>
      <c r="AF88" s="112"/>
    </row>
    <row r="89" spans="2:32" outlineLevel="1">
      <c r="B89" s="125">
        <v>58</v>
      </c>
      <c r="C89" s="120" t="s">
        <v>264</v>
      </c>
      <c r="D89" s="153">
        <v>5679</v>
      </c>
      <c r="E89" s="126">
        <v>45742</v>
      </c>
      <c r="F89" s="126">
        <v>45802</v>
      </c>
      <c r="G89" s="126"/>
      <c r="H89" s="126"/>
      <c r="I89" s="127"/>
      <c r="J89" s="208">
        <f ca="1">IFERROR(IF(TODAY()&gt;=E89,(TODAY()-E89)/I89,0),0)</f>
        <v>0</v>
      </c>
      <c r="K89" s="128">
        <v>650</v>
      </c>
      <c r="L89" s="128">
        <v>645</v>
      </c>
      <c r="M89" s="128">
        <f t="shared" si="61"/>
        <v>5</v>
      </c>
      <c r="N89" s="130">
        <v>4150</v>
      </c>
      <c r="O89" s="130">
        <v>4273.3</v>
      </c>
      <c r="P89" s="168">
        <f t="shared" si="58"/>
        <v>123.30000000000018</v>
      </c>
      <c r="Q89" s="132">
        <f t="shared" si="62"/>
        <v>2697500</v>
      </c>
      <c r="R89" s="132">
        <f t="shared" si="63"/>
        <v>2756278.5</v>
      </c>
      <c r="S89" s="132">
        <f t="shared" si="64"/>
        <v>58778.5</v>
      </c>
      <c r="T89" s="133" t="str">
        <f t="shared" si="59"/>
        <v>Monetizar</v>
      </c>
      <c r="U89" s="239"/>
      <c r="V89" s="210">
        <v>45751</v>
      </c>
      <c r="W89" s="393" t="s">
        <v>275</v>
      </c>
      <c r="X89" s="393" t="s">
        <v>275</v>
      </c>
      <c r="Y89" s="393" t="s">
        <v>276</v>
      </c>
      <c r="Z89" s="211">
        <f t="shared" si="60"/>
        <v>2777645</v>
      </c>
      <c r="AA89" s="225">
        <f t="shared" si="45"/>
        <v>80145</v>
      </c>
      <c r="AF89" s="112"/>
    </row>
    <row r="90" spans="2:32" outlineLevel="1">
      <c r="B90" s="125">
        <v>59</v>
      </c>
      <c r="C90" s="120" t="s">
        <v>293</v>
      </c>
      <c r="D90" s="153" t="s">
        <v>298</v>
      </c>
      <c r="E90" s="126">
        <v>45723</v>
      </c>
      <c r="F90" s="126">
        <v>45783</v>
      </c>
      <c r="G90" s="126"/>
      <c r="H90" s="126"/>
      <c r="I90" s="127"/>
      <c r="J90" s="208">
        <f ca="1">IFERROR(IF(TODAY()&gt;=E90,(TODAY()-E90)/I90,0),0)</f>
        <v>0</v>
      </c>
      <c r="K90" s="128">
        <v>6572.35</v>
      </c>
      <c r="L90" s="128">
        <v>6572.35</v>
      </c>
      <c r="M90" s="129">
        <f t="shared" si="61"/>
        <v>0</v>
      </c>
      <c r="N90" s="130">
        <v>4375.8599999999997</v>
      </c>
      <c r="O90" s="130">
        <v>4397.0200000000004</v>
      </c>
      <c r="P90" s="168">
        <f t="shared" si="58"/>
        <v>21.160000000000764</v>
      </c>
      <c r="Q90" s="132">
        <f t="shared" si="62"/>
        <v>28759683.471000001</v>
      </c>
      <c r="R90" s="132">
        <f t="shared" si="63"/>
        <v>28898754.397000004</v>
      </c>
      <c r="S90" s="132">
        <f t="shared" si="64"/>
        <v>139070.92600000277</v>
      </c>
      <c r="T90" s="133" t="str">
        <f t="shared" si="59"/>
        <v>Monetizar</v>
      </c>
      <c r="U90" s="239"/>
      <c r="V90" s="210">
        <v>45754</v>
      </c>
      <c r="W90" s="393" t="s">
        <v>275</v>
      </c>
      <c r="X90" s="393" t="s">
        <v>275</v>
      </c>
      <c r="Y90" s="393" t="s">
        <v>276</v>
      </c>
      <c r="Z90" s="211">
        <f t="shared" si="60"/>
        <v>28898754.397000004</v>
      </c>
      <c r="AA90" s="225">
        <f t="shared" si="45"/>
        <v>139070.92600000277</v>
      </c>
      <c r="AF90" s="112"/>
    </row>
    <row r="91" spans="2:32" outlineLevel="1">
      <c r="B91" s="125">
        <v>60</v>
      </c>
      <c r="C91" s="120" t="s">
        <v>264</v>
      </c>
      <c r="D91" s="292">
        <v>5616</v>
      </c>
      <c r="E91" s="126">
        <v>45728</v>
      </c>
      <c r="F91" s="126">
        <v>45788</v>
      </c>
      <c r="G91" s="126"/>
      <c r="H91" s="126"/>
      <c r="I91" s="127"/>
      <c r="J91" s="208">
        <f ca="1">IFERROR(IF(TODAY()&gt;=E91,(TODAY()-E91)/I91,0),0)</f>
        <v>0</v>
      </c>
      <c r="K91" s="128">
        <v>1927.79</v>
      </c>
      <c r="L91" s="128">
        <f>1927.79-5</f>
        <v>1922.79</v>
      </c>
      <c r="M91" s="129">
        <f t="shared" si="61"/>
        <v>5</v>
      </c>
      <c r="N91" s="130">
        <v>4401.9799999999996</v>
      </c>
      <c r="O91" s="130">
        <v>4417.43</v>
      </c>
      <c r="P91" s="168">
        <f t="shared" si="58"/>
        <v>15.450000000000728</v>
      </c>
      <c r="Q91" s="132">
        <f t="shared" si="62"/>
        <v>8486093.0241999999</v>
      </c>
      <c r="R91" s="132">
        <f t="shared" si="63"/>
        <v>8493790.229700001</v>
      </c>
      <c r="S91" s="132">
        <f t="shared" si="64"/>
        <v>7697.2055000010878</v>
      </c>
      <c r="T91" s="133" t="str">
        <f t="shared" si="59"/>
        <v>Monetizar</v>
      </c>
      <c r="U91" s="293"/>
      <c r="V91" s="210">
        <v>45756</v>
      </c>
      <c r="W91" s="393" t="s">
        <v>275</v>
      </c>
      <c r="X91" s="393" t="s">
        <v>275</v>
      </c>
      <c r="Y91" s="393" t="s">
        <v>276</v>
      </c>
      <c r="Z91" s="211">
        <f t="shared" si="60"/>
        <v>8515877.3797000013</v>
      </c>
      <c r="AA91" s="225">
        <f t="shared" si="45"/>
        <v>29784.35550000146</v>
      </c>
      <c r="AF91" s="112"/>
    </row>
    <row r="92" spans="2:32" outlineLevel="1">
      <c r="B92" s="125">
        <v>61</v>
      </c>
      <c r="C92" s="120" t="s">
        <v>264</v>
      </c>
      <c r="D92" s="292">
        <v>5634</v>
      </c>
      <c r="E92" s="126">
        <v>45728</v>
      </c>
      <c r="F92" s="126">
        <v>45788</v>
      </c>
      <c r="G92" s="126"/>
      <c r="H92" s="126"/>
      <c r="I92" s="127"/>
      <c r="J92" s="208">
        <f ca="1">IFERROR(IF(TODAY()&gt;=E92,(TODAY()-E92)/I92,0),0)</f>
        <v>0</v>
      </c>
      <c r="K92" s="128">
        <v>1405.81</v>
      </c>
      <c r="L92" s="128">
        <f>1405.81-5</f>
        <v>1400.81</v>
      </c>
      <c r="M92" s="129">
        <f t="shared" si="61"/>
        <v>5</v>
      </c>
      <c r="N92" s="130">
        <v>4401.9799999999996</v>
      </c>
      <c r="O92" s="130">
        <f>O91</f>
        <v>4417.43</v>
      </c>
      <c r="P92" s="168">
        <f t="shared" si="58"/>
        <v>15.450000000000728</v>
      </c>
      <c r="Q92" s="132">
        <f t="shared" si="62"/>
        <v>6188347.5037999991</v>
      </c>
      <c r="R92" s="132">
        <f t="shared" si="63"/>
        <v>6187980.1183000002</v>
      </c>
      <c r="S92" s="132">
        <f t="shared" si="64"/>
        <v>-367.38549999892712</v>
      </c>
      <c r="T92" s="133" t="str">
        <f t="shared" si="59"/>
        <v>No Monetizar</v>
      </c>
      <c r="U92" s="293"/>
      <c r="V92" s="210">
        <v>45756</v>
      </c>
      <c r="W92" s="393" t="s">
        <v>275</v>
      </c>
      <c r="X92" s="393" t="s">
        <v>275</v>
      </c>
      <c r="Y92" s="393" t="s">
        <v>276</v>
      </c>
      <c r="Z92" s="211">
        <f t="shared" si="60"/>
        <v>6210067.2683000006</v>
      </c>
      <c r="AA92" s="225">
        <f t="shared" si="45"/>
        <v>21719.764500001445</v>
      </c>
      <c r="AF92" s="112"/>
    </row>
    <row r="93" spans="2:32" outlineLevel="1">
      <c r="B93" s="125">
        <v>62</v>
      </c>
      <c r="C93" s="120" t="s">
        <v>287</v>
      </c>
      <c r="D93" s="153">
        <v>5773</v>
      </c>
      <c r="E93" s="126">
        <v>45758</v>
      </c>
      <c r="F93" s="126">
        <v>45818</v>
      </c>
      <c r="G93" s="126"/>
      <c r="H93" s="126"/>
      <c r="I93" s="126"/>
      <c r="J93" s="208">
        <f t="shared" ref="J93:J124" ca="1" si="65">IFERROR(IF(TODAY()&gt;=E93,(TODAY()-E93)/I93,0),0)*0</f>
        <v>0</v>
      </c>
      <c r="K93" s="134">
        <v>1860.99</v>
      </c>
      <c r="L93" s="134">
        <v>1860.99</v>
      </c>
      <c r="M93" s="129">
        <f t="shared" si="61"/>
        <v>0</v>
      </c>
      <c r="N93" s="130">
        <v>4010.08</v>
      </c>
      <c r="O93" s="130">
        <v>4333</v>
      </c>
      <c r="P93" s="168">
        <f t="shared" si="58"/>
        <v>322.92000000000007</v>
      </c>
      <c r="Q93" s="132">
        <f t="shared" si="62"/>
        <v>7462718.7791999998</v>
      </c>
      <c r="R93" s="132">
        <f t="shared" si="63"/>
        <v>8063669.6699999999</v>
      </c>
      <c r="S93" s="132">
        <f t="shared" si="64"/>
        <v>600950.89080000017</v>
      </c>
      <c r="T93" s="133" t="str">
        <f t="shared" si="59"/>
        <v>Monetizar</v>
      </c>
      <c r="U93" s="293"/>
      <c r="V93" s="210">
        <v>45758</v>
      </c>
      <c r="W93" s="393" t="s">
        <v>275</v>
      </c>
      <c r="X93" s="393" t="s">
        <v>275</v>
      </c>
      <c r="Y93" s="393" t="s">
        <v>276</v>
      </c>
      <c r="Z93" s="211">
        <f t="shared" si="60"/>
        <v>8063669.6699999999</v>
      </c>
      <c r="AA93" s="225">
        <f t="shared" si="45"/>
        <v>600950.89080000017</v>
      </c>
      <c r="AF93" s="112"/>
    </row>
    <row r="94" spans="2:32" outlineLevel="1">
      <c r="B94" s="125">
        <v>63</v>
      </c>
      <c r="C94" s="120" t="s">
        <v>274</v>
      </c>
      <c r="D94" s="153">
        <v>5848</v>
      </c>
      <c r="E94" s="126">
        <v>45761</v>
      </c>
      <c r="F94" s="296">
        <v>45821</v>
      </c>
      <c r="G94" s="296"/>
      <c r="H94" s="296"/>
      <c r="I94" s="126"/>
      <c r="J94" s="208">
        <f t="shared" ca="1" si="65"/>
        <v>0</v>
      </c>
      <c r="K94" s="134">
        <v>3028.43</v>
      </c>
      <c r="L94" s="134">
        <v>3028.43</v>
      </c>
      <c r="M94" s="129">
        <f t="shared" si="61"/>
        <v>0</v>
      </c>
      <c r="N94" s="130">
        <v>4316.6899999999996</v>
      </c>
      <c r="O94" s="130">
        <v>4325</v>
      </c>
      <c r="P94" s="168">
        <f t="shared" si="58"/>
        <v>8.3100000000004002</v>
      </c>
      <c r="Q94" s="132">
        <f t="shared" si="62"/>
        <v>13072793.496699998</v>
      </c>
      <c r="R94" s="132">
        <f t="shared" si="63"/>
        <v>13097959.75</v>
      </c>
      <c r="S94" s="132">
        <f t="shared" si="64"/>
        <v>25166.253300001845</v>
      </c>
      <c r="T94" s="133" t="str">
        <f t="shared" si="59"/>
        <v>Monetizar</v>
      </c>
      <c r="U94" s="239"/>
      <c r="V94" s="210">
        <v>45762</v>
      </c>
      <c r="W94" s="393" t="s">
        <v>275</v>
      </c>
      <c r="X94" s="393" t="s">
        <v>275</v>
      </c>
      <c r="Y94" s="393" t="s">
        <v>276</v>
      </c>
      <c r="Z94" s="211">
        <f t="shared" si="60"/>
        <v>13097959.75</v>
      </c>
      <c r="AA94" s="225">
        <f t="shared" si="45"/>
        <v>25166.253300001845</v>
      </c>
      <c r="AF94" s="112"/>
    </row>
    <row r="95" spans="2:32" outlineLevel="1">
      <c r="B95" s="125">
        <v>64</v>
      </c>
      <c r="C95" s="120" t="s">
        <v>264</v>
      </c>
      <c r="D95" s="153">
        <v>5737</v>
      </c>
      <c r="E95" s="126">
        <v>45762</v>
      </c>
      <c r="F95" s="296">
        <v>45822</v>
      </c>
      <c r="G95" s="296"/>
      <c r="H95" s="296"/>
      <c r="I95" s="126"/>
      <c r="J95" s="208">
        <f t="shared" ca="1" si="65"/>
        <v>0</v>
      </c>
      <c r="K95" s="134">
        <v>2725.4</v>
      </c>
      <c r="L95" s="134">
        <v>2715.4</v>
      </c>
      <c r="M95" s="129">
        <f t="shared" si="61"/>
        <v>10</v>
      </c>
      <c r="N95" s="130">
        <v>4123.1000000000004</v>
      </c>
      <c r="O95" s="130">
        <v>4335</v>
      </c>
      <c r="P95" s="168">
        <f t="shared" si="58"/>
        <v>211.89999999999964</v>
      </c>
      <c r="Q95" s="132">
        <f t="shared" si="62"/>
        <v>11237096.740000002</v>
      </c>
      <c r="R95" s="132">
        <f t="shared" si="63"/>
        <v>11771259</v>
      </c>
      <c r="S95" s="132">
        <f t="shared" si="64"/>
        <v>534162.25999999791</v>
      </c>
      <c r="T95" s="133" t="str">
        <f t="shared" si="59"/>
        <v>Monetizar</v>
      </c>
      <c r="U95" s="239"/>
      <c r="V95" s="210">
        <v>45762</v>
      </c>
      <c r="W95" s="393" t="s">
        <v>275</v>
      </c>
      <c r="X95" s="393" t="s">
        <v>275</v>
      </c>
      <c r="Y95" s="393" t="s">
        <v>276</v>
      </c>
      <c r="Z95" s="211">
        <f t="shared" si="60"/>
        <v>11814609</v>
      </c>
      <c r="AA95" s="225">
        <f t="shared" si="45"/>
        <v>577512.25999999791</v>
      </c>
      <c r="AF95" s="112"/>
    </row>
    <row r="96" spans="2:32" outlineLevel="1">
      <c r="B96" s="125">
        <v>65</v>
      </c>
      <c r="C96" s="120" t="s">
        <v>287</v>
      </c>
      <c r="D96" s="153">
        <v>5714</v>
      </c>
      <c r="E96" s="126">
        <v>45763</v>
      </c>
      <c r="F96" s="296">
        <v>45823</v>
      </c>
      <c r="G96" s="296"/>
      <c r="H96" s="296"/>
      <c r="I96" s="126"/>
      <c r="J96" s="208">
        <f t="shared" ca="1" si="65"/>
        <v>0</v>
      </c>
      <c r="K96" s="134">
        <v>2596.0300000000002</v>
      </c>
      <c r="L96" s="134">
        <v>2596.0300000000002</v>
      </c>
      <c r="M96" s="129">
        <f t="shared" si="61"/>
        <v>0</v>
      </c>
      <c r="N96" s="130">
        <v>3865.07</v>
      </c>
      <c r="O96" s="130">
        <v>4272</v>
      </c>
      <c r="P96" s="168">
        <f t="shared" si="58"/>
        <v>406.92999999999984</v>
      </c>
      <c r="Q96" s="132">
        <f t="shared" si="62"/>
        <v>10033837.672100002</v>
      </c>
      <c r="R96" s="132">
        <f t="shared" si="63"/>
        <v>11090240.16</v>
      </c>
      <c r="S96" s="132">
        <f t="shared" si="64"/>
        <v>1056402.4878999982</v>
      </c>
      <c r="T96" s="133" t="str">
        <f t="shared" si="59"/>
        <v>Monetizar</v>
      </c>
      <c r="U96" s="239"/>
      <c r="V96" s="210">
        <v>45762</v>
      </c>
      <c r="W96" s="393" t="s">
        <v>275</v>
      </c>
      <c r="X96" s="393" t="s">
        <v>275</v>
      </c>
      <c r="Y96" s="393" t="s">
        <v>276</v>
      </c>
      <c r="Z96" s="211">
        <f t="shared" si="60"/>
        <v>11090240.16</v>
      </c>
      <c r="AA96" s="225">
        <f t="shared" ref="AA96:AA159" si="66">Z96-Q96</f>
        <v>1056402.4878999982</v>
      </c>
      <c r="AF96" s="112"/>
    </row>
    <row r="97" spans="2:32" outlineLevel="1">
      <c r="B97" s="125">
        <v>66</v>
      </c>
      <c r="C97" s="120" t="s">
        <v>121</v>
      </c>
      <c r="D97" s="153">
        <v>5835</v>
      </c>
      <c r="E97" s="126">
        <v>45764</v>
      </c>
      <c r="F97" s="126">
        <v>45824</v>
      </c>
      <c r="G97" s="126"/>
      <c r="H97" s="126"/>
      <c r="I97" s="126"/>
      <c r="J97" s="208">
        <f t="shared" ca="1" si="65"/>
        <v>0</v>
      </c>
      <c r="K97" s="134">
        <v>15689.99</v>
      </c>
      <c r="L97" s="134">
        <v>15689.99</v>
      </c>
      <c r="M97" s="129">
        <f t="shared" si="61"/>
        <v>0</v>
      </c>
      <c r="N97" s="130">
        <v>4029.24</v>
      </c>
      <c r="O97" s="130">
        <v>4247.5600000000004</v>
      </c>
      <c r="P97" s="168">
        <f t="shared" si="58"/>
        <v>218.32000000000062</v>
      </c>
      <c r="Q97" s="132">
        <f t="shared" si="62"/>
        <v>63218735.307599999</v>
      </c>
      <c r="R97" s="132">
        <f t="shared" si="63"/>
        <v>66644173.924400002</v>
      </c>
      <c r="S97" s="132">
        <f t="shared" si="64"/>
        <v>3425438.6168000028</v>
      </c>
      <c r="T97" s="133" t="str">
        <f t="shared" si="59"/>
        <v>Monetizar</v>
      </c>
      <c r="U97" s="239"/>
      <c r="V97" s="210">
        <v>45768</v>
      </c>
      <c r="W97" s="393" t="s">
        <v>275</v>
      </c>
      <c r="X97" s="393" t="s">
        <v>275</v>
      </c>
      <c r="Y97" s="393" t="s">
        <v>276</v>
      </c>
      <c r="Z97" s="211">
        <f t="shared" si="60"/>
        <v>66644173.924400002</v>
      </c>
      <c r="AA97" s="225">
        <f t="shared" si="66"/>
        <v>3425438.6168000028</v>
      </c>
      <c r="AF97" s="112"/>
    </row>
    <row r="98" spans="2:32" outlineLevel="1">
      <c r="B98" s="125">
        <v>67</v>
      </c>
      <c r="C98" s="120" t="s">
        <v>121</v>
      </c>
      <c r="D98" s="153">
        <v>5836</v>
      </c>
      <c r="E98" s="126">
        <v>45764</v>
      </c>
      <c r="F98" s="126">
        <v>45824</v>
      </c>
      <c r="G98" s="126"/>
      <c r="H98" s="126"/>
      <c r="I98" s="126"/>
      <c r="J98" s="208">
        <f t="shared" ca="1" si="65"/>
        <v>0</v>
      </c>
      <c r="K98" s="134">
        <v>264.97000000000003</v>
      </c>
      <c r="L98" s="134">
        <v>264.97000000000003</v>
      </c>
      <c r="M98" s="129">
        <f t="shared" si="61"/>
        <v>0</v>
      </c>
      <c r="N98" s="130">
        <v>4029.24</v>
      </c>
      <c r="O98" s="130">
        <v>4247.5600000000004</v>
      </c>
      <c r="P98" s="168">
        <f t="shared" si="58"/>
        <v>218.32000000000062</v>
      </c>
      <c r="Q98" s="132">
        <f t="shared" si="62"/>
        <v>1067627.7228000001</v>
      </c>
      <c r="R98" s="132">
        <f t="shared" si="63"/>
        <v>1125475.9732000001</v>
      </c>
      <c r="S98" s="132">
        <f t="shared" si="64"/>
        <v>57848.250400000019</v>
      </c>
      <c r="T98" s="133" t="str">
        <f t="shared" si="59"/>
        <v>Monetizar</v>
      </c>
      <c r="U98" s="239"/>
      <c r="V98" s="210">
        <v>45768</v>
      </c>
      <c r="W98" s="393" t="s">
        <v>275</v>
      </c>
      <c r="X98" s="393" t="s">
        <v>275</v>
      </c>
      <c r="Y98" s="393" t="s">
        <v>276</v>
      </c>
      <c r="Z98" s="211">
        <f t="shared" si="60"/>
        <v>1125475.9732000001</v>
      </c>
      <c r="AA98" s="225">
        <f t="shared" si="66"/>
        <v>57848.250400000019</v>
      </c>
      <c r="AF98" s="112"/>
    </row>
    <row r="99" spans="2:32" outlineLevel="1">
      <c r="B99" s="125">
        <v>68</v>
      </c>
      <c r="C99" s="120" t="s">
        <v>116</v>
      </c>
      <c r="D99" s="153">
        <v>5860</v>
      </c>
      <c r="E99" s="126">
        <v>45765</v>
      </c>
      <c r="F99" s="126">
        <v>45825</v>
      </c>
      <c r="G99" s="126"/>
      <c r="H99" s="126"/>
      <c r="I99" s="126"/>
      <c r="J99" s="208">
        <f t="shared" ca="1" si="65"/>
        <v>0</v>
      </c>
      <c r="K99" s="134">
        <v>11210.98</v>
      </c>
      <c r="L99" s="134">
        <v>11195.98</v>
      </c>
      <c r="M99" s="129">
        <f t="shared" si="61"/>
        <v>15</v>
      </c>
      <c r="N99" s="130">
        <v>4186.17</v>
      </c>
      <c r="O99" s="130">
        <v>4249.01</v>
      </c>
      <c r="P99" s="168">
        <f t="shared" si="58"/>
        <v>62.840000000000146</v>
      </c>
      <c r="Q99" s="132">
        <f t="shared" si="62"/>
        <v>46931068.146600001</v>
      </c>
      <c r="R99" s="132">
        <f t="shared" si="63"/>
        <v>47571830.979800001</v>
      </c>
      <c r="S99" s="132">
        <f t="shared" si="64"/>
        <v>640762.83320000023</v>
      </c>
      <c r="T99" s="133" t="str">
        <f t="shared" si="59"/>
        <v>Monetizar</v>
      </c>
      <c r="U99" s="239"/>
      <c r="V99" s="210">
        <v>45768</v>
      </c>
      <c r="W99" s="393" t="s">
        <v>275</v>
      </c>
      <c r="X99" s="393" t="s">
        <v>275</v>
      </c>
      <c r="Y99" s="393" t="s">
        <v>276</v>
      </c>
      <c r="Z99" s="211">
        <f t="shared" si="60"/>
        <v>47635566.129799999</v>
      </c>
      <c r="AA99" s="225">
        <f t="shared" si="66"/>
        <v>704497.98319999874</v>
      </c>
      <c r="AF99" s="112"/>
    </row>
    <row r="100" spans="2:32" outlineLevel="1">
      <c r="B100" s="125">
        <v>69</v>
      </c>
      <c r="C100" s="120" t="s">
        <v>299</v>
      </c>
      <c r="D100" s="153">
        <v>5837</v>
      </c>
      <c r="E100" s="126">
        <v>45765</v>
      </c>
      <c r="F100" s="126">
        <v>45825</v>
      </c>
      <c r="G100" s="126"/>
      <c r="H100" s="126"/>
      <c r="I100" s="126"/>
      <c r="J100" s="208">
        <f t="shared" ca="1" si="65"/>
        <v>0</v>
      </c>
      <c r="K100" s="134">
        <v>775.77</v>
      </c>
      <c r="L100" s="134">
        <v>775.77</v>
      </c>
      <c r="M100" s="129">
        <f t="shared" si="61"/>
        <v>0</v>
      </c>
      <c r="N100" s="130">
        <v>4049.24</v>
      </c>
      <c r="O100" s="130">
        <v>4253.5</v>
      </c>
      <c r="P100" s="168">
        <f t="shared" si="58"/>
        <v>204.26000000000022</v>
      </c>
      <c r="Q100" s="132">
        <f t="shared" si="62"/>
        <v>3141278.9147999999</v>
      </c>
      <c r="R100" s="132">
        <f t="shared" si="63"/>
        <v>3299737.6949999998</v>
      </c>
      <c r="S100" s="132">
        <f t="shared" si="64"/>
        <v>158458.78019999992</v>
      </c>
      <c r="T100" s="133" t="str">
        <f t="shared" si="59"/>
        <v>Monetizar</v>
      </c>
      <c r="U100" s="239"/>
      <c r="V100" s="210">
        <v>45768</v>
      </c>
      <c r="W100" s="393" t="s">
        <v>275</v>
      </c>
      <c r="X100" s="393" t="s">
        <v>275</v>
      </c>
      <c r="Y100" s="393" t="s">
        <v>276</v>
      </c>
      <c r="Z100" s="211">
        <f t="shared" si="60"/>
        <v>3299737.6949999998</v>
      </c>
      <c r="AA100" s="225">
        <f t="shared" si="66"/>
        <v>158458.78019999992</v>
      </c>
      <c r="AF100" s="112"/>
    </row>
    <row r="101" spans="2:32" outlineLevel="1">
      <c r="B101" s="125">
        <v>70</v>
      </c>
      <c r="C101" s="120" t="s">
        <v>278</v>
      </c>
      <c r="D101" s="153">
        <v>5859</v>
      </c>
      <c r="E101" s="126">
        <v>45768</v>
      </c>
      <c r="F101" s="126">
        <v>45828</v>
      </c>
      <c r="G101" s="126"/>
      <c r="H101" s="126"/>
      <c r="I101" s="126"/>
      <c r="J101" s="208">
        <f t="shared" ca="1" si="65"/>
        <v>0</v>
      </c>
      <c r="K101" s="134">
        <v>2410.6799999999998</v>
      </c>
      <c r="L101" s="134">
        <v>2410.6799999999998</v>
      </c>
      <c r="M101" s="129">
        <f t="shared" si="61"/>
        <v>0</v>
      </c>
      <c r="N101" s="130">
        <v>4186.17</v>
      </c>
      <c r="O101" s="130">
        <v>4273.91</v>
      </c>
      <c r="P101" s="168">
        <f t="shared" si="58"/>
        <v>87.739999999999782</v>
      </c>
      <c r="Q101" s="132">
        <f t="shared" si="62"/>
        <v>10091516.295599999</v>
      </c>
      <c r="R101" s="132">
        <f t="shared" si="63"/>
        <v>10303029.3588</v>
      </c>
      <c r="S101" s="132">
        <f t="shared" si="64"/>
        <v>211513.06320000067</v>
      </c>
      <c r="T101" s="133" t="str">
        <f t="shared" si="59"/>
        <v>Monetizar</v>
      </c>
      <c r="U101" s="239"/>
      <c r="V101" s="210">
        <v>45769</v>
      </c>
      <c r="W101" s="393" t="s">
        <v>275</v>
      </c>
      <c r="X101" s="393" t="s">
        <v>275</v>
      </c>
      <c r="Y101" s="393" t="s">
        <v>276</v>
      </c>
      <c r="Z101" s="211">
        <f t="shared" si="60"/>
        <v>10303029.3588</v>
      </c>
      <c r="AA101" s="225">
        <f t="shared" si="66"/>
        <v>211513.06320000067</v>
      </c>
      <c r="AF101" s="112"/>
    </row>
    <row r="102" spans="2:32" outlineLevel="1">
      <c r="B102" s="125">
        <v>71</v>
      </c>
      <c r="C102" s="120" t="s">
        <v>121</v>
      </c>
      <c r="D102" s="153">
        <v>5833</v>
      </c>
      <c r="E102" s="126">
        <v>45768</v>
      </c>
      <c r="F102" s="126">
        <v>45828</v>
      </c>
      <c r="G102" s="126"/>
      <c r="H102" s="126"/>
      <c r="I102" s="126"/>
      <c r="J102" s="208">
        <f t="shared" ca="1" si="65"/>
        <v>0</v>
      </c>
      <c r="K102" s="134">
        <f>7876.1-827.72</f>
        <v>7048.38</v>
      </c>
      <c r="L102" s="134">
        <v>7048.38</v>
      </c>
      <c r="M102" s="129">
        <f t="shared" si="61"/>
        <v>0</v>
      </c>
      <c r="N102" s="130">
        <v>3996.8</v>
      </c>
      <c r="O102" s="130">
        <v>4273.91</v>
      </c>
      <c r="P102" s="168">
        <f t="shared" ref="P102:P133" si="67">O102-N102</f>
        <v>277.10999999999967</v>
      </c>
      <c r="Q102" s="132">
        <f t="shared" si="62"/>
        <v>28170965.184</v>
      </c>
      <c r="R102" s="132">
        <f t="shared" si="63"/>
        <v>30124141.765799999</v>
      </c>
      <c r="S102" s="132">
        <f t="shared" si="64"/>
        <v>1953176.5817999989</v>
      </c>
      <c r="T102" s="133" t="str">
        <f t="shared" ref="T102:T133" si="68">IF(R102&lt;= Q102,"No Monetizar","Monetizar")</f>
        <v>Monetizar</v>
      </c>
      <c r="U102" s="239"/>
      <c r="V102" s="210">
        <v>45769</v>
      </c>
      <c r="W102" s="393" t="s">
        <v>275</v>
      </c>
      <c r="X102" s="393" t="s">
        <v>275</v>
      </c>
      <c r="Y102" s="393" t="s">
        <v>276</v>
      </c>
      <c r="Z102" s="211">
        <f t="shared" ref="Z102:Z133" si="69">K102*O102</f>
        <v>30124141.765799999</v>
      </c>
      <c r="AA102" s="225">
        <f t="shared" si="66"/>
        <v>1953176.5817999989</v>
      </c>
      <c r="AF102" s="112"/>
    </row>
    <row r="103" spans="2:32" outlineLevel="1">
      <c r="B103" s="125">
        <v>72</v>
      </c>
      <c r="C103" s="120" t="s">
        <v>291</v>
      </c>
      <c r="D103" s="121" t="s">
        <v>300</v>
      </c>
      <c r="E103" s="126">
        <v>45768</v>
      </c>
      <c r="F103" s="126">
        <v>45828</v>
      </c>
      <c r="G103" s="126"/>
      <c r="H103" s="126"/>
      <c r="I103" s="126"/>
      <c r="J103" s="208">
        <f t="shared" ca="1" si="65"/>
        <v>0</v>
      </c>
      <c r="K103" s="134">
        <v>22529.600000000002</v>
      </c>
      <c r="L103" s="134">
        <v>22514.6</v>
      </c>
      <c r="M103" s="129">
        <f t="shared" si="61"/>
        <v>15.000000000003638</v>
      </c>
      <c r="N103" s="130">
        <v>4170.01</v>
      </c>
      <c r="O103" s="130">
        <v>4278.2</v>
      </c>
      <c r="P103" s="168">
        <f t="shared" si="67"/>
        <v>108.1899999999996</v>
      </c>
      <c r="Q103" s="132">
        <f t="shared" si="62"/>
        <v>93948657.296000019</v>
      </c>
      <c r="R103" s="132">
        <f t="shared" si="63"/>
        <v>96321961.719999984</v>
      </c>
      <c r="S103" s="132">
        <f t="shared" si="64"/>
        <v>2373304.4239999652</v>
      </c>
      <c r="T103" s="133" t="str">
        <f t="shared" si="68"/>
        <v>Monetizar</v>
      </c>
      <c r="U103" s="239"/>
      <c r="V103" s="210">
        <v>45769</v>
      </c>
      <c r="W103" s="393" t="s">
        <v>275</v>
      </c>
      <c r="X103" s="393" t="s">
        <v>275</v>
      </c>
      <c r="Y103" s="393" t="s">
        <v>276</v>
      </c>
      <c r="Z103" s="211">
        <f t="shared" si="69"/>
        <v>96386134.719999999</v>
      </c>
      <c r="AA103" s="225">
        <f t="shared" si="66"/>
        <v>2437477.4239999801</v>
      </c>
      <c r="AF103" s="112"/>
    </row>
    <row r="104" spans="2:32" outlineLevel="1">
      <c r="B104" s="125">
        <v>73</v>
      </c>
      <c r="C104" s="120" t="s">
        <v>293</v>
      </c>
      <c r="D104" s="121" t="s">
        <v>301</v>
      </c>
      <c r="E104" s="126">
        <v>45768</v>
      </c>
      <c r="F104" s="126">
        <v>45828</v>
      </c>
      <c r="G104" s="126"/>
      <c r="H104" s="126"/>
      <c r="I104" s="126"/>
      <c r="J104" s="208">
        <f t="shared" ca="1" si="65"/>
        <v>0</v>
      </c>
      <c r="K104" s="134">
        <v>19607.61</v>
      </c>
      <c r="L104" s="134">
        <v>19607.61</v>
      </c>
      <c r="M104" s="129">
        <f t="shared" si="61"/>
        <v>0</v>
      </c>
      <c r="N104" s="130">
        <v>4170.01</v>
      </c>
      <c r="O104" s="130">
        <v>4278.2</v>
      </c>
      <c r="P104" s="168">
        <f t="shared" si="67"/>
        <v>108.1899999999996</v>
      </c>
      <c r="Q104" s="132">
        <f t="shared" si="62"/>
        <v>81763929.77610001</v>
      </c>
      <c r="R104" s="132">
        <f t="shared" si="63"/>
        <v>83885277.101999998</v>
      </c>
      <c r="S104" s="132">
        <f t="shared" si="64"/>
        <v>2121347.3258999884</v>
      </c>
      <c r="T104" s="133" t="str">
        <f t="shared" si="68"/>
        <v>Monetizar</v>
      </c>
      <c r="U104" s="239"/>
      <c r="V104" s="210">
        <v>45769</v>
      </c>
      <c r="W104" s="393" t="s">
        <v>275</v>
      </c>
      <c r="X104" s="393" t="s">
        <v>275</v>
      </c>
      <c r="Y104" s="393" t="s">
        <v>276</v>
      </c>
      <c r="Z104" s="211">
        <f t="shared" si="69"/>
        <v>83885277.101999998</v>
      </c>
      <c r="AA104" s="225">
        <f t="shared" si="66"/>
        <v>2121347.3258999884</v>
      </c>
      <c r="AF104" s="112"/>
    </row>
    <row r="105" spans="2:32" outlineLevel="1">
      <c r="B105" s="125">
        <v>74</v>
      </c>
      <c r="C105" s="120" t="s">
        <v>121</v>
      </c>
      <c r="D105" s="153">
        <v>5850</v>
      </c>
      <c r="E105" s="126">
        <v>45770</v>
      </c>
      <c r="F105" s="126">
        <v>45830</v>
      </c>
      <c r="G105" s="126"/>
      <c r="H105" s="126"/>
      <c r="I105" s="126"/>
      <c r="J105" s="208">
        <f t="shared" ca="1" si="65"/>
        <v>0</v>
      </c>
      <c r="K105" s="134">
        <v>198689.68</v>
      </c>
      <c r="L105" s="134">
        <v>198689.68</v>
      </c>
      <c r="M105" s="129">
        <f t="shared" si="61"/>
        <v>0</v>
      </c>
      <c r="N105" s="130">
        <v>4237</v>
      </c>
      <c r="O105" s="130">
        <v>4286.2</v>
      </c>
      <c r="P105" s="168">
        <f t="shared" si="67"/>
        <v>49.199999999999818</v>
      </c>
      <c r="Q105" s="132">
        <f t="shared" si="62"/>
        <v>841848174.15999997</v>
      </c>
      <c r="R105" s="132">
        <f t="shared" si="63"/>
        <v>851623706.41599989</v>
      </c>
      <c r="S105" s="132">
        <f t="shared" si="64"/>
        <v>9775532.2559999228</v>
      </c>
      <c r="T105" s="133" t="str">
        <f t="shared" si="68"/>
        <v>Monetizar</v>
      </c>
      <c r="U105" s="239"/>
      <c r="V105" s="210">
        <v>45770</v>
      </c>
      <c r="W105" s="393" t="s">
        <v>275</v>
      </c>
      <c r="X105" s="393" t="s">
        <v>275</v>
      </c>
      <c r="Y105" s="393" t="s">
        <v>276</v>
      </c>
      <c r="Z105" s="211">
        <f t="shared" si="69"/>
        <v>851623706.41599989</v>
      </c>
      <c r="AA105" s="225">
        <f t="shared" si="66"/>
        <v>9775532.2559999228</v>
      </c>
      <c r="AF105" s="112"/>
    </row>
    <row r="106" spans="2:32" outlineLevel="1">
      <c r="B106" s="125">
        <v>75</v>
      </c>
      <c r="C106" s="120" t="s">
        <v>279</v>
      </c>
      <c r="D106" s="153">
        <v>5861</v>
      </c>
      <c r="E106" s="126">
        <v>45771</v>
      </c>
      <c r="F106" s="126">
        <v>45831</v>
      </c>
      <c r="G106" s="126"/>
      <c r="H106" s="126"/>
      <c r="I106" s="126"/>
      <c r="J106" s="208">
        <f t="shared" ca="1" si="65"/>
        <v>0</v>
      </c>
      <c r="K106" s="134">
        <v>15658.81</v>
      </c>
      <c r="L106" s="134">
        <v>15643.81</v>
      </c>
      <c r="M106" s="129">
        <f t="shared" si="61"/>
        <v>15</v>
      </c>
      <c r="N106" s="130">
        <v>4186.17</v>
      </c>
      <c r="O106" s="130">
        <v>4250</v>
      </c>
      <c r="P106" s="168">
        <f t="shared" si="67"/>
        <v>63.829999999999927</v>
      </c>
      <c r="Q106" s="132">
        <f t="shared" si="62"/>
        <v>65550440.657700002</v>
      </c>
      <c r="R106" s="132">
        <f t="shared" si="63"/>
        <v>66486192.5</v>
      </c>
      <c r="S106" s="132">
        <f t="shared" si="64"/>
        <v>935751.84229999781</v>
      </c>
      <c r="T106" s="133" t="str">
        <f t="shared" si="68"/>
        <v>Monetizar</v>
      </c>
      <c r="U106" s="239"/>
      <c r="V106" s="210">
        <v>45771</v>
      </c>
      <c r="W106" s="393" t="s">
        <v>275</v>
      </c>
      <c r="X106" s="393" t="s">
        <v>275</v>
      </c>
      <c r="Y106" s="393" t="s">
        <v>276</v>
      </c>
      <c r="Z106" s="211">
        <f t="shared" si="69"/>
        <v>66549942.5</v>
      </c>
      <c r="AA106" s="225">
        <f t="shared" si="66"/>
        <v>999501.84229999781</v>
      </c>
      <c r="AF106" s="112"/>
    </row>
    <row r="107" spans="2:32" outlineLevel="1">
      <c r="B107" s="125">
        <v>76</v>
      </c>
      <c r="C107" s="120" t="s">
        <v>288</v>
      </c>
      <c r="D107" s="153">
        <v>5863</v>
      </c>
      <c r="E107" s="126">
        <v>45771</v>
      </c>
      <c r="F107" s="126">
        <v>45831</v>
      </c>
      <c r="G107" s="126"/>
      <c r="H107" s="126"/>
      <c r="I107" s="126"/>
      <c r="J107" s="208">
        <f t="shared" ca="1" si="65"/>
        <v>0</v>
      </c>
      <c r="K107" s="134">
        <v>21396.560000000001</v>
      </c>
      <c r="L107" s="134">
        <v>21350.560000000001</v>
      </c>
      <c r="M107" s="129">
        <f t="shared" si="61"/>
        <v>46</v>
      </c>
      <c r="N107" s="130">
        <v>4186.17</v>
      </c>
      <c r="O107" s="130">
        <v>4248.5</v>
      </c>
      <c r="P107" s="168">
        <f t="shared" si="67"/>
        <v>62.329999999999927</v>
      </c>
      <c r="Q107" s="132">
        <f t="shared" si="62"/>
        <v>89569637.575200006</v>
      </c>
      <c r="R107" s="132">
        <f t="shared" si="63"/>
        <v>90707854.160000011</v>
      </c>
      <c r="S107" s="132">
        <f t="shared" si="64"/>
        <v>1138216.584800005</v>
      </c>
      <c r="T107" s="133" t="str">
        <f t="shared" si="68"/>
        <v>Monetizar</v>
      </c>
      <c r="U107" s="239"/>
      <c r="V107" s="210">
        <v>45771</v>
      </c>
      <c r="W107" s="393" t="s">
        <v>275</v>
      </c>
      <c r="X107" s="393" t="s">
        <v>275</v>
      </c>
      <c r="Y107" s="393" t="s">
        <v>276</v>
      </c>
      <c r="Z107" s="211">
        <f t="shared" si="69"/>
        <v>90903285.160000011</v>
      </c>
      <c r="AA107" s="225">
        <f t="shared" si="66"/>
        <v>1333647.584800005</v>
      </c>
      <c r="AF107" s="112"/>
    </row>
    <row r="108" spans="2:32" ht="30" outlineLevel="1">
      <c r="B108" s="125">
        <v>77</v>
      </c>
      <c r="C108" s="120" t="s">
        <v>284</v>
      </c>
      <c r="D108" s="153">
        <v>5867</v>
      </c>
      <c r="E108" s="126">
        <v>45772</v>
      </c>
      <c r="F108" s="126">
        <v>45832</v>
      </c>
      <c r="G108" s="126"/>
      <c r="H108" s="126"/>
      <c r="I108" s="126"/>
      <c r="J108" s="208">
        <f t="shared" ca="1" si="65"/>
        <v>0</v>
      </c>
      <c r="K108" s="134">
        <v>11703.3</v>
      </c>
      <c r="L108" s="134">
        <v>11703.24</v>
      </c>
      <c r="M108" s="129">
        <f t="shared" si="61"/>
        <v>5.9999999999490683E-2</v>
      </c>
      <c r="N108" s="130">
        <v>4186.17</v>
      </c>
      <c r="O108" s="130">
        <v>4225</v>
      </c>
      <c r="P108" s="168">
        <f t="shared" si="67"/>
        <v>38.829999999999927</v>
      </c>
      <c r="Q108" s="132">
        <f t="shared" si="62"/>
        <v>48992003.361000001</v>
      </c>
      <c r="R108" s="132">
        <f t="shared" si="63"/>
        <v>49446189</v>
      </c>
      <c r="S108" s="132">
        <f t="shared" si="64"/>
        <v>454185.63899999857</v>
      </c>
      <c r="T108" s="133" t="str">
        <f t="shared" si="68"/>
        <v>Monetizar</v>
      </c>
      <c r="U108" s="239"/>
      <c r="V108" s="210">
        <v>45775</v>
      </c>
      <c r="W108" s="393" t="s">
        <v>275</v>
      </c>
      <c r="X108" s="393" t="s">
        <v>275</v>
      </c>
      <c r="Y108" s="393" t="s">
        <v>276</v>
      </c>
      <c r="Z108" s="211">
        <f t="shared" si="69"/>
        <v>49446442.5</v>
      </c>
      <c r="AA108" s="225">
        <f t="shared" si="66"/>
        <v>454439.13899999857</v>
      </c>
      <c r="AF108" s="112"/>
    </row>
    <row r="109" spans="2:32" outlineLevel="1">
      <c r="B109" s="125">
        <v>78</v>
      </c>
      <c r="C109" s="120" t="s">
        <v>265</v>
      </c>
      <c r="D109" s="153">
        <v>5868</v>
      </c>
      <c r="E109" s="126">
        <v>45777</v>
      </c>
      <c r="F109" s="126">
        <v>45837</v>
      </c>
      <c r="G109" s="126"/>
      <c r="H109" s="126"/>
      <c r="I109" s="126"/>
      <c r="J109" s="208">
        <f t="shared" ca="1" si="65"/>
        <v>0</v>
      </c>
      <c r="K109" s="134">
        <v>28973.84</v>
      </c>
      <c r="L109" s="134">
        <v>28973.84</v>
      </c>
      <c r="M109" s="129">
        <f t="shared" si="61"/>
        <v>0</v>
      </c>
      <c r="N109" s="130">
        <v>4186.17</v>
      </c>
      <c r="O109" s="130">
        <v>4208.5</v>
      </c>
      <c r="P109" s="168">
        <f t="shared" si="67"/>
        <v>22.329999999999927</v>
      </c>
      <c r="Q109" s="132">
        <f t="shared" si="62"/>
        <v>121289419.79280001</v>
      </c>
      <c r="R109" s="132">
        <f t="shared" si="63"/>
        <v>121936405.64</v>
      </c>
      <c r="S109" s="132">
        <f t="shared" si="64"/>
        <v>646985.84719999135</v>
      </c>
      <c r="T109" s="133" t="str">
        <f t="shared" si="68"/>
        <v>Monetizar</v>
      </c>
      <c r="U109" s="239"/>
      <c r="V109" s="210">
        <v>45775</v>
      </c>
      <c r="W109" s="393" t="s">
        <v>275</v>
      </c>
      <c r="X109" s="393" t="s">
        <v>275</v>
      </c>
      <c r="Y109" s="393" t="s">
        <v>276</v>
      </c>
      <c r="Z109" s="211">
        <f t="shared" si="69"/>
        <v>121936405.64</v>
      </c>
      <c r="AA109" s="225">
        <f t="shared" si="66"/>
        <v>646985.84719999135</v>
      </c>
      <c r="AF109" s="112"/>
    </row>
    <row r="110" spans="2:32" outlineLevel="1">
      <c r="B110" s="125">
        <v>79</v>
      </c>
      <c r="C110" s="120" t="s">
        <v>117</v>
      </c>
      <c r="D110" s="153">
        <v>5905</v>
      </c>
      <c r="E110" s="126">
        <v>45782</v>
      </c>
      <c r="F110" s="126">
        <v>45839</v>
      </c>
      <c r="G110" s="126"/>
      <c r="H110" s="126"/>
      <c r="I110" s="126"/>
      <c r="J110" s="208">
        <f t="shared" ca="1" si="65"/>
        <v>0</v>
      </c>
      <c r="K110" s="134">
        <v>124104.3</v>
      </c>
      <c r="L110" s="134">
        <v>124089.3</v>
      </c>
      <c r="M110" s="129">
        <f t="shared" si="61"/>
        <v>15</v>
      </c>
      <c r="N110" s="130">
        <v>4164.57</v>
      </c>
      <c r="O110" s="130">
        <v>4236.1000000000004</v>
      </c>
      <c r="P110" s="168">
        <f t="shared" si="67"/>
        <v>71.530000000000655</v>
      </c>
      <c r="Q110" s="132">
        <f t="shared" si="62"/>
        <v>516841044.65099996</v>
      </c>
      <c r="R110" s="132">
        <f t="shared" si="63"/>
        <v>525654683.73000008</v>
      </c>
      <c r="S110" s="132">
        <f t="shared" si="64"/>
        <v>8813639.0790001154</v>
      </c>
      <c r="T110" s="133" t="str">
        <f t="shared" si="68"/>
        <v>Monetizar</v>
      </c>
      <c r="U110" s="239"/>
      <c r="V110" s="210">
        <v>45779</v>
      </c>
      <c r="W110" s="393" t="s">
        <v>275</v>
      </c>
      <c r="X110" s="393" t="s">
        <v>275</v>
      </c>
      <c r="Y110" s="393" t="s">
        <v>276</v>
      </c>
      <c r="Z110" s="211">
        <f t="shared" si="69"/>
        <v>525718225.23000008</v>
      </c>
      <c r="AA110" s="225">
        <f t="shared" si="66"/>
        <v>8877180.5790001154</v>
      </c>
      <c r="AF110" s="112"/>
    </row>
    <row r="111" spans="2:32" outlineLevel="1">
      <c r="B111" s="125">
        <v>80</v>
      </c>
      <c r="C111" s="120" t="s">
        <v>117</v>
      </c>
      <c r="D111" s="153">
        <v>5900</v>
      </c>
      <c r="E111" s="126">
        <v>45777</v>
      </c>
      <c r="F111" s="126">
        <v>45837</v>
      </c>
      <c r="G111" s="126"/>
      <c r="H111" s="126"/>
      <c r="I111" s="126"/>
      <c r="J111" s="208">
        <f t="shared" ca="1" si="65"/>
        <v>0</v>
      </c>
      <c r="K111" s="134">
        <v>337.29</v>
      </c>
      <c r="L111" s="128">
        <v>337.29</v>
      </c>
      <c r="M111" s="129">
        <f t="shared" si="61"/>
        <v>0</v>
      </c>
      <c r="N111" s="130">
        <v>4164.57</v>
      </c>
      <c r="O111" s="130">
        <v>4236.1000000000004</v>
      </c>
      <c r="P111" s="168">
        <f t="shared" si="67"/>
        <v>71.530000000000655</v>
      </c>
      <c r="Q111" s="132">
        <f t="shared" si="62"/>
        <v>1404667.8152999999</v>
      </c>
      <c r="R111" s="132">
        <f t="shared" si="63"/>
        <v>1428794.1690000002</v>
      </c>
      <c r="S111" s="132">
        <f t="shared" si="64"/>
        <v>24126.353700000327</v>
      </c>
      <c r="T111" s="133" t="str">
        <f t="shared" si="68"/>
        <v>Monetizar</v>
      </c>
      <c r="U111" s="239"/>
      <c r="V111" s="210">
        <v>45779</v>
      </c>
      <c r="W111" s="393" t="s">
        <v>275</v>
      </c>
      <c r="X111" s="393" t="s">
        <v>275</v>
      </c>
      <c r="Y111" s="393" t="s">
        <v>276</v>
      </c>
      <c r="Z111" s="211">
        <f t="shared" si="69"/>
        <v>1428794.1690000002</v>
      </c>
      <c r="AA111" s="225">
        <f t="shared" si="66"/>
        <v>24126.353700000327</v>
      </c>
      <c r="AF111" s="112"/>
    </row>
    <row r="112" spans="2:32" outlineLevel="1">
      <c r="B112" s="125">
        <v>81</v>
      </c>
      <c r="C112" s="120" t="s">
        <v>277</v>
      </c>
      <c r="D112" s="153">
        <v>5884</v>
      </c>
      <c r="E112" s="126">
        <v>45776</v>
      </c>
      <c r="F112" s="126">
        <v>45836</v>
      </c>
      <c r="G112" s="126"/>
      <c r="H112" s="126"/>
      <c r="I112" s="126"/>
      <c r="J112" s="208">
        <f t="shared" ca="1" si="65"/>
        <v>0</v>
      </c>
      <c r="K112" s="134">
        <v>4875.8100000000004</v>
      </c>
      <c r="L112" s="134">
        <v>4752.6427549394039</v>
      </c>
      <c r="M112" s="129">
        <f t="shared" si="61"/>
        <v>123.16724506059654</v>
      </c>
      <c r="N112" s="130">
        <v>4237.9799999999996</v>
      </c>
      <c r="O112" s="130">
        <v>4241</v>
      </c>
      <c r="P112" s="168">
        <f t="shared" si="67"/>
        <v>3.0200000000004366</v>
      </c>
      <c r="Q112" s="132">
        <f t="shared" si="62"/>
        <v>20663585.263799999</v>
      </c>
      <c r="R112" s="132">
        <f t="shared" si="63"/>
        <v>20155957.923698012</v>
      </c>
      <c r="S112" s="132">
        <f t="shared" si="64"/>
        <v>-507627.34010198712</v>
      </c>
      <c r="T112" s="133" t="str">
        <f t="shared" si="68"/>
        <v>No Monetizar</v>
      </c>
      <c r="U112" s="209"/>
      <c r="V112" s="210">
        <v>45782</v>
      </c>
      <c r="W112" s="393" t="s">
        <v>275</v>
      </c>
      <c r="X112" s="393" t="s">
        <v>275</v>
      </c>
      <c r="Y112" s="393" t="s">
        <v>276</v>
      </c>
      <c r="Z112" s="211">
        <f t="shared" si="69"/>
        <v>20678310.210000001</v>
      </c>
      <c r="AA112" s="225">
        <f t="shared" si="66"/>
        <v>14724.946200001985</v>
      </c>
      <c r="AF112" s="112"/>
    </row>
    <row r="113" spans="2:32 16381:16383" outlineLevel="1">
      <c r="B113" s="125">
        <v>82</v>
      </c>
      <c r="C113" s="120" t="s">
        <v>277</v>
      </c>
      <c r="D113" s="153">
        <v>5885</v>
      </c>
      <c r="E113" s="126">
        <v>45776</v>
      </c>
      <c r="F113" s="126">
        <v>45836</v>
      </c>
      <c r="G113" s="126"/>
      <c r="H113" s="126"/>
      <c r="I113" s="126"/>
      <c r="J113" s="208">
        <f t="shared" ca="1" si="65"/>
        <v>0</v>
      </c>
      <c r="K113" s="134">
        <v>777.2</v>
      </c>
      <c r="L113" s="134">
        <v>757.56724506059606</v>
      </c>
      <c r="M113" s="129">
        <f t="shared" si="61"/>
        <v>19.632754939403981</v>
      </c>
      <c r="N113" s="130">
        <v>4237.9799999999996</v>
      </c>
      <c r="O113" s="130">
        <v>4241</v>
      </c>
      <c r="P113" s="168">
        <f t="shared" si="67"/>
        <v>3.0200000000004366</v>
      </c>
      <c r="Q113" s="132">
        <f t="shared" si="62"/>
        <v>3293758.0559999999</v>
      </c>
      <c r="R113" s="132">
        <f t="shared" si="63"/>
        <v>3212842.6863019881</v>
      </c>
      <c r="S113" s="132">
        <f t="shared" si="64"/>
        <v>-80915.369698011782</v>
      </c>
      <c r="T113" s="133" t="str">
        <f t="shared" si="68"/>
        <v>No Monetizar</v>
      </c>
      <c r="U113" s="239"/>
      <c r="V113" s="210">
        <v>45782</v>
      </c>
      <c r="W113" s="393" t="s">
        <v>275</v>
      </c>
      <c r="X113" s="393" t="s">
        <v>275</v>
      </c>
      <c r="Y113" s="393" t="s">
        <v>276</v>
      </c>
      <c r="Z113" s="211">
        <f t="shared" si="69"/>
        <v>3296105.2</v>
      </c>
      <c r="AA113" s="225">
        <f t="shared" si="66"/>
        <v>2347.1440000003204</v>
      </c>
      <c r="AF113" s="112"/>
    </row>
    <row r="114" spans="2:32 16381:16383" outlineLevel="1">
      <c r="B114" s="125">
        <v>83</v>
      </c>
      <c r="C114" s="120" t="s">
        <v>302</v>
      </c>
      <c r="D114" s="153" t="s">
        <v>38</v>
      </c>
      <c r="E114" s="126">
        <v>45782</v>
      </c>
      <c r="F114" s="126">
        <v>45842</v>
      </c>
      <c r="G114" s="126"/>
      <c r="H114" s="126"/>
      <c r="I114" s="126"/>
      <c r="J114" s="208">
        <f t="shared" ca="1" si="65"/>
        <v>0</v>
      </c>
      <c r="K114" s="134">
        <v>14154.974361905579</v>
      </c>
      <c r="L114" s="134">
        <v>13921.4</v>
      </c>
      <c r="M114" s="129">
        <f>K114-L114+30</f>
        <v>263.57436190557928</v>
      </c>
      <c r="N114" s="130">
        <v>4198.83</v>
      </c>
      <c r="O114" s="130">
        <v>4277.79</v>
      </c>
      <c r="P114" s="168">
        <f t="shared" si="67"/>
        <v>78.960000000000036</v>
      </c>
      <c r="Q114" s="132">
        <f t="shared" si="62"/>
        <v>59434331</v>
      </c>
      <c r="R114" s="132">
        <f t="shared" si="63"/>
        <v>59552825.706</v>
      </c>
      <c r="S114" s="132">
        <f t="shared" si="64"/>
        <v>118494.70600000024</v>
      </c>
      <c r="T114" s="133" t="str">
        <f t="shared" si="68"/>
        <v>Monetizar</v>
      </c>
      <c r="U114" s="239"/>
      <c r="V114" s="210">
        <v>45783</v>
      </c>
      <c r="W114" s="393" t="s">
        <v>275</v>
      </c>
      <c r="X114" s="393" t="s">
        <v>275</v>
      </c>
      <c r="Y114" s="393" t="s">
        <v>276</v>
      </c>
      <c r="Z114" s="211">
        <f t="shared" si="69"/>
        <v>60552007.775616065</v>
      </c>
      <c r="AA114" s="225">
        <f t="shared" si="66"/>
        <v>1117676.7756160647</v>
      </c>
      <c r="AF114" s="112"/>
    </row>
    <row r="115" spans="2:32 16381:16383" outlineLevel="1">
      <c r="B115" s="125">
        <v>84</v>
      </c>
      <c r="C115" s="120" t="s">
        <v>264</v>
      </c>
      <c r="D115" s="153">
        <v>5739</v>
      </c>
      <c r="E115" s="126">
        <v>45786</v>
      </c>
      <c r="F115" s="126">
        <v>45846</v>
      </c>
      <c r="G115" s="126"/>
      <c r="H115" s="126"/>
      <c r="I115" s="126"/>
      <c r="J115" s="208">
        <f t="shared" ca="1" si="65"/>
        <v>0</v>
      </c>
      <c r="K115" s="134">
        <v>650</v>
      </c>
      <c r="L115" s="134">
        <v>645</v>
      </c>
      <c r="M115" s="129">
        <f t="shared" ref="M115:M146" si="70">K115-L115</f>
        <v>5</v>
      </c>
      <c r="N115" s="130">
        <v>4123.1000000000004</v>
      </c>
      <c r="O115" s="130">
        <v>4217.5</v>
      </c>
      <c r="P115" s="168">
        <f t="shared" si="67"/>
        <v>94.399999999999636</v>
      </c>
      <c r="Q115" s="132">
        <f t="shared" ref="Q115:Q146" si="71">K115*N115</f>
        <v>2680015.0000000005</v>
      </c>
      <c r="R115" s="132">
        <f t="shared" si="63"/>
        <v>2720287.5</v>
      </c>
      <c r="S115" s="132">
        <f t="shared" si="64"/>
        <v>40272.499999999534</v>
      </c>
      <c r="T115" s="133" t="str">
        <f t="shared" si="68"/>
        <v>Monetizar</v>
      </c>
      <c r="U115" s="239"/>
      <c r="V115" s="210">
        <v>45786</v>
      </c>
      <c r="W115" s="393" t="s">
        <v>275</v>
      </c>
      <c r="X115" s="393" t="s">
        <v>275</v>
      </c>
      <c r="Y115" s="393" t="s">
        <v>276</v>
      </c>
      <c r="Z115" s="132">
        <f t="shared" si="69"/>
        <v>2741375</v>
      </c>
      <c r="AA115" s="225">
        <f t="shared" si="66"/>
        <v>61359.999999999534</v>
      </c>
      <c r="AF115" s="112"/>
    </row>
    <row r="116" spans="2:32 16381:16383" outlineLevel="1">
      <c r="B116" s="125">
        <v>85</v>
      </c>
      <c r="C116" s="120" t="s">
        <v>264</v>
      </c>
      <c r="D116" s="153">
        <v>5785</v>
      </c>
      <c r="E116" s="126">
        <v>45786</v>
      </c>
      <c r="F116" s="126">
        <v>45846</v>
      </c>
      <c r="G116" s="126"/>
      <c r="H116" s="126"/>
      <c r="I116" s="126"/>
      <c r="J116" s="208">
        <f t="shared" ca="1" si="65"/>
        <v>0</v>
      </c>
      <c r="K116" s="134">
        <v>286.75</v>
      </c>
      <c r="L116" s="134">
        <v>286.75</v>
      </c>
      <c r="M116" s="129">
        <f t="shared" si="70"/>
        <v>0</v>
      </c>
      <c r="N116" s="130">
        <v>4102.67</v>
      </c>
      <c r="O116" s="130">
        <v>4217.5</v>
      </c>
      <c r="P116" s="168">
        <f t="shared" si="67"/>
        <v>114.82999999999993</v>
      </c>
      <c r="Q116" s="132">
        <f t="shared" si="71"/>
        <v>1176440.6225000001</v>
      </c>
      <c r="R116" s="132">
        <f t="shared" ref="R116:R147" si="72">L116*O116</f>
        <v>1209368.125</v>
      </c>
      <c r="S116" s="132">
        <f t="shared" si="64"/>
        <v>32927.502499999944</v>
      </c>
      <c r="T116" s="133" t="str">
        <f t="shared" si="68"/>
        <v>Monetizar</v>
      </c>
      <c r="U116" s="239"/>
      <c r="V116" s="210">
        <v>45786</v>
      </c>
      <c r="W116" s="393" t="s">
        <v>275</v>
      </c>
      <c r="X116" s="393" t="s">
        <v>275</v>
      </c>
      <c r="Y116" s="393" t="s">
        <v>276</v>
      </c>
      <c r="Z116" s="132">
        <f t="shared" si="69"/>
        <v>1209368.125</v>
      </c>
      <c r="AA116" s="225">
        <f t="shared" si="66"/>
        <v>32927.502499999944</v>
      </c>
      <c r="AF116" s="112"/>
    </row>
    <row r="117" spans="2:32 16381:16383" outlineLevel="1">
      <c r="B117" s="125">
        <v>86</v>
      </c>
      <c r="C117" s="120" t="s">
        <v>303</v>
      </c>
      <c r="D117" s="153">
        <v>5944</v>
      </c>
      <c r="E117" s="126">
        <v>45797</v>
      </c>
      <c r="F117" s="126">
        <v>45857</v>
      </c>
      <c r="G117" s="126"/>
      <c r="H117" s="126"/>
      <c r="I117" s="126"/>
      <c r="J117" s="208">
        <f t="shared" ca="1" si="65"/>
        <v>0</v>
      </c>
      <c r="K117" s="134">
        <v>3176.19</v>
      </c>
      <c r="L117" s="134">
        <v>3176.19</v>
      </c>
      <c r="M117" s="129">
        <f t="shared" si="70"/>
        <v>0</v>
      </c>
      <c r="N117" s="130">
        <v>4108.6000000000004</v>
      </c>
      <c r="O117" s="130">
        <v>4158</v>
      </c>
      <c r="P117" s="168">
        <f t="shared" si="67"/>
        <v>49.399999999999636</v>
      </c>
      <c r="Q117" s="132">
        <f t="shared" si="71"/>
        <v>13049694.234000001</v>
      </c>
      <c r="R117" s="132">
        <f t="shared" si="72"/>
        <v>13206598.02</v>
      </c>
      <c r="S117" s="132">
        <f t="shared" si="64"/>
        <v>156903.78599999845</v>
      </c>
      <c r="T117" s="133" t="str">
        <f t="shared" si="68"/>
        <v>Monetizar</v>
      </c>
      <c r="U117" s="239"/>
      <c r="V117" s="210">
        <v>45797</v>
      </c>
      <c r="W117" s="393" t="s">
        <v>275</v>
      </c>
      <c r="X117" s="393" t="s">
        <v>275</v>
      </c>
      <c r="Y117" s="393" t="s">
        <v>276</v>
      </c>
      <c r="Z117" s="211">
        <f t="shared" si="69"/>
        <v>13206598.02</v>
      </c>
      <c r="AA117" s="225">
        <f t="shared" si="66"/>
        <v>156903.78599999845</v>
      </c>
      <c r="AF117" s="112"/>
    </row>
    <row r="118" spans="2:32 16381:16383" outlineLevel="1">
      <c r="B118" s="125">
        <v>87</v>
      </c>
      <c r="C118" s="120" t="s">
        <v>278</v>
      </c>
      <c r="D118" s="153">
        <v>5946</v>
      </c>
      <c r="E118" s="126">
        <v>45797</v>
      </c>
      <c r="F118" s="126">
        <v>45857</v>
      </c>
      <c r="G118" s="126"/>
      <c r="H118" s="126"/>
      <c r="I118" s="127"/>
      <c r="J118" s="208">
        <f t="shared" ca="1" si="65"/>
        <v>0</v>
      </c>
      <c r="K118" s="134">
        <v>2489.1999999999998</v>
      </c>
      <c r="L118" s="134">
        <v>2489.1999999999998</v>
      </c>
      <c r="M118" s="129">
        <f t="shared" si="70"/>
        <v>0</v>
      </c>
      <c r="N118" s="130">
        <v>4108.6000000000004</v>
      </c>
      <c r="O118" s="130">
        <v>4158.5</v>
      </c>
      <c r="P118" s="168">
        <f t="shared" si="67"/>
        <v>49.899999999999636</v>
      </c>
      <c r="Q118" s="132">
        <f t="shared" si="71"/>
        <v>10227127.120000001</v>
      </c>
      <c r="R118" s="132">
        <f t="shared" si="72"/>
        <v>10351338.199999999</v>
      </c>
      <c r="S118" s="132">
        <f t="shared" si="64"/>
        <v>124211.07999999821</v>
      </c>
      <c r="T118" s="133" t="str">
        <f t="shared" si="68"/>
        <v>Monetizar</v>
      </c>
      <c r="U118" s="239"/>
      <c r="V118" s="210">
        <v>45798</v>
      </c>
      <c r="W118" s="393" t="s">
        <v>275</v>
      </c>
      <c r="X118" s="393" t="s">
        <v>275</v>
      </c>
      <c r="Y118" s="393" t="s">
        <v>276</v>
      </c>
      <c r="Z118" s="211">
        <f t="shared" si="69"/>
        <v>10351338.199999999</v>
      </c>
      <c r="AA118" s="225">
        <f t="shared" si="66"/>
        <v>124211.07999999821</v>
      </c>
      <c r="AF118" s="112"/>
    </row>
    <row r="119" spans="2:32 16381:16383" outlineLevel="1">
      <c r="B119" s="125">
        <v>88</v>
      </c>
      <c r="C119" s="120" t="s">
        <v>279</v>
      </c>
      <c r="D119" s="153">
        <v>5948</v>
      </c>
      <c r="E119" s="126">
        <v>45799</v>
      </c>
      <c r="F119" s="126">
        <v>45859</v>
      </c>
      <c r="G119" s="126"/>
      <c r="H119" s="126"/>
      <c r="I119" s="126"/>
      <c r="J119" s="208">
        <f t="shared" ca="1" si="65"/>
        <v>0</v>
      </c>
      <c r="K119" s="134">
        <v>13845.93</v>
      </c>
      <c r="L119" s="134">
        <v>13830.93</v>
      </c>
      <c r="M119" s="129">
        <f t="shared" si="70"/>
        <v>15</v>
      </c>
      <c r="N119" s="130">
        <v>4118.6000000000004</v>
      </c>
      <c r="O119" s="130">
        <v>4163.05</v>
      </c>
      <c r="P119" s="168">
        <f t="shared" si="67"/>
        <v>44.449999999999818</v>
      </c>
      <c r="Q119" s="132">
        <f t="shared" si="71"/>
        <v>57025847.298000008</v>
      </c>
      <c r="R119" s="132">
        <f t="shared" si="72"/>
        <v>57578853.136500001</v>
      </c>
      <c r="S119" s="132">
        <f t="shared" si="64"/>
        <v>553005.83849999309</v>
      </c>
      <c r="T119" s="133" t="str">
        <f t="shared" si="68"/>
        <v>Monetizar</v>
      </c>
      <c r="U119" s="239"/>
      <c r="V119" s="210">
        <v>45799</v>
      </c>
      <c r="W119" s="393" t="s">
        <v>275</v>
      </c>
      <c r="X119" s="393" t="s">
        <v>275</v>
      </c>
      <c r="Y119" s="393" t="s">
        <v>276</v>
      </c>
      <c r="Z119" s="211">
        <f t="shared" si="69"/>
        <v>57641298.886500001</v>
      </c>
      <c r="AA119" s="225">
        <f t="shared" si="66"/>
        <v>615451.58849999309</v>
      </c>
      <c r="AF119" s="112"/>
    </row>
    <row r="120" spans="2:32 16381:16383" outlineLevel="1">
      <c r="B120" s="125">
        <v>89</v>
      </c>
      <c r="C120" s="120" t="s">
        <v>288</v>
      </c>
      <c r="D120" s="153">
        <v>5950</v>
      </c>
      <c r="E120" s="126">
        <v>45800</v>
      </c>
      <c r="F120" s="126">
        <v>45860</v>
      </c>
      <c r="G120" s="126"/>
      <c r="H120" s="126"/>
      <c r="I120" s="126"/>
      <c r="J120" s="208">
        <f t="shared" ca="1" si="65"/>
        <v>0</v>
      </c>
      <c r="K120" s="134">
        <v>21960</v>
      </c>
      <c r="L120" s="134">
        <v>21914.26</v>
      </c>
      <c r="M120" s="129">
        <f t="shared" si="70"/>
        <v>45.740000000001601</v>
      </c>
      <c r="N120" s="130">
        <v>4098.6000000000004</v>
      </c>
      <c r="O120" s="130">
        <v>4150.5</v>
      </c>
      <c r="P120" s="168">
        <f t="shared" si="67"/>
        <v>51.899999999999636</v>
      </c>
      <c r="Q120" s="132">
        <f t="shared" si="71"/>
        <v>90005256.000000015</v>
      </c>
      <c r="R120" s="132">
        <f t="shared" si="72"/>
        <v>90955136.129999995</v>
      </c>
      <c r="S120" s="132">
        <f t="shared" ref="S120:S151" si="73">R120-Q120</f>
        <v>949880.12999998033</v>
      </c>
      <c r="T120" s="133" t="str">
        <f t="shared" si="68"/>
        <v>Monetizar</v>
      </c>
      <c r="U120" s="239"/>
      <c r="V120" s="210">
        <v>45800</v>
      </c>
      <c r="W120" s="393" t="s">
        <v>275</v>
      </c>
      <c r="X120" s="393" t="s">
        <v>275</v>
      </c>
      <c r="Y120" s="393" t="s">
        <v>276</v>
      </c>
      <c r="Z120" s="211">
        <f t="shared" si="69"/>
        <v>91144980</v>
      </c>
      <c r="AA120" s="225">
        <f t="shared" si="66"/>
        <v>1139723.9999999851</v>
      </c>
      <c r="AF120" s="112"/>
    </row>
    <row r="121" spans="2:32 16381:16383" outlineLevel="1">
      <c r="B121" s="125">
        <v>90</v>
      </c>
      <c r="C121" s="120" t="s">
        <v>304</v>
      </c>
      <c r="D121" s="153" t="s">
        <v>305</v>
      </c>
      <c r="E121" s="126">
        <v>45800</v>
      </c>
      <c r="F121" s="126">
        <v>45860</v>
      </c>
      <c r="G121" s="126"/>
      <c r="H121" s="126"/>
      <c r="I121" s="126"/>
      <c r="J121" s="208">
        <f t="shared" ca="1" si="65"/>
        <v>0</v>
      </c>
      <c r="K121" s="134">
        <v>12054.49</v>
      </c>
      <c r="L121" s="134">
        <v>12039.49</v>
      </c>
      <c r="M121" s="129">
        <f t="shared" si="70"/>
        <v>15</v>
      </c>
      <c r="N121" s="130">
        <v>4120.1099999999997</v>
      </c>
      <c r="O121" s="130">
        <v>4150.5</v>
      </c>
      <c r="P121" s="168">
        <f t="shared" si="67"/>
        <v>30.390000000000327</v>
      </c>
      <c r="Q121" s="132">
        <f t="shared" si="71"/>
        <v>49665824.793899998</v>
      </c>
      <c r="R121" s="132">
        <f t="shared" si="72"/>
        <v>49969903.244999997</v>
      </c>
      <c r="S121" s="132">
        <f t="shared" si="73"/>
        <v>304078.45109999925</v>
      </c>
      <c r="T121" s="133" t="str">
        <f t="shared" si="68"/>
        <v>Monetizar</v>
      </c>
      <c r="U121" s="239"/>
      <c r="V121" s="210">
        <v>45800</v>
      </c>
      <c r="W121" s="393" t="s">
        <v>275</v>
      </c>
      <c r="X121" s="393" t="s">
        <v>275</v>
      </c>
      <c r="Y121" s="393" t="s">
        <v>276</v>
      </c>
      <c r="Z121" s="211">
        <f t="shared" si="69"/>
        <v>50032160.744999997</v>
      </c>
      <c r="AA121" s="225">
        <f t="shared" si="66"/>
        <v>366335.95109999925</v>
      </c>
      <c r="AF121" s="112"/>
    </row>
    <row r="122" spans="2:32 16381:16383" outlineLevel="1">
      <c r="B122" s="125">
        <v>91</v>
      </c>
      <c r="C122" s="120" t="s">
        <v>306</v>
      </c>
      <c r="D122" s="153" t="s">
        <v>307</v>
      </c>
      <c r="E122" s="126">
        <v>45800</v>
      </c>
      <c r="F122" s="126">
        <v>45860</v>
      </c>
      <c r="G122" s="126"/>
      <c r="H122" s="126"/>
      <c r="I122" s="126"/>
      <c r="J122" s="208">
        <f t="shared" ca="1" si="65"/>
        <v>0</v>
      </c>
      <c r="K122" s="134">
        <v>9806.32</v>
      </c>
      <c r="L122" s="134">
        <v>9806.32</v>
      </c>
      <c r="M122" s="129">
        <f t="shared" si="70"/>
        <v>0</v>
      </c>
      <c r="N122" s="130">
        <v>4120.1099999999997</v>
      </c>
      <c r="O122" s="130">
        <v>4150.5</v>
      </c>
      <c r="P122" s="168">
        <f t="shared" si="67"/>
        <v>30.390000000000327</v>
      </c>
      <c r="Q122" s="132">
        <f t="shared" si="71"/>
        <v>40403117.095199995</v>
      </c>
      <c r="R122" s="132">
        <f t="shared" si="72"/>
        <v>40701131.159999996</v>
      </c>
      <c r="S122" s="132">
        <f t="shared" si="73"/>
        <v>298014.06480000168</v>
      </c>
      <c r="T122" s="133" t="str">
        <f t="shared" si="68"/>
        <v>Monetizar</v>
      </c>
      <c r="U122" s="239"/>
      <c r="V122" s="210">
        <v>45800</v>
      </c>
      <c r="W122" s="393" t="s">
        <v>275</v>
      </c>
      <c r="X122" s="393" t="s">
        <v>275</v>
      </c>
      <c r="Y122" s="393" t="s">
        <v>276</v>
      </c>
      <c r="Z122" s="211">
        <f t="shared" si="69"/>
        <v>40701131.159999996</v>
      </c>
      <c r="AA122" s="225">
        <f t="shared" si="66"/>
        <v>298014.06480000168</v>
      </c>
      <c r="AF122" s="112"/>
    </row>
    <row r="123" spans="2:32 16381:16383" outlineLevel="1">
      <c r="B123" s="125">
        <v>92</v>
      </c>
      <c r="C123" s="120" t="s">
        <v>306</v>
      </c>
      <c r="D123" s="153">
        <v>5707</v>
      </c>
      <c r="E123" s="126">
        <v>45800</v>
      </c>
      <c r="F123" s="126">
        <v>45860</v>
      </c>
      <c r="G123" s="126"/>
      <c r="H123" s="126"/>
      <c r="I123" s="126"/>
      <c r="J123" s="208">
        <f t="shared" ca="1" si="65"/>
        <v>0</v>
      </c>
      <c r="K123" s="134">
        <v>421.18</v>
      </c>
      <c r="L123" s="134">
        <v>421.18</v>
      </c>
      <c r="M123" s="129">
        <f t="shared" si="70"/>
        <v>0</v>
      </c>
      <c r="N123" s="130">
        <v>4161.46</v>
      </c>
      <c r="O123" s="130">
        <v>4150.5</v>
      </c>
      <c r="P123" s="168">
        <f t="shared" si="67"/>
        <v>-10.960000000000036</v>
      </c>
      <c r="Q123" s="132">
        <f t="shared" si="71"/>
        <v>1752723.7228000001</v>
      </c>
      <c r="R123" s="132">
        <f t="shared" si="72"/>
        <v>1748107.59</v>
      </c>
      <c r="S123" s="132">
        <f t="shared" si="73"/>
        <v>-4616.1328000000212</v>
      </c>
      <c r="T123" s="133" t="str">
        <f t="shared" si="68"/>
        <v>No Monetizar</v>
      </c>
      <c r="U123" s="209"/>
      <c r="V123" s="210">
        <v>45800</v>
      </c>
      <c r="W123" s="393" t="s">
        <v>275</v>
      </c>
      <c r="X123" s="393" t="s">
        <v>275</v>
      </c>
      <c r="Y123" s="393" t="s">
        <v>308</v>
      </c>
      <c r="Z123" s="211">
        <f t="shared" si="69"/>
        <v>1748107.59</v>
      </c>
      <c r="AA123" s="225">
        <f t="shared" si="66"/>
        <v>-4616.1328000000212</v>
      </c>
      <c r="AF123" s="112"/>
    </row>
    <row r="124" spans="2:32 16381:16383" outlineLevel="1">
      <c r="B124" s="125">
        <v>93</v>
      </c>
      <c r="C124" s="120" t="s">
        <v>277</v>
      </c>
      <c r="D124" s="153">
        <v>5938</v>
      </c>
      <c r="E124" s="126">
        <v>45800</v>
      </c>
      <c r="F124" s="126">
        <v>45860</v>
      </c>
      <c r="G124" s="126"/>
      <c r="H124" s="126"/>
      <c r="I124" s="126"/>
      <c r="J124" s="208">
        <f t="shared" ca="1" si="65"/>
        <v>0</v>
      </c>
      <c r="K124" s="134">
        <v>209257.11</v>
      </c>
      <c r="L124" s="134">
        <v>209257.11</v>
      </c>
      <c r="M124" s="129">
        <f t="shared" si="70"/>
        <v>0</v>
      </c>
      <c r="N124" s="130">
        <v>4186.79</v>
      </c>
      <c r="O124" s="130">
        <v>4110.6000000000004</v>
      </c>
      <c r="P124" s="168">
        <f t="shared" si="67"/>
        <v>-76.1899999999996</v>
      </c>
      <c r="Q124" s="132">
        <f t="shared" si="71"/>
        <v>876115575.57689989</v>
      </c>
      <c r="R124" s="132">
        <f t="shared" si="72"/>
        <v>860172276.36600006</v>
      </c>
      <c r="S124" s="132">
        <f t="shared" si="73"/>
        <v>-15943299.21089983</v>
      </c>
      <c r="T124" s="133" t="str">
        <f t="shared" si="68"/>
        <v>No Monetizar</v>
      </c>
      <c r="U124" s="209"/>
      <c r="V124" s="394">
        <v>45804</v>
      </c>
      <c r="W124" s="393" t="s">
        <v>275</v>
      </c>
      <c r="X124" s="393" t="s">
        <v>285</v>
      </c>
      <c r="Y124" s="393" t="s">
        <v>309</v>
      </c>
      <c r="Z124" s="211">
        <f t="shared" si="69"/>
        <v>860172276.36600006</v>
      </c>
      <c r="AA124" s="225">
        <f t="shared" si="66"/>
        <v>-15943299.21089983</v>
      </c>
      <c r="AF124" s="112"/>
    </row>
    <row r="125" spans="2:32 16381:16383" outlineLevel="1">
      <c r="B125" s="125">
        <v>94</v>
      </c>
      <c r="C125" s="120" t="s">
        <v>117</v>
      </c>
      <c r="D125" s="153">
        <v>5987</v>
      </c>
      <c r="E125" s="126">
        <v>45807</v>
      </c>
      <c r="F125" s="126">
        <v>45868</v>
      </c>
      <c r="G125" s="126"/>
      <c r="H125" s="126"/>
      <c r="I125" s="134"/>
      <c r="J125" s="208">
        <f t="shared" ref="J125:J156" ca="1" si="74">IFERROR(IF(TODAY()&gt;=E125,(TODAY()-E125)/I125,0),0)*0</f>
        <v>0</v>
      </c>
      <c r="K125" s="129">
        <v>108566.8</v>
      </c>
      <c r="L125" s="130">
        <v>108551.8</v>
      </c>
      <c r="M125" s="130">
        <f t="shared" si="70"/>
        <v>15</v>
      </c>
      <c r="N125" s="132">
        <v>3926.44</v>
      </c>
      <c r="O125" s="132">
        <v>4133.5</v>
      </c>
      <c r="P125" s="168">
        <f t="shared" si="67"/>
        <v>207.05999999999995</v>
      </c>
      <c r="Q125" s="132">
        <f t="shared" si="71"/>
        <v>426281026.19200003</v>
      </c>
      <c r="R125" s="132">
        <f t="shared" si="72"/>
        <v>448698865.30000001</v>
      </c>
      <c r="S125" s="132">
        <f t="shared" si="73"/>
        <v>22417839.10799998</v>
      </c>
      <c r="T125" s="133" t="str">
        <f t="shared" si="68"/>
        <v>Monetizar</v>
      </c>
      <c r="U125" s="239"/>
      <c r="V125" s="394">
        <v>45807</v>
      </c>
      <c r="W125" s="393" t="s">
        <v>275</v>
      </c>
      <c r="X125" s="393" t="s">
        <v>275</v>
      </c>
      <c r="Y125" s="393" t="s">
        <v>276</v>
      </c>
      <c r="Z125" s="211">
        <f t="shared" si="69"/>
        <v>448760867.80000001</v>
      </c>
      <c r="AA125" s="225">
        <f t="shared" si="66"/>
        <v>22479841.60799998</v>
      </c>
      <c r="AB125" s="112"/>
      <c r="XFA125" s="125"/>
      <c r="XFB125" s="302"/>
      <c r="XFC125" s="160"/>
    </row>
    <row r="126" spans="2:32 16381:16383" outlineLevel="1">
      <c r="B126" s="125">
        <v>95</v>
      </c>
      <c r="C126" s="214" t="s">
        <v>116</v>
      </c>
      <c r="D126" s="153">
        <v>5947</v>
      </c>
      <c r="E126" s="126">
        <v>45804</v>
      </c>
      <c r="F126" s="126">
        <v>45864</v>
      </c>
      <c r="G126" s="126"/>
      <c r="H126" s="126"/>
      <c r="I126" s="126"/>
      <c r="J126" s="208">
        <f t="shared" ca="1" si="74"/>
        <v>0</v>
      </c>
      <c r="K126" s="134">
        <v>4172.59</v>
      </c>
      <c r="L126" s="134">
        <v>4162.59</v>
      </c>
      <c r="M126" s="129">
        <f t="shared" si="70"/>
        <v>10</v>
      </c>
      <c r="N126" s="130">
        <v>4108.6000000000004</v>
      </c>
      <c r="O126" s="130">
        <v>4138</v>
      </c>
      <c r="P126" s="168">
        <f t="shared" si="67"/>
        <v>29.399999999999636</v>
      </c>
      <c r="Q126" s="132">
        <f t="shared" si="71"/>
        <v>17143503.274000004</v>
      </c>
      <c r="R126" s="132">
        <f t="shared" si="72"/>
        <v>17224797.420000002</v>
      </c>
      <c r="S126" s="132">
        <f t="shared" si="73"/>
        <v>81294.145999997854</v>
      </c>
      <c r="T126" s="133" t="str">
        <f t="shared" si="68"/>
        <v>Monetizar</v>
      </c>
      <c r="U126" s="239"/>
      <c r="V126" s="394">
        <v>45807</v>
      </c>
      <c r="W126" s="393" t="s">
        <v>275</v>
      </c>
      <c r="X126" s="393" t="s">
        <v>275</v>
      </c>
      <c r="Y126" s="393" t="s">
        <v>276</v>
      </c>
      <c r="Z126" s="397">
        <f t="shared" si="69"/>
        <v>17266177.420000002</v>
      </c>
      <c r="AA126" s="225">
        <f t="shared" si="66"/>
        <v>122674.14599999785</v>
      </c>
      <c r="AF126" s="112"/>
    </row>
    <row r="127" spans="2:32 16381:16383" ht="30" outlineLevel="1">
      <c r="B127" s="125">
        <v>96</v>
      </c>
      <c r="C127" s="120" t="s">
        <v>284</v>
      </c>
      <c r="D127" s="153">
        <v>5954</v>
      </c>
      <c r="E127" s="126">
        <v>45806</v>
      </c>
      <c r="F127" s="126">
        <v>45866</v>
      </c>
      <c r="G127" s="126"/>
      <c r="H127" s="126"/>
      <c r="I127" s="126"/>
      <c r="J127" s="208">
        <f t="shared" ca="1" si="74"/>
        <v>0</v>
      </c>
      <c r="K127" s="134">
        <v>17598.29</v>
      </c>
      <c r="L127" s="134">
        <v>17598.29</v>
      </c>
      <c r="M127" s="129">
        <f t="shared" si="70"/>
        <v>0</v>
      </c>
      <c r="N127" s="130">
        <v>4098.6000000000004</v>
      </c>
      <c r="O127" s="130">
        <v>4138</v>
      </c>
      <c r="P127" s="168">
        <f t="shared" si="67"/>
        <v>39.399999999999636</v>
      </c>
      <c r="Q127" s="132">
        <f t="shared" si="71"/>
        <v>72128351.394000009</v>
      </c>
      <c r="R127" s="132">
        <f t="shared" si="72"/>
        <v>72821724.020000011</v>
      </c>
      <c r="S127" s="132">
        <f t="shared" si="73"/>
        <v>693372.62600000203</v>
      </c>
      <c r="T127" s="133" t="str">
        <f t="shared" si="68"/>
        <v>Monetizar</v>
      </c>
      <c r="U127" s="239"/>
      <c r="V127" s="394">
        <v>45807</v>
      </c>
      <c r="W127" s="393" t="s">
        <v>275</v>
      </c>
      <c r="X127" s="393" t="s">
        <v>275</v>
      </c>
      <c r="Y127" s="393" t="s">
        <v>276</v>
      </c>
      <c r="Z127" s="397">
        <f t="shared" si="69"/>
        <v>72821724.020000011</v>
      </c>
      <c r="AA127" s="225">
        <f t="shared" si="66"/>
        <v>693372.62600000203</v>
      </c>
      <c r="AF127" s="112"/>
    </row>
    <row r="128" spans="2:32 16381:16383" outlineLevel="1">
      <c r="B128" s="125">
        <v>97</v>
      </c>
      <c r="C128" s="120" t="s">
        <v>287</v>
      </c>
      <c r="D128" s="292">
        <v>5952</v>
      </c>
      <c r="E128" s="311">
        <v>45805</v>
      </c>
      <c r="F128" s="311">
        <v>45865</v>
      </c>
      <c r="G128" s="311"/>
      <c r="H128" s="311"/>
      <c r="I128" s="126"/>
      <c r="J128" s="208">
        <f t="shared" ca="1" si="74"/>
        <v>0</v>
      </c>
      <c r="K128" s="134">
        <v>1930.16</v>
      </c>
      <c r="L128" s="134">
        <v>1930.16</v>
      </c>
      <c r="M128" s="129">
        <f t="shared" si="70"/>
        <v>0</v>
      </c>
      <c r="N128" s="130">
        <v>4108.6000000000004</v>
      </c>
      <c r="O128" s="130">
        <v>4118.1000000000004</v>
      </c>
      <c r="P128" s="168">
        <f t="shared" si="67"/>
        <v>9.5</v>
      </c>
      <c r="Q128" s="132">
        <f t="shared" si="71"/>
        <v>7930255.3760000011</v>
      </c>
      <c r="R128" s="132">
        <f t="shared" si="72"/>
        <v>7948591.8960000006</v>
      </c>
      <c r="S128" s="132">
        <f t="shared" si="73"/>
        <v>18336.519999999553</v>
      </c>
      <c r="T128" s="133" t="str">
        <f t="shared" si="68"/>
        <v>Monetizar</v>
      </c>
      <c r="U128" s="239"/>
      <c r="V128" s="394">
        <v>45807</v>
      </c>
      <c r="W128" s="393" t="s">
        <v>275</v>
      </c>
      <c r="X128" s="393" t="s">
        <v>275</v>
      </c>
      <c r="Y128" s="393" t="s">
        <v>276</v>
      </c>
      <c r="Z128" s="397">
        <f t="shared" si="69"/>
        <v>7948591.8960000006</v>
      </c>
      <c r="AA128" s="225">
        <f t="shared" si="66"/>
        <v>18336.519999999553</v>
      </c>
      <c r="AF128" s="112"/>
    </row>
    <row r="129" spans="2:32" outlineLevel="1">
      <c r="B129" s="125">
        <v>98</v>
      </c>
      <c r="C129" s="120" t="s">
        <v>287</v>
      </c>
      <c r="D129" s="292">
        <v>5953</v>
      </c>
      <c r="E129" s="311">
        <v>45805</v>
      </c>
      <c r="F129" s="311">
        <v>45865</v>
      </c>
      <c r="G129" s="311"/>
      <c r="H129" s="311"/>
      <c r="I129" s="126"/>
      <c r="J129" s="208">
        <f t="shared" ca="1" si="74"/>
        <v>0</v>
      </c>
      <c r="K129" s="134">
        <v>1136.0999999999999</v>
      </c>
      <c r="L129" s="134">
        <v>1136.0999999999999</v>
      </c>
      <c r="M129" s="129">
        <f t="shared" si="70"/>
        <v>0</v>
      </c>
      <c r="N129" s="130">
        <v>4108.6000000000004</v>
      </c>
      <c r="O129" s="130">
        <v>4118.1000000000004</v>
      </c>
      <c r="P129" s="168">
        <f t="shared" si="67"/>
        <v>9.5</v>
      </c>
      <c r="Q129" s="132">
        <f t="shared" si="71"/>
        <v>4667780.46</v>
      </c>
      <c r="R129" s="132">
        <f t="shared" si="72"/>
        <v>4678573.41</v>
      </c>
      <c r="S129" s="132">
        <f t="shared" si="73"/>
        <v>10792.950000000186</v>
      </c>
      <c r="T129" s="133" t="str">
        <f t="shared" si="68"/>
        <v>Monetizar</v>
      </c>
      <c r="U129" s="239"/>
      <c r="V129" s="394">
        <v>45807</v>
      </c>
      <c r="W129" s="393" t="s">
        <v>275</v>
      </c>
      <c r="X129" s="393" t="s">
        <v>275</v>
      </c>
      <c r="Y129" s="393" t="s">
        <v>276</v>
      </c>
      <c r="Z129" s="397">
        <f t="shared" si="69"/>
        <v>4678573.41</v>
      </c>
      <c r="AA129" s="225">
        <f t="shared" si="66"/>
        <v>10792.950000000186</v>
      </c>
      <c r="AF129" s="112"/>
    </row>
    <row r="130" spans="2:32" outlineLevel="1">
      <c r="B130" s="125">
        <v>99</v>
      </c>
      <c r="C130" s="398" t="s">
        <v>265</v>
      </c>
      <c r="D130" s="292">
        <v>5955</v>
      </c>
      <c r="E130" s="311">
        <v>45806</v>
      </c>
      <c r="F130" s="311">
        <v>45866</v>
      </c>
      <c r="G130" s="311"/>
      <c r="H130" s="311"/>
      <c r="I130" s="126"/>
      <c r="J130" s="208">
        <f t="shared" ca="1" si="74"/>
        <v>0</v>
      </c>
      <c r="K130" s="134">
        <v>30508.05</v>
      </c>
      <c r="L130" s="134">
        <v>30508.05</v>
      </c>
      <c r="M130" s="129">
        <f t="shared" si="70"/>
        <v>0</v>
      </c>
      <c r="N130" s="130">
        <v>4108.6000000000004</v>
      </c>
      <c r="O130" s="130">
        <v>4118.1000000000004</v>
      </c>
      <c r="P130" s="168">
        <f t="shared" si="67"/>
        <v>9.5</v>
      </c>
      <c r="Q130" s="132">
        <f t="shared" si="71"/>
        <v>125345374.23</v>
      </c>
      <c r="R130" s="132">
        <f t="shared" si="72"/>
        <v>125635200.70500001</v>
      </c>
      <c r="S130" s="132">
        <f t="shared" si="73"/>
        <v>289826.47500000894</v>
      </c>
      <c r="T130" s="133" t="str">
        <f t="shared" si="68"/>
        <v>Monetizar</v>
      </c>
      <c r="U130" s="239"/>
      <c r="V130" s="394">
        <v>45807</v>
      </c>
      <c r="W130" s="393" t="s">
        <v>275</v>
      </c>
      <c r="X130" s="393" t="s">
        <v>275</v>
      </c>
      <c r="Y130" s="393" t="s">
        <v>276</v>
      </c>
      <c r="Z130" s="397">
        <f t="shared" si="69"/>
        <v>125635200.70500001</v>
      </c>
      <c r="AA130" s="225">
        <f t="shared" si="66"/>
        <v>289826.47500000894</v>
      </c>
      <c r="AF130" s="112"/>
    </row>
    <row r="131" spans="2:32" outlineLevel="1">
      <c r="B131" s="125">
        <v>100</v>
      </c>
      <c r="C131" s="120" t="s">
        <v>310</v>
      </c>
      <c r="D131" s="153">
        <v>5977</v>
      </c>
      <c r="E131" s="126">
        <v>45807</v>
      </c>
      <c r="F131" s="126">
        <v>45867</v>
      </c>
      <c r="G131" s="126"/>
      <c r="H131" s="126"/>
      <c r="I131" s="126"/>
      <c r="J131" s="208">
        <f t="shared" ca="1" si="74"/>
        <v>0</v>
      </c>
      <c r="K131" s="134">
        <v>380.62</v>
      </c>
      <c r="L131" s="134">
        <v>380.62</v>
      </c>
      <c r="M131" s="129">
        <f t="shared" si="70"/>
        <v>0</v>
      </c>
      <c r="N131" s="130">
        <v>4026.54</v>
      </c>
      <c r="O131" s="130">
        <v>4125.3</v>
      </c>
      <c r="P131" s="168">
        <f t="shared" si="67"/>
        <v>98.760000000000218</v>
      </c>
      <c r="Q131" s="132">
        <f t="shared" si="71"/>
        <v>1532581.6547999999</v>
      </c>
      <c r="R131" s="132">
        <f t="shared" si="72"/>
        <v>1570171.686</v>
      </c>
      <c r="S131" s="132">
        <f t="shared" si="73"/>
        <v>37590.031200000085</v>
      </c>
      <c r="T131" s="133" t="str">
        <f t="shared" si="68"/>
        <v>Monetizar</v>
      </c>
      <c r="U131" s="239"/>
      <c r="V131" s="394">
        <v>45811</v>
      </c>
      <c r="W131" s="393" t="s">
        <v>275</v>
      </c>
      <c r="X131" s="393" t="s">
        <v>275</v>
      </c>
      <c r="Y131" s="393" t="s">
        <v>276</v>
      </c>
      <c r="Z131" s="397">
        <f t="shared" si="69"/>
        <v>1570171.686</v>
      </c>
      <c r="AA131" s="225">
        <f t="shared" si="66"/>
        <v>37590.031200000085</v>
      </c>
      <c r="AF131" s="112"/>
    </row>
    <row r="132" spans="2:32" outlineLevel="1">
      <c r="B132" s="125">
        <v>101</v>
      </c>
      <c r="C132" s="120" t="s">
        <v>310</v>
      </c>
      <c r="D132" s="153">
        <v>5978</v>
      </c>
      <c r="E132" s="126">
        <v>45807</v>
      </c>
      <c r="F132" s="126">
        <v>45867</v>
      </c>
      <c r="G132" s="126"/>
      <c r="H132" s="126"/>
      <c r="I132" s="126"/>
      <c r="J132" s="208">
        <f t="shared" ca="1" si="74"/>
        <v>0</v>
      </c>
      <c r="K132" s="134">
        <v>1452.42</v>
      </c>
      <c r="L132" s="134">
        <v>1452.42</v>
      </c>
      <c r="M132" s="129">
        <f t="shared" si="70"/>
        <v>0</v>
      </c>
      <c r="N132" s="130">
        <v>4026.54</v>
      </c>
      <c r="O132" s="130">
        <v>4125.3</v>
      </c>
      <c r="P132" s="168">
        <f t="shared" si="67"/>
        <v>98.760000000000218</v>
      </c>
      <c r="Q132" s="132">
        <f t="shared" si="71"/>
        <v>5848227.2268000003</v>
      </c>
      <c r="R132" s="132">
        <f t="shared" si="72"/>
        <v>5991668.2260000007</v>
      </c>
      <c r="S132" s="132">
        <f t="shared" si="73"/>
        <v>143440.99920000043</v>
      </c>
      <c r="T132" s="133" t="str">
        <f t="shared" si="68"/>
        <v>Monetizar</v>
      </c>
      <c r="U132" s="239"/>
      <c r="V132" s="394">
        <v>45811</v>
      </c>
      <c r="W132" s="393" t="s">
        <v>275</v>
      </c>
      <c r="X132" s="393" t="s">
        <v>275</v>
      </c>
      <c r="Y132" s="393" t="s">
        <v>276</v>
      </c>
      <c r="Z132" s="397">
        <f t="shared" si="69"/>
        <v>5991668.2260000007</v>
      </c>
      <c r="AA132" s="225">
        <f t="shared" si="66"/>
        <v>143440.99920000043</v>
      </c>
      <c r="AF132" s="112"/>
    </row>
    <row r="133" spans="2:32" outlineLevel="1">
      <c r="B133" s="125">
        <v>102</v>
      </c>
      <c r="C133" s="120" t="s">
        <v>287</v>
      </c>
      <c r="D133" s="153">
        <v>5865</v>
      </c>
      <c r="E133" s="126">
        <v>45799</v>
      </c>
      <c r="F133" s="126">
        <v>45859</v>
      </c>
      <c r="G133" s="126"/>
      <c r="H133" s="126"/>
      <c r="I133" s="126"/>
      <c r="J133" s="208">
        <f t="shared" ca="1" si="74"/>
        <v>0</v>
      </c>
      <c r="K133" s="134">
        <v>1781.74</v>
      </c>
      <c r="L133" s="134">
        <v>1781.74</v>
      </c>
      <c r="M133" s="129">
        <f t="shared" si="70"/>
        <v>0</v>
      </c>
      <c r="N133" s="130">
        <v>4186.17</v>
      </c>
      <c r="O133" s="130">
        <v>4186.5</v>
      </c>
      <c r="P133" s="168">
        <f t="shared" si="67"/>
        <v>0.32999999999992724</v>
      </c>
      <c r="Q133" s="132">
        <f t="shared" si="71"/>
        <v>7458666.5357999997</v>
      </c>
      <c r="R133" s="132">
        <f t="shared" si="72"/>
        <v>7459254.5099999998</v>
      </c>
      <c r="S133" s="132">
        <f t="shared" si="73"/>
        <v>587.97420000005513</v>
      </c>
      <c r="T133" s="133" t="str">
        <f t="shared" si="68"/>
        <v>Monetizar</v>
      </c>
      <c r="U133" s="239"/>
      <c r="V133" s="394">
        <v>45818</v>
      </c>
      <c r="W133" s="393" t="s">
        <v>275</v>
      </c>
      <c r="X133" s="393" t="s">
        <v>275</v>
      </c>
      <c r="Y133" s="393" t="s">
        <v>276</v>
      </c>
      <c r="Z133" s="397">
        <f t="shared" si="69"/>
        <v>7459254.5099999998</v>
      </c>
      <c r="AA133" s="225">
        <f t="shared" si="66"/>
        <v>587.97420000005513</v>
      </c>
      <c r="AF133" s="112"/>
    </row>
    <row r="134" spans="2:32" outlineLevel="1">
      <c r="B134" s="125">
        <v>103</v>
      </c>
      <c r="C134" s="120" t="s">
        <v>287</v>
      </c>
      <c r="D134" s="153">
        <v>5866</v>
      </c>
      <c r="E134" s="126">
        <v>45799</v>
      </c>
      <c r="F134" s="126">
        <v>45859</v>
      </c>
      <c r="G134" s="126"/>
      <c r="H134" s="126"/>
      <c r="I134" s="126"/>
      <c r="J134" s="208">
        <f t="shared" ca="1" si="74"/>
        <v>0</v>
      </c>
      <c r="K134" s="134">
        <v>1113.69</v>
      </c>
      <c r="L134" s="134">
        <v>1113.69</v>
      </c>
      <c r="M134" s="129">
        <f t="shared" si="70"/>
        <v>0</v>
      </c>
      <c r="N134" s="130">
        <v>4186.17</v>
      </c>
      <c r="O134" s="130">
        <v>4186.5</v>
      </c>
      <c r="P134" s="168">
        <f t="shared" ref="P134:P165" si="75">O134-N134</f>
        <v>0.32999999999992724</v>
      </c>
      <c r="Q134" s="132">
        <f t="shared" si="71"/>
        <v>4662095.6672999999</v>
      </c>
      <c r="R134" s="132">
        <f t="shared" si="72"/>
        <v>4662463.1850000005</v>
      </c>
      <c r="S134" s="132">
        <f t="shared" si="73"/>
        <v>367.51770000066608</v>
      </c>
      <c r="T134" s="133" t="str">
        <f t="shared" ref="T134:T167" si="76">IF(R134&lt;= Q134,"No Monetizar","Monetizar")</f>
        <v>Monetizar</v>
      </c>
      <c r="U134" s="239"/>
      <c r="V134" s="394">
        <v>45818</v>
      </c>
      <c r="W134" s="393" t="s">
        <v>275</v>
      </c>
      <c r="X134" s="393" t="s">
        <v>275</v>
      </c>
      <c r="Y134" s="393" t="s">
        <v>276</v>
      </c>
      <c r="Z134" s="397">
        <f t="shared" ref="Z134:Z167" si="77">K134*O134</f>
        <v>4662463.1850000005</v>
      </c>
      <c r="AA134" s="225">
        <f t="shared" si="66"/>
        <v>367.51770000066608</v>
      </c>
      <c r="AF134" s="112"/>
    </row>
    <row r="135" spans="2:32" outlineLevel="1">
      <c r="B135" s="125">
        <v>104</v>
      </c>
      <c r="C135" s="120" t="s">
        <v>117</v>
      </c>
      <c r="D135" s="153">
        <v>5939</v>
      </c>
      <c r="E135" s="126">
        <v>45804</v>
      </c>
      <c r="F135" s="126">
        <v>45864</v>
      </c>
      <c r="G135" s="126"/>
      <c r="H135" s="126"/>
      <c r="I135" s="126"/>
      <c r="J135" s="208">
        <f t="shared" ca="1" si="74"/>
        <v>0</v>
      </c>
      <c r="K135" s="134">
        <v>976</v>
      </c>
      <c r="L135" s="134">
        <v>971</v>
      </c>
      <c r="M135" s="129">
        <f t="shared" si="70"/>
        <v>5</v>
      </c>
      <c r="N135" s="130">
        <v>4160.25</v>
      </c>
      <c r="O135" s="130">
        <v>4187.5</v>
      </c>
      <c r="P135" s="168">
        <f t="shared" si="75"/>
        <v>27.25</v>
      </c>
      <c r="Q135" s="132">
        <f t="shared" si="71"/>
        <v>4060404</v>
      </c>
      <c r="R135" s="132">
        <f t="shared" si="72"/>
        <v>4066062.5</v>
      </c>
      <c r="S135" s="132">
        <f t="shared" si="73"/>
        <v>5658.5</v>
      </c>
      <c r="T135" s="133" t="str">
        <f t="shared" si="76"/>
        <v>Monetizar</v>
      </c>
      <c r="U135" s="239"/>
      <c r="V135" s="394">
        <v>45818</v>
      </c>
      <c r="W135" s="393" t="s">
        <v>275</v>
      </c>
      <c r="X135" s="393" t="s">
        <v>275</v>
      </c>
      <c r="Y135" s="393" t="s">
        <v>276</v>
      </c>
      <c r="Z135" s="397">
        <f t="shared" si="77"/>
        <v>4087000</v>
      </c>
      <c r="AA135" s="225">
        <f t="shared" si="66"/>
        <v>26596</v>
      </c>
      <c r="AF135" s="112"/>
    </row>
    <row r="136" spans="2:32" outlineLevel="1">
      <c r="B136" s="125">
        <v>105</v>
      </c>
      <c r="C136" s="120" t="s">
        <v>304</v>
      </c>
      <c r="D136" s="153" t="s">
        <v>311</v>
      </c>
      <c r="E136" s="126">
        <v>45814</v>
      </c>
      <c r="F136" s="126">
        <v>45874</v>
      </c>
      <c r="G136" s="126"/>
      <c r="H136" s="126"/>
      <c r="I136" s="126"/>
      <c r="J136" s="208">
        <f t="shared" ca="1" si="74"/>
        <v>0</v>
      </c>
      <c r="K136" s="134">
        <v>10116.15</v>
      </c>
      <c r="L136" s="134">
        <v>10116.15</v>
      </c>
      <c r="M136" s="129">
        <f t="shared" si="70"/>
        <v>0</v>
      </c>
      <c r="N136" s="130">
        <v>4152.59</v>
      </c>
      <c r="O136" s="130">
        <v>4186.5</v>
      </c>
      <c r="P136" s="168">
        <f t="shared" si="75"/>
        <v>33.909999999999854</v>
      </c>
      <c r="Q136" s="132">
        <f t="shared" si="71"/>
        <v>42008223.328500003</v>
      </c>
      <c r="R136" s="132">
        <f t="shared" si="72"/>
        <v>42351261.975000001</v>
      </c>
      <c r="S136" s="132">
        <f t="shared" si="73"/>
        <v>343038.64649999887</v>
      </c>
      <c r="T136" s="133" t="str">
        <f t="shared" si="76"/>
        <v>Monetizar</v>
      </c>
      <c r="U136" s="239"/>
      <c r="V136" s="394">
        <v>45818</v>
      </c>
      <c r="W136" s="393" t="s">
        <v>275</v>
      </c>
      <c r="X136" s="393" t="s">
        <v>275</v>
      </c>
      <c r="Y136" s="393" t="s">
        <v>276</v>
      </c>
      <c r="Z136" s="397">
        <f t="shared" si="77"/>
        <v>42351261.975000001</v>
      </c>
      <c r="AA136" s="225">
        <f t="shared" si="66"/>
        <v>343038.64649999887</v>
      </c>
      <c r="AF136" s="112"/>
    </row>
    <row r="137" spans="2:32" outlineLevel="1">
      <c r="B137" s="125">
        <v>106</v>
      </c>
      <c r="C137" s="120" t="s">
        <v>277</v>
      </c>
      <c r="D137" s="153">
        <v>5961</v>
      </c>
      <c r="E137" s="126">
        <v>45800</v>
      </c>
      <c r="F137" s="126">
        <v>45860</v>
      </c>
      <c r="G137" s="126"/>
      <c r="H137" s="126"/>
      <c r="I137" s="126"/>
      <c r="J137" s="208">
        <f t="shared" ca="1" si="74"/>
        <v>0</v>
      </c>
      <c r="K137" s="134">
        <v>1569.4</v>
      </c>
      <c r="L137" s="134">
        <v>1569.4</v>
      </c>
      <c r="M137" s="129">
        <f t="shared" si="70"/>
        <v>0</v>
      </c>
      <c r="N137" s="130">
        <v>4186.79</v>
      </c>
      <c r="O137" s="130">
        <v>4193</v>
      </c>
      <c r="P137" s="168">
        <f t="shared" si="75"/>
        <v>6.2100000000000364</v>
      </c>
      <c r="Q137" s="132">
        <f t="shared" si="71"/>
        <v>6570748.2260000007</v>
      </c>
      <c r="R137" s="132">
        <f t="shared" si="72"/>
        <v>6580494.2000000002</v>
      </c>
      <c r="S137" s="132">
        <f t="shared" si="73"/>
        <v>9745.9739999994636</v>
      </c>
      <c r="T137" s="133" t="str">
        <f t="shared" si="76"/>
        <v>Monetizar</v>
      </c>
      <c r="U137" s="239"/>
      <c r="V137" s="394">
        <v>45818</v>
      </c>
      <c r="W137" s="393" t="s">
        <v>275</v>
      </c>
      <c r="X137" s="393" t="s">
        <v>275</v>
      </c>
      <c r="Y137" s="393" t="s">
        <v>276</v>
      </c>
      <c r="Z137" s="397">
        <f t="shared" si="77"/>
        <v>6580494.2000000002</v>
      </c>
      <c r="AA137" s="225">
        <f t="shared" si="66"/>
        <v>9745.9739999994636</v>
      </c>
      <c r="AF137" s="112"/>
    </row>
    <row r="138" spans="2:32" outlineLevel="1">
      <c r="B138" s="125">
        <v>107</v>
      </c>
      <c r="C138" s="120" t="s">
        <v>312</v>
      </c>
      <c r="D138" s="153">
        <v>5960</v>
      </c>
      <c r="E138" s="126">
        <v>45793</v>
      </c>
      <c r="F138" s="126">
        <v>45853</v>
      </c>
      <c r="G138" s="126"/>
      <c r="H138" s="126"/>
      <c r="I138" s="126"/>
      <c r="J138" s="208">
        <f t="shared" ca="1" si="74"/>
        <v>0</v>
      </c>
      <c r="K138" s="218">
        <v>1203.69</v>
      </c>
      <c r="L138" s="218">
        <v>1173.69</v>
      </c>
      <c r="M138" s="129">
        <f t="shared" si="70"/>
        <v>30</v>
      </c>
      <c r="N138" s="130">
        <v>4094.18</v>
      </c>
      <c r="O138" s="130">
        <v>4200.1000000000004</v>
      </c>
      <c r="P138" s="168">
        <f t="shared" si="75"/>
        <v>105.92000000000053</v>
      </c>
      <c r="Q138" s="132">
        <f t="shared" si="71"/>
        <v>4928123.5241999999</v>
      </c>
      <c r="R138" s="132">
        <f t="shared" si="72"/>
        <v>4929615.3690000009</v>
      </c>
      <c r="S138" s="132">
        <f t="shared" si="73"/>
        <v>1491.8448000010103</v>
      </c>
      <c r="T138" s="133" t="str">
        <f t="shared" si="76"/>
        <v>Monetizar</v>
      </c>
      <c r="U138" s="239"/>
      <c r="V138" s="394">
        <v>45818</v>
      </c>
      <c r="W138" s="393" t="s">
        <v>275</v>
      </c>
      <c r="X138" s="393" t="s">
        <v>275</v>
      </c>
      <c r="Y138" s="393" t="s">
        <v>276</v>
      </c>
      <c r="Z138" s="397">
        <f t="shared" si="77"/>
        <v>5055618.3690000009</v>
      </c>
      <c r="AA138" s="225">
        <f t="shared" si="66"/>
        <v>127494.84480000101</v>
      </c>
      <c r="AF138" s="112"/>
    </row>
    <row r="139" spans="2:32" outlineLevel="1">
      <c r="B139" s="125">
        <v>108</v>
      </c>
      <c r="C139" s="120" t="s">
        <v>303</v>
      </c>
      <c r="D139" s="153">
        <v>6008</v>
      </c>
      <c r="E139" s="126">
        <v>45819</v>
      </c>
      <c r="F139" s="126">
        <v>45879</v>
      </c>
      <c r="G139" s="126"/>
      <c r="H139" s="126"/>
      <c r="I139" s="126"/>
      <c r="J139" s="208">
        <f t="shared" ca="1" si="74"/>
        <v>0</v>
      </c>
      <c r="K139" s="218">
        <v>3491.88</v>
      </c>
      <c r="L139" s="218">
        <v>3491.88</v>
      </c>
      <c r="M139" s="129">
        <f t="shared" si="70"/>
        <v>0</v>
      </c>
      <c r="N139" s="130">
        <v>3977.66</v>
      </c>
      <c r="O139" s="130">
        <v>4173</v>
      </c>
      <c r="P139" s="168">
        <f t="shared" si="75"/>
        <v>195.34000000000015</v>
      </c>
      <c r="Q139" s="132">
        <f t="shared" si="71"/>
        <v>13889511.400799999</v>
      </c>
      <c r="R139" s="132">
        <f t="shared" si="72"/>
        <v>14571615.24</v>
      </c>
      <c r="S139" s="132">
        <f t="shared" si="73"/>
        <v>682103.83920000121</v>
      </c>
      <c r="T139" s="133" t="str">
        <f t="shared" si="76"/>
        <v>Monetizar</v>
      </c>
      <c r="U139" s="239"/>
      <c r="V139" s="394">
        <v>45819</v>
      </c>
      <c r="W139" s="393" t="s">
        <v>275</v>
      </c>
      <c r="X139" s="393" t="s">
        <v>275</v>
      </c>
      <c r="Y139" s="393" t="s">
        <v>276</v>
      </c>
      <c r="Z139" s="397">
        <f t="shared" si="77"/>
        <v>14571615.24</v>
      </c>
      <c r="AA139" s="225">
        <f t="shared" si="66"/>
        <v>682103.83920000121</v>
      </c>
      <c r="AF139" s="112"/>
    </row>
    <row r="140" spans="2:32" outlineLevel="1">
      <c r="B140" s="125">
        <v>109</v>
      </c>
      <c r="C140" s="120" t="s">
        <v>277</v>
      </c>
      <c r="D140" s="153">
        <v>6009</v>
      </c>
      <c r="E140" s="126">
        <v>45819</v>
      </c>
      <c r="F140" s="126">
        <v>45879</v>
      </c>
      <c r="G140" s="126"/>
      <c r="H140" s="126"/>
      <c r="I140" s="126"/>
      <c r="J140" s="208">
        <f t="shared" ca="1" si="74"/>
        <v>0</v>
      </c>
      <c r="K140" s="218">
        <v>12826.45</v>
      </c>
      <c r="L140" s="218">
        <v>12826.45</v>
      </c>
      <c r="M140" s="129">
        <f t="shared" si="70"/>
        <v>0</v>
      </c>
      <c r="N140" s="130">
        <v>3957.85</v>
      </c>
      <c r="O140" s="130">
        <v>4140</v>
      </c>
      <c r="P140" s="168">
        <f t="shared" si="75"/>
        <v>182.15000000000009</v>
      </c>
      <c r="Q140" s="132">
        <f t="shared" si="71"/>
        <v>50765165.1325</v>
      </c>
      <c r="R140" s="132">
        <f t="shared" si="72"/>
        <v>53101503</v>
      </c>
      <c r="S140" s="132">
        <f t="shared" si="73"/>
        <v>2336337.8674999997</v>
      </c>
      <c r="T140" s="133" t="str">
        <f t="shared" si="76"/>
        <v>Monetizar</v>
      </c>
      <c r="U140" s="239"/>
      <c r="V140" s="394">
        <v>45821</v>
      </c>
      <c r="W140" s="393" t="s">
        <v>275</v>
      </c>
      <c r="X140" s="393" t="s">
        <v>275</v>
      </c>
      <c r="Y140" s="393" t="s">
        <v>276</v>
      </c>
      <c r="Z140" s="397">
        <f t="shared" si="77"/>
        <v>53101503</v>
      </c>
      <c r="AA140" s="225">
        <f t="shared" si="66"/>
        <v>2336337.8674999997</v>
      </c>
      <c r="AF140" s="112"/>
    </row>
    <row r="141" spans="2:32" outlineLevel="1">
      <c r="B141" s="125">
        <v>110</v>
      </c>
      <c r="C141" s="120" t="s">
        <v>116</v>
      </c>
      <c r="D141" s="153">
        <v>6028</v>
      </c>
      <c r="E141" s="126">
        <v>45825</v>
      </c>
      <c r="F141" s="126">
        <v>45885</v>
      </c>
      <c r="G141" s="126"/>
      <c r="H141" s="126"/>
      <c r="I141" s="126"/>
      <c r="J141" s="208">
        <f t="shared" ca="1" si="74"/>
        <v>0</v>
      </c>
      <c r="K141" s="218">
        <v>3758.59</v>
      </c>
      <c r="L141" s="218">
        <v>3748.59</v>
      </c>
      <c r="M141" s="129">
        <f t="shared" si="70"/>
        <v>10</v>
      </c>
      <c r="N141" s="130">
        <v>4049.13</v>
      </c>
      <c r="O141" s="130">
        <v>4065.2</v>
      </c>
      <c r="P141" s="168">
        <f t="shared" si="75"/>
        <v>16.069999999999709</v>
      </c>
      <c r="Q141" s="132">
        <f t="shared" si="71"/>
        <v>15219019.526700001</v>
      </c>
      <c r="R141" s="132">
        <f t="shared" si="72"/>
        <v>15238768.068</v>
      </c>
      <c r="S141" s="132">
        <f t="shared" si="73"/>
        <v>19748.54129999876</v>
      </c>
      <c r="T141" s="133" t="str">
        <f t="shared" si="76"/>
        <v>Monetizar</v>
      </c>
      <c r="U141" s="239"/>
      <c r="V141" s="394">
        <v>45826</v>
      </c>
      <c r="W141" s="393" t="s">
        <v>275</v>
      </c>
      <c r="X141" s="393" t="s">
        <v>275</v>
      </c>
      <c r="Y141" s="393" t="s">
        <v>276</v>
      </c>
      <c r="Z141" s="397">
        <f t="shared" si="77"/>
        <v>15279420.068</v>
      </c>
      <c r="AA141" s="225">
        <f t="shared" si="66"/>
        <v>60400.54129999876</v>
      </c>
      <c r="AF141" s="112"/>
    </row>
    <row r="142" spans="2:32" outlineLevel="1">
      <c r="B142" s="125">
        <v>111</v>
      </c>
      <c r="C142" s="120" t="s">
        <v>278</v>
      </c>
      <c r="D142" s="153">
        <v>6027</v>
      </c>
      <c r="E142" s="126">
        <v>45825</v>
      </c>
      <c r="F142" s="126">
        <v>45885</v>
      </c>
      <c r="G142" s="126"/>
      <c r="H142" s="126"/>
      <c r="I142" s="126"/>
      <c r="J142" s="208">
        <f t="shared" ca="1" si="74"/>
        <v>0</v>
      </c>
      <c r="K142" s="218">
        <v>2374.58</v>
      </c>
      <c r="L142" s="218">
        <v>2374.58</v>
      </c>
      <c r="M142" s="129">
        <f t="shared" si="70"/>
        <v>0</v>
      </c>
      <c r="N142" s="130">
        <v>4049.13</v>
      </c>
      <c r="O142" s="130">
        <v>4065.2</v>
      </c>
      <c r="P142" s="168">
        <f t="shared" si="75"/>
        <v>16.069999999999709</v>
      </c>
      <c r="Q142" s="132">
        <f t="shared" si="71"/>
        <v>9614983.1153999995</v>
      </c>
      <c r="R142" s="132">
        <f t="shared" si="72"/>
        <v>9653142.6159999985</v>
      </c>
      <c r="S142" s="132">
        <f t="shared" si="73"/>
        <v>38159.500599998981</v>
      </c>
      <c r="T142" s="133" t="str">
        <f t="shared" si="76"/>
        <v>Monetizar</v>
      </c>
      <c r="U142" s="239"/>
      <c r="V142" s="394">
        <v>45826</v>
      </c>
      <c r="W142" s="393" t="s">
        <v>275</v>
      </c>
      <c r="X142" s="393" t="s">
        <v>275</v>
      </c>
      <c r="Y142" s="393" t="s">
        <v>276</v>
      </c>
      <c r="Z142" s="397">
        <f t="shared" si="77"/>
        <v>9653142.6159999985</v>
      </c>
      <c r="AA142" s="225">
        <f t="shared" si="66"/>
        <v>38159.500599998981</v>
      </c>
      <c r="AF142" s="112"/>
    </row>
    <row r="143" spans="2:32" outlineLevel="1">
      <c r="B143" s="125">
        <v>112</v>
      </c>
      <c r="C143" s="120" t="s">
        <v>288</v>
      </c>
      <c r="D143" s="153">
        <v>6031</v>
      </c>
      <c r="E143" s="126">
        <v>45827</v>
      </c>
      <c r="F143" s="126">
        <v>45887</v>
      </c>
      <c r="G143" s="126"/>
      <c r="H143" s="126"/>
      <c r="I143" s="126"/>
      <c r="J143" s="208">
        <f t="shared" ca="1" si="74"/>
        <v>0</v>
      </c>
      <c r="K143" s="218">
        <v>25064.35</v>
      </c>
      <c r="L143" s="218">
        <v>25018.35</v>
      </c>
      <c r="M143" s="129">
        <f t="shared" si="70"/>
        <v>46</v>
      </c>
      <c r="N143" s="130">
        <v>4019.13</v>
      </c>
      <c r="O143" s="130">
        <v>4051</v>
      </c>
      <c r="P143" s="168">
        <f t="shared" si="75"/>
        <v>31.869999999999891</v>
      </c>
      <c r="Q143" s="132">
        <f t="shared" si="71"/>
        <v>100736881.01549999</v>
      </c>
      <c r="R143" s="132">
        <f t="shared" si="72"/>
        <v>101349335.84999999</v>
      </c>
      <c r="S143" s="132">
        <f t="shared" si="73"/>
        <v>612454.83449999988</v>
      </c>
      <c r="T143" s="133" t="str">
        <f t="shared" si="76"/>
        <v>Monetizar</v>
      </c>
      <c r="U143" s="239"/>
      <c r="V143" s="394">
        <v>45828</v>
      </c>
      <c r="W143" s="393" t="s">
        <v>275</v>
      </c>
      <c r="X143" s="393" t="s">
        <v>275</v>
      </c>
      <c r="Y143" s="393" t="s">
        <v>276</v>
      </c>
      <c r="Z143" s="397">
        <f t="shared" si="77"/>
        <v>101535681.84999999</v>
      </c>
      <c r="AA143" s="225">
        <f t="shared" si="66"/>
        <v>798800.83449999988</v>
      </c>
      <c r="AF143" s="112"/>
    </row>
    <row r="144" spans="2:32" outlineLevel="1">
      <c r="B144" s="125">
        <v>113</v>
      </c>
      <c r="C144" s="120" t="s">
        <v>279</v>
      </c>
      <c r="D144" s="153">
        <v>6029</v>
      </c>
      <c r="E144" s="126">
        <v>45827</v>
      </c>
      <c r="F144" s="126">
        <v>45887</v>
      </c>
      <c r="G144" s="126"/>
      <c r="H144" s="126"/>
      <c r="I144" s="126"/>
      <c r="J144" s="208">
        <f t="shared" ca="1" si="74"/>
        <v>0</v>
      </c>
      <c r="K144" s="218">
        <v>15808.63</v>
      </c>
      <c r="L144" s="218">
        <v>15793.63</v>
      </c>
      <c r="M144" s="129">
        <f t="shared" si="70"/>
        <v>15</v>
      </c>
      <c r="N144" s="130">
        <v>4049.13</v>
      </c>
      <c r="O144" s="130">
        <v>4066</v>
      </c>
      <c r="P144" s="168">
        <f t="shared" si="75"/>
        <v>16.869999999999891</v>
      </c>
      <c r="Q144" s="132">
        <f t="shared" si="71"/>
        <v>64011197.991899997</v>
      </c>
      <c r="R144" s="132">
        <f t="shared" si="72"/>
        <v>64216899.579999998</v>
      </c>
      <c r="S144" s="132">
        <f t="shared" si="73"/>
        <v>205701.58810000122</v>
      </c>
      <c r="T144" s="133" t="str">
        <f t="shared" si="76"/>
        <v>Monetizar</v>
      </c>
      <c r="U144" s="239"/>
      <c r="V144" s="394">
        <v>45828</v>
      </c>
      <c r="W144" s="393" t="s">
        <v>275</v>
      </c>
      <c r="X144" s="393" t="s">
        <v>275</v>
      </c>
      <c r="Y144" s="393" t="s">
        <v>276</v>
      </c>
      <c r="Z144" s="397">
        <f t="shared" si="77"/>
        <v>64277889.579999998</v>
      </c>
      <c r="AA144" s="225">
        <f t="shared" si="66"/>
        <v>266691.58810000122</v>
      </c>
      <c r="AF144" s="112"/>
    </row>
    <row r="145" spans="2:32" outlineLevel="1">
      <c r="B145" s="125">
        <v>114</v>
      </c>
      <c r="C145" s="120" t="s">
        <v>310</v>
      </c>
      <c r="D145" s="153">
        <v>6026</v>
      </c>
      <c r="E145" s="126">
        <v>45826</v>
      </c>
      <c r="F145" s="126">
        <v>45886</v>
      </c>
      <c r="G145" s="126"/>
      <c r="H145" s="126"/>
      <c r="I145" s="126"/>
      <c r="J145" s="208">
        <f t="shared" ca="1" si="74"/>
        <v>0</v>
      </c>
      <c r="K145" s="218">
        <v>1446.97</v>
      </c>
      <c r="L145" s="218">
        <v>1446.97</v>
      </c>
      <c r="M145" s="129">
        <f t="shared" si="70"/>
        <v>0</v>
      </c>
      <c r="N145" s="130">
        <v>4049.13</v>
      </c>
      <c r="O145" s="130">
        <v>4066.2</v>
      </c>
      <c r="P145" s="168">
        <f t="shared" si="75"/>
        <v>17.069999999999709</v>
      </c>
      <c r="Q145" s="132">
        <f t="shared" si="71"/>
        <v>5858969.6361000007</v>
      </c>
      <c r="R145" s="132">
        <f t="shared" si="72"/>
        <v>5883669.4139999999</v>
      </c>
      <c r="S145" s="132">
        <f t="shared" si="73"/>
        <v>24699.777899999171</v>
      </c>
      <c r="T145" s="133" t="str">
        <f t="shared" si="76"/>
        <v>Monetizar</v>
      </c>
      <c r="U145" s="239"/>
      <c r="V145" s="394">
        <v>45828</v>
      </c>
      <c r="W145" s="393" t="s">
        <v>275</v>
      </c>
      <c r="X145" s="393" t="s">
        <v>275</v>
      </c>
      <c r="Y145" s="393" t="s">
        <v>276</v>
      </c>
      <c r="Z145" s="397">
        <f t="shared" si="77"/>
        <v>5883669.4139999999</v>
      </c>
      <c r="AA145" s="225">
        <f t="shared" si="66"/>
        <v>24699.777899999171</v>
      </c>
      <c r="AF145" s="112"/>
    </row>
    <row r="146" spans="2:32" outlineLevel="1">
      <c r="B146" s="125">
        <v>115</v>
      </c>
      <c r="C146" s="120" t="s">
        <v>312</v>
      </c>
      <c r="D146" s="153">
        <v>5873</v>
      </c>
      <c r="E146" s="126">
        <v>45771</v>
      </c>
      <c r="F146" s="126">
        <v>45828</v>
      </c>
      <c r="G146" s="126"/>
      <c r="H146" s="126"/>
      <c r="I146" s="126"/>
      <c r="J146" s="208">
        <f t="shared" ca="1" si="74"/>
        <v>0</v>
      </c>
      <c r="K146" s="218">
        <v>758.25</v>
      </c>
      <c r="L146" s="218">
        <v>745.32080294874925</v>
      </c>
      <c r="M146" s="129">
        <f t="shared" si="70"/>
        <v>12.929197051250753</v>
      </c>
      <c r="N146" s="130">
        <v>4097.7299999999996</v>
      </c>
      <c r="O146" s="130">
        <v>4062.1</v>
      </c>
      <c r="P146" s="168">
        <f t="shared" si="75"/>
        <v>-35.629999999999654</v>
      </c>
      <c r="Q146" s="132">
        <f t="shared" si="71"/>
        <v>3107103.7724999995</v>
      </c>
      <c r="R146" s="132">
        <f t="shared" si="72"/>
        <v>3027567.6336581144</v>
      </c>
      <c r="S146" s="132">
        <f t="shared" si="73"/>
        <v>-79536.138841885142</v>
      </c>
      <c r="T146" s="133" t="str">
        <f t="shared" si="76"/>
        <v>No Monetizar</v>
      </c>
      <c r="U146" s="309"/>
      <c r="V146" s="394">
        <v>45828</v>
      </c>
      <c r="W146" s="393" t="s">
        <v>275</v>
      </c>
      <c r="X146" s="393" t="s">
        <v>275</v>
      </c>
      <c r="Y146" s="393" t="s">
        <v>313</v>
      </c>
      <c r="Z146" s="397">
        <f t="shared" si="77"/>
        <v>3080087.3249999997</v>
      </c>
      <c r="AA146" s="225">
        <f t="shared" si="66"/>
        <v>-27016.447499999776</v>
      </c>
      <c r="AF146" s="112"/>
    </row>
    <row r="147" spans="2:32" outlineLevel="1">
      <c r="B147" s="125">
        <v>116</v>
      </c>
      <c r="C147" s="120" t="s">
        <v>312</v>
      </c>
      <c r="D147" s="153">
        <v>5881</v>
      </c>
      <c r="E147" s="126">
        <v>45771</v>
      </c>
      <c r="F147" s="126">
        <v>45828</v>
      </c>
      <c r="G147" s="126"/>
      <c r="H147" s="126"/>
      <c r="I147" s="126"/>
      <c r="J147" s="208">
        <f t="shared" ca="1" si="74"/>
        <v>0</v>
      </c>
      <c r="K147" s="218">
        <v>1001.14</v>
      </c>
      <c r="L147" s="218">
        <v>984.06919705125074</v>
      </c>
      <c r="M147" s="129">
        <f t="shared" ref="M147:M167" si="78">K147-L147</f>
        <v>17.070802948749247</v>
      </c>
      <c r="N147" s="130">
        <v>4357.3900000000003</v>
      </c>
      <c r="O147" s="130">
        <v>4062.1</v>
      </c>
      <c r="P147" s="168">
        <f t="shared" si="75"/>
        <v>-295.29000000000042</v>
      </c>
      <c r="Q147" s="132">
        <f t="shared" ref="Q147:Q167" si="79">K147*N147</f>
        <v>4362357.4246000005</v>
      </c>
      <c r="R147" s="132">
        <f t="shared" si="72"/>
        <v>3997387.4853418856</v>
      </c>
      <c r="S147" s="132">
        <f t="shared" si="73"/>
        <v>-364969.9392581149</v>
      </c>
      <c r="T147" s="133" t="str">
        <f t="shared" si="76"/>
        <v>No Monetizar</v>
      </c>
      <c r="U147" s="309"/>
      <c r="V147" s="394">
        <v>45828</v>
      </c>
      <c r="W147" s="393" t="s">
        <v>275</v>
      </c>
      <c r="X147" s="393" t="s">
        <v>275</v>
      </c>
      <c r="Y147" s="393" t="s">
        <v>314</v>
      </c>
      <c r="Z147" s="397">
        <f t="shared" si="77"/>
        <v>4066730.7939999998</v>
      </c>
      <c r="AA147" s="225">
        <f t="shared" si="66"/>
        <v>-295626.63060000073</v>
      </c>
      <c r="AF147" s="112"/>
    </row>
    <row r="148" spans="2:32" outlineLevel="1">
      <c r="B148" s="125">
        <v>117</v>
      </c>
      <c r="C148" s="120" t="s">
        <v>121</v>
      </c>
      <c r="D148" s="153">
        <v>6015</v>
      </c>
      <c r="E148" s="126">
        <v>45831</v>
      </c>
      <c r="F148" s="126">
        <v>45891</v>
      </c>
      <c r="G148" s="126"/>
      <c r="H148" s="126"/>
      <c r="I148" s="126"/>
      <c r="J148" s="208">
        <f t="shared" ca="1" si="74"/>
        <v>0</v>
      </c>
      <c r="K148" s="134">
        <v>261338.74</v>
      </c>
      <c r="L148" s="134">
        <v>261338.74</v>
      </c>
      <c r="M148" s="129">
        <f t="shared" si="78"/>
        <v>0</v>
      </c>
      <c r="N148" s="130">
        <v>3957.85</v>
      </c>
      <c r="O148" s="130">
        <v>4074</v>
      </c>
      <c r="P148" s="168">
        <f t="shared" si="75"/>
        <v>116.15000000000009</v>
      </c>
      <c r="Q148" s="132">
        <f t="shared" si="79"/>
        <v>1034339532.109</v>
      </c>
      <c r="R148" s="132">
        <f t="shared" ref="R148:R167" si="80">L148*O148</f>
        <v>1064694026.76</v>
      </c>
      <c r="S148" s="132">
        <f t="shared" si="73"/>
        <v>30354494.651000023</v>
      </c>
      <c r="T148" s="133" t="str">
        <f t="shared" si="76"/>
        <v>Monetizar</v>
      </c>
      <c r="U148" s="239"/>
      <c r="V148" s="394">
        <v>45832</v>
      </c>
      <c r="W148" s="393" t="s">
        <v>275</v>
      </c>
      <c r="X148" s="393" t="s">
        <v>275</v>
      </c>
      <c r="Y148" s="393" t="s">
        <v>276</v>
      </c>
      <c r="Z148" s="397">
        <f t="shared" si="77"/>
        <v>1064694026.76</v>
      </c>
      <c r="AA148" s="225">
        <f t="shared" si="66"/>
        <v>30354494.651000023</v>
      </c>
      <c r="AF148" s="112"/>
    </row>
    <row r="149" spans="2:32" outlineLevel="1">
      <c r="B149" s="125">
        <v>118</v>
      </c>
      <c r="C149" s="120" t="s">
        <v>120</v>
      </c>
      <c r="D149" s="153">
        <v>6030</v>
      </c>
      <c r="E149" s="126">
        <v>45831</v>
      </c>
      <c r="F149" s="126">
        <v>45891</v>
      </c>
      <c r="G149" s="126"/>
      <c r="H149" s="126"/>
      <c r="I149" s="126"/>
      <c r="J149" s="208">
        <f t="shared" ca="1" si="74"/>
        <v>0</v>
      </c>
      <c r="K149" s="134">
        <v>4351.0600000000004</v>
      </c>
      <c r="L149" s="134">
        <v>4331.0600000000004</v>
      </c>
      <c r="M149" s="129">
        <f t="shared" si="78"/>
        <v>20</v>
      </c>
      <c r="N149" s="130">
        <v>4049.13</v>
      </c>
      <c r="O149" s="130">
        <v>4073.5</v>
      </c>
      <c r="P149" s="168">
        <f t="shared" si="75"/>
        <v>24.369999999999891</v>
      </c>
      <c r="Q149" s="132">
        <f t="shared" si="79"/>
        <v>17618007.577800002</v>
      </c>
      <c r="R149" s="132">
        <f t="shared" si="80"/>
        <v>17642572.91</v>
      </c>
      <c r="S149" s="132">
        <f t="shared" si="73"/>
        <v>24565.3321999982</v>
      </c>
      <c r="T149" s="133" t="str">
        <f t="shared" si="76"/>
        <v>Monetizar</v>
      </c>
      <c r="U149" s="239"/>
      <c r="V149" s="394">
        <v>45832</v>
      </c>
      <c r="W149" s="393" t="s">
        <v>275</v>
      </c>
      <c r="X149" s="393" t="s">
        <v>275</v>
      </c>
      <c r="Y149" s="393" t="s">
        <v>276</v>
      </c>
      <c r="Z149" s="397">
        <f t="shared" si="77"/>
        <v>17724042.91</v>
      </c>
      <c r="AA149" s="225">
        <f t="shared" si="66"/>
        <v>106035.3321999982</v>
      </c>
      <c r="AF149" s="112"/>
    </row>
    <row r="150" spans="2:32" outlineLevel="1">
      <c r="B150" s="125">
        <v>119</v>
      </c>
      <c r="C150" s="120" t="s">
        <v>265</v>
      </c>
      <c r="D150" s="153">
        <v>6051</v>
      </c>
      <c r="E150" s="126">
        <v>45832</v>
      </c>
      <c r="F150" s="126">
        <v>45892</v>
      </c>
      <c r="G150" s="126"/>
      <c r="H150" s="126"/>
      <c r="I150" s="126"/>
      <c r="J150" s="208">
        <f t="shared" ca="1" si="74"/>
        <v>0</v>
      </c>
      <c r="K150" s="134">
        <v>19530.169999999998</v>
      </c>
      <c r="L150" s="134">
        <v>19530.169999999998</v>
      </c>
      <c r="M150" s="129">
        <f t="shared" si="78"/>
        <v>0</v>
      </c>
      <c r="N150" s="130">
        <v>3956.32</v>
      </c>
      <c r="O150" s="130">
        <v>4063</v>
      </c>
      <c r="P150" s="168">
        <f t="shared" si="75"/>
        <v>106.67999999999984</v>
      </c>
      <c r="Q150" s="132">
        <f t="shared" si="79"/>
        <v>77267602.174400002</v>
      </c>
      <c r="R150" s="132">
        <f t="shared" si="80"/>
        <v>79351080.709999993</v>
      </c>
      <c r="S150" s="132">
        <f t="shared" si="73"/>
        <v>2083478.5355999917</v>
      </c>
      <c r="T150" s="133" t="str">
        <f t="shared" si="76"/>
        <v>Monetizar</v>
      </c>
      <c r="U150" s="239"/>
      <c r="V150" s="394">
        <v>45832</v>
      </c>
      <c r="W150" s="393" t="s">
        <v>275</v>
      </c>
      <c r="X150" s="393" t="s">
        <v>275</v>
      </c>
      <c r="Y150" s="393" t="s">
        <v>276</v>
      </c>
      <c r="Z150" s="397">
        <f t="shared" si="77"/>
        <v>79351080.709999993</v>
      </c>
      <c r="AA150" s="225">
        <f t="shared" si="66"/>
        <v>2083478.5355999917</v>
      </c>
      <c r="AF150" s="112"/>
    </row>
    <row r="151" spans="2:32" outlineLevel="1">
      <c r="B151" s="125">
        <v>120</v>
      </c>
      <c r="C151" s="120" t="s">
        <v>120</v>
      </c>
      <c r="D151" s="153">
        <v>5886</v>
      </c>
      <c r="E151" s="126">
        <v>45776</v>
      </c>
      <c r="F151" s="126">
        <v>45835</v>
      </c>
      <c r="G151" s="126"/>
      <c r="H151" s="126"/>
      <c r="I151" s="126"/>
      <c r="J151" s="208">
        <f t="shared" ca="1" si="74"/>
        <v>0</v>
      </c>
      <c r="K151" s="134">
        <v>3192.8100000000004</v>
      </c>
      <c r="L151" s="134">
        <v>3172.81</v>
      </c>
      <c r="M151" s="129">
        <f t="shared" si="78"/>
        <v>20.000000000000455</v>
      </c>
      <c r="N151" s="130">
        <v>4286.17</v>
      </c>
      <c r="O151" s="130">
        <v>4021.6</v>
      </c>
      <c r="P151" s="168">
        <f t="shared" si="75"/>
        <v>-264.57000000000016</v>
      </c>
      <c r="Q151" s="132">
        <f t="shared" si="79"/>
        <v>13684926.437700002</v>
      </c>
      <c r="R151" s="132">
        <f t="shared" si="80"/>
        <v>12759772.695999999</v>
      </c>
      <c r="S151" s="132">
        <f t="shared" si="73"/>
        <v>-925153.74170000292</v>
      </c>
      <c r="T151" s="133" t="str">
        <f t="shared" si="76"/>
        <v>No Monetizar</v>
      </c>
      <c r="U151" s="309"/>
      <c r="V151" s="394">
        <v>45835</v>
      </c>
      <c r="W151" s="393" t="s">
        <v>275</v>
      </c>
      <c r="X151" s="393" t="s">
        <v>275</v>
      </c>
      <c r="Y151" s="393" t="s">
        <v>315</v>
      </c>
      <c r="Z151" s="397">
        <f t="shared" si="77"/>
        <v>12840204.696</v>
      </c>
      <c r="AA151" s="225">
        <f t="shared" si="66"/>
        <v>-844721.74170000106</v>
      </c>
      <c r="AF151" s="112"/>
    </row>
    <row r="152" spans="2:32" ht="30" outlineLevel="1">
      <c r="B152" s="125">
        <v>121</v>
      </c>
      <c r="C152" s="120" t="s">
        <v>284</v>
      </c>
      <c r="D152" s="153">
        <v>6035</v>
      </c>
      <c r="E152" s="126">
        <v>45833</v>
      </c>
      <c r="F152" s="126">
        <v>45893</v>
      </c>
      <c r="G152" s="126"/>
      <c r="H152" s="126"/>
      <c r="I152" s="126"/>
      <c r="J152" s="208">
        <f t="shared" ca="1" si="74"/>
        <v>0</v>
      </c>
      <c r="K152" s="134">
        <v>12099.32</v>
      </c>
      <c r="L152" s="134">
        <v>12099.32</v>
      </c>
      <c r="M152" s="129">
        <f t="shared" si="78"/>
        <v>0</v>
      </c>
      <c r="N152" s="130">
        <v>4049.13</v>
      </c>
      <c r="O152" s="130">
        <v>4057</v>
      </c>
      <c r="P152" s="168">
        <f t="shared" si="75"/>
        <v>7.8699999999998909</v>
      </c>
      <c r="Q152" s="132">
        <f t="shared" si="79"/>
        <v>48991719.591600001</v>
      </c>
      <c r="R152" s="132">
        <f t="shared" si="80"/>
        <v>49086941.240000002</v>
      </c>
      <c r="S152" s="132">
        <f t="shared" ref="S152:S167" si="81">R152-Q152</f>
        <v>95221.648400001228</v>
      </c>
      <c r="T152" s="133" t="str">
        <f t="shared" si="76"/>
        <v>Monetizar</v>
      </c>
      <c r="U152" s="239"/>
      <c r="V152" s="394">
        <v>45835</v>
      </c>
      <c r="W152" s="393" t="s">
        <v>275</v>
      </c>
      <c r="X152" s="393" t="s">
        <v>275</v>
      </c>
      <c r="Y152" s="393" t="s">
        <v>276</v>
      </c>
      <c r="Z152" s="397">
        <f t="shared" si="77"/>
        <v>49086941.240000002</v>
      </c>
      <c r="AA152" s="225">
        <f t="shared" si="66"/>
        <v>95221.648400001228</v>
      </c>
      <c r="AF152" s="112"/>
    </row>
    <row r="153" spans="2:32" ht="30" outlineLevel="1">
      <c r="B153" s="125">
        <v>122</v>
      </c>
      <c r="C153" s="120" t="s">
        <v>284</v>
      </c>
      <c r="D153" s="153">
        <v>6053</v>
      </c>
      <c r="E153" s="126">
        <v>45833</v>
      </c>
      <c r="F153" s="126">
        <v>45893</v>
      </c>
      <c r="G153" s="126"/>
      <c r="H153" s="126"/>
      <c r="I153" s="126"/>
      <c r="J153" s="208">
        <f t="shared" ca="1" si="74"/>
        <v>0</v>
      </c>
      <c r="K153" s="134">
        <v>4672.13</v>
      </c>
      <c r="L153" s="134">
        <v>4672.13</v>
      </c>
      <c r="M153" s="129">
        <f t="shared" si="78"/>
        <v>0</v>
      </c>
      <c r="N153" s="130">
        <v>4049.13</v>
      </c>
      <c r="O153" s="130">
        <v>4057</v>
      </c>
      <c r="P153" s="168">
        <f t="shared" si="75"/>
        <v>7.8699999999998909</v>
      </c>
      <c r="Q153" s="132">
        <f t="shared" si="79"/>
        <v>18918061.7469</v>
      </c>
      <c r="R153" s="132">
        <f t="shared" si="80"/>
        <v>18954831.41</v>
      </c>
      <c r="S153" s="132">
        <f t="shared" si="81"/>
        <v>36769.663100000471</v>
      </c>
      <c r="T153" s="133" t="str">
        <f t="shared" si="76"/>
        <v>Monetizar</v>
      </c>
      <c r="U153" s="239"/>
      <c r="V153" s="394">
        <v>45835</v>
      </c>
      <c r="W153" s="393" t="s">
        <v>275</v>
      </c>
      <c r="X153" s="393" t="s">
        <v>275</v>
      </c>
      <c r="Y153" s="393" t="s">
        <v>276</v>
      </c>
      <c r="Z153" s="397">
        <f t="shared" si="77"/>
        <v>18954831.41</v>
      </c>
      <c r="AA153" s="225">
        <f t="shared" si="66"/>
        <v>36769.663100000471</v>
      </c>
      <c r="AF153" s="112"/>
    </row>
    <row r="154" spans="2:32" outlineLevel="1">
      <c r="B154" s="125">
        <v>123</v>
      </c>
      <c r="C154" s="120" t="s">
        <v>316</v>
      </c>
      <c r="D154" s="153">
        <v>6073</v>
      </c>
      <c r="E154" s="126">
        <v>45839</v>
      </c>
      <c r="F154" s="126">
        <v>45899</v>
      </c>
      <c r="G154" s="126"/>
      <c r="H154" s="126"/>
      <c r="I154" s="126"/>
      <c r="J154" s="208">
        <f t="shared" ca="1" si="74"/>
        <v>0</v>
      </c>
      <c r="K154" s="134">
        <v>15438.05</v>
      </c>
      <c r="L154" s="134">
        <v>15438.05</v>
      </c>
      <c r="M154" s="129">
        <f t="shared" si="78"/>
        <v>0</v>
      </c>
      <c r="N154" s="130">
        <v>3956.32</v>
      </c>
      <c r="O154" s="130">
        <v>4046.58</v>
      </c>
      <c r="P154" s="168">
        <f t="shared" si="75"/>
        <v>90.259999999999764</v>
      </c>
      <c r="Q154" s="132">
        <f t="shared" si="79"/>
        <v>61077865.975999996</v>
      </c>
      <c r="R154" s="132">
        <f t="shared" si="80"/>
        <v>62471304.368999995</v>
      </c>
      <c r="S154" s="132">
        <f t="shared" si="81"/>
        <v>1393438.3929999992</v>
      </c>
      <c r="T154" s="133" t="str">
        <f t="shared" si="76"/>
        <v>Monetizar</v>
      </c>
      <c r="U154" s="239"/>
      <c r="V154" s="394">
        <v>45835</v>
      </c>
      <c r="W154" s="393" t="s">
        <v>275</v>
      </c>
      <c r="X154" s="393" t="s">
        <v>275</v>
      </c>
      <c r="Y154" s="393" t="s">
        <v>276</v>
      </c>
      <c r="Z154" s="397">
        <f t="shared" si="77"/>
        <v>62471304.368999995</v>
      </c>
      <c r="AA154" s="225">
        <f t="shared" si="66"/>
        <v>1393438.3929999992</v>
      </c>
      <c r="AF154" s="112"/>
    </row>
    <row r="155" spans="2:32" outlineLevel="1">
      <c r="B155" s="125">
        <v>124</v>
      </c>
      <c r="C155" s="120" t="s">
        <v>117</v>
      </c>
      <c r="D155" s="153">
        <v>6094</v>
      </c>
      <c r="E155" s="126" t="s">
        <v>317</v>
      </c>
      <c r="F155" s="126">
        <v>45905</v>
      </c>
      <c r="G155" s="126"/>
      <c r="H155" s="126"/>
      <c r="I155" s="126"/>
      <c r="J155" s="208">
        <f t="shared" ca="1" si="74"/>
        <v>0</v>
      </c>
      <c r="K155" s="134">
        <f>421.75</f>
        <v>421.75</v>
      </c>
      <c r="L155" s="134">
        <v>416.75</v>
      </c>
      <c r="M155" s="129">
        <f t="shared" si="78"/>
        <v>5</v>
      </c>
      <c r="N155" s="130">
        <v>3997.71</v>
      </c>
      <c r="O155" s="130">
        <v>4023.1</v>
      </c>
      <c r="P155" s="168">
        <f t="shared" si="75"/>
        <v>25.389999999999873</v>
      </c>
      <c r="Q155" s="132">
        <f t="shared" si="79"/>
        <v>1686034.1925000001</v>
      </c>
      <c r="R155" s="132">
        <f t="shared" si="80"/>
        <v>1676626.925</v>
      </c>
      <c r="S155" s="132">
        <f t="shared" si="81"/>
        <v>-9407.2675000000745</v>
      </c>
      <c r="T155" s="133" t="str">
        <f t="shared" si="76"/>
        <v>No Monetizar</v>
      </c>
      <c r="U155" s="239"/>
      <c r="V155" s="394">
        <v>45845</v>
      </c>
      <c r="W155" s="393" t="s">
        <v>275</v>
      </c>
      <c r="X155" s="393" t="s">
        <v>275</v>
      </c>
      <c r="Y155" s="393" t="s">
        <v>276</v>
      </c>
      <c r="Z155" s="397">
        <f t="shared" si="77"/>
        <v>1696742.425</v>
      </c>
      <c r="AA155" s="225">
        <f t="shared" si="66"/>
        <v>10708.232499999925</v>
      </c>
      <c r="AF155" s="112"/>
    </row>
    <row r="156" spans="2:32" outlineLevel="1">
      <c r="B156" s="125">
        <v>125</v>
      </c>
      <c r="C156" s="120" t="s">
        <v>117</v>
      </c>
      <c r="D156" s="153">
        <v>6072</v>
      </c>
      <c r="E156" s="126">
        <v>45839</v>
      </c>
      <c r="F156" s="126">
        <v>45899</v>
      </c>
      <c r="G156" s="126"/>
      <c r="H156" s="126"/>
      <c r="I156" s="126"/>
      <c r="J156" s="208">
        <f t="shared" ca="1" si="74"/>
        <v>0</v>
      </c>
      <c r="K156" s="134">
        <v>117303.06</v>
      </c>
      <c r="L156" s="134">
        <v>117288.06</v>
      </c>
      <c r="M156" s="129">
        <f t="shared" si="78"/>
        <v>15</v>
      </c>
      <c r="N156" s="130">
        <v>4047.64</v>
      </c>
      <c r="O156" s="130">
        <v>4051</v>
      </c>
      <c r="P156" s="168">
        <f t="shared" si="75"/>
        <v>3.3600000000001273</v>
      </c>
      <c r="Q156" s="132">
        <f t="shared" si="79"/>
        <v>474800557.7784</v>
      </c>
      <c r="R156" s="132">
        <f t="shared" si="80"/>
        <v>475133931.06</v>
      </c>
      <c r="S156" s="132">
        <f t="shared" si="81"/>
        <v>333373.28159999847</v>
      </c>
      <c r="T156" s="133" t="str">
        <f t="shared" si="76"/>
        <v>Monetizar</v>
      </c>
      <c r="U156" s="239"/>
      <c r="V156" s="394">
        <v>45845</v>
      </c>
      <c r="W156" s="393" t="s">
        <v>275</v>
      </c>
      <c r="X156" s="393" t="s">
        <v>275</v>
      </c>
      <c r="Y156" s="393" t="s">
        <v>276</v>
      </c>
      <c r="Z156" s="397">
        <f t="shared" si="77"/>
        <v>475194696.06</v>
      </c>
      <c r="AA156" s="225">
        <f t="shared" si="66"/>
        <v>394138.28159999847</v>
      </c>
      <c r="AF156" s="112"/>
    </row>
    <row r="157" spans="2:32" outlineLevel="1">
      <c r="B157" s="125">
        <v>126</v>
      </c>
      <c r="C157" s="120" t="s">
        <v>287</v>
      </c>
      <c r="D157" s="153">
        <v>6034</v>
      </c>
      <c r="E157" s="126">
        <v>45847</v>
      </c>
      <c r="F157" s="126">
        <v>45907</v>
      </c>
      <c r="G157" s="126"/>
      <c r="H157" s="126"/>
      <c r="I157" s="126"/>
      <c r="J157" s="208">
        <f t="shared" ref="J157:J167" ca="1" si="82">IFERROR(IF(TODAY()&gt;=E157,(TODAY()-E157)/I157,0),0)*0</f>
        <v>0</v>
      </c>
      <c r="K157" s="134">
        <v>1162.82</v>
      </c>
      <c r="L157" s="134">
        <v>1162.82</v>
      </c>
      <c r="M157" s="129">
        <f t="shared" si="78"/>
        <v>0</v>
      </c>
      <c r="N157" s="130">
        <v>4019.13</v>
      </c>
      <c r="O157" s="130">
        <v>4019.99</v>
      </c>
      <c r="P157" s="168">
        <f t="shared" si="75"/>
        <v>0.85999999999967258</v>
      </c>
      <c r="Q157" s="132">
        <f t="shared" si="79"/>
        <v>4673524.7466000002</v>
      </c>
      <c r="R157" s="132">
        <f t="shared" si="80"/>
        <v>4674524.7717999993</v>
      </c>
      <c r="S157" s="132">
        <f t="shared" si="81"/>
        <v>1000.0251999991015</v>
      </c>
      <c r="T157" s="133" t="str">
        <f t="shared" si="76"/>
        <v>Monetizar</v>
      </c>
      <c r="U157" s="239"/>
      <c r="V157" s="394">
        <v>45845</v>
      </c>
      <c r="W157" s="393" t="s">
        <v>275</v>
      </c>
      <c r="X157" s="393" t="s">
        <v>275</v>
      </c>
      <c r="Y157" s="393" t="s">
        <v>276</v>
      </c>
      <c r="Z157" s="397">
        <f t="shared" si="77"/>
        <v>4674524.7717999993</v>
      </c>
      <c r="AA157" s="225">
        <f t="shared" si="66"/>
        <v>1000.0251999991015</v>
      </c>
      <c r="AF157" s="112"/>
    </row>
    <row r="158" spans="2:32" outlineLevel="1">
      <c r="B158" s="125">
        <v>127</v>
      </c>
      <c r="C158" s="120" t="s">
        <v>277</v>
      </c>
      <c r="D158" s="153">
        <v>5926</v>
      </c>
      <c r="E158" s="126">
        <v>45789</v>
      </c>
      <c r="F158" s="126">
        <v>45849</v>
      </c>
      <c r="G158" s="126"/>
      <c r="H158" s="126"/>
      <c r="I158" s="126"/>
      <c r="J158" s="208">
        <f t="shared" ca="1" si="82"/>
        <v>0</v>
      </c>
      <c r="K158" s="134">
        <v>14453.63</v>
      </c>
      <c r="L158" s="134">
        <v>14453.63</v>
      </c>
      <c r="M158" s="129">
        <f t="shared" si="78"/>
        <v>0</v>
      </c>
      <c r="N158" s="130">
        <v>4237.9799999999996</v>
      </c>
      <c r="O158" s="130">
        <v>3988</v>
      </c>
      <c r="P158" s="168">
        <f t="shared" si="75"/>
        <v>-249.97999999999956</v>
      </c>
      <c r="Q158" s="132">
        <f t="shared" si="79"/>
        <v>61254194.867399991</v>
      </c>
      <c r="R158" s="132">
        <f t="shared" si="80"/>
        <v>57641076.439999998</v>
      </c>
      <c r="S158" s="132">
        <f t="shared" si="81"/>
        <v>-3613118.4273999929</v>
      </c>
      <c r="T158" s="133" t="str">
        <f t="shared" si="76"/>
        <v>No Monetizar</v>
      </c>
      <c r="U158" s="209"/>
      <c r="V158" s="210">
        <v>45849</v>
      </c>
      <c r="W158" s="393" t="s">
        <v>275</v>
      </c>
      <c r="X158" s="393" t="s">
        <v>275</v>
      </c>
      <c r="Y158" s="393" t="s">
        <v>318</v>
      </c>
      <c r="Z158" s="211">
        <f t="shared" si="77"/>
        <v>57641076.439999998</v>
      </c>
      <c r="AA158" s="225">
        <f t="shared" si="66"/>
        <v>-3613118.4273999929</v>
      </c>
      <c r="AF158" s="112"/>
    </row>
    <row r="159" spans="2:32" outlineLevel="1">
      <c r="B159" s="125">
        <v>128</v>
      </c>
      <c r="C159" s="120" t="s">
        <v>303</v>
      </c>
      <c r="D159" s="153">
        <v>6100</v>
      </c>
      <c r="E159" s="126">
        <v>45853</v>
      </c>
      <c r="F159" s="126">
        <v>45913</v>
      </c>
      <c r="G159" s="126"/>
      <c r="H159" s="126"/>
      <c r="I159" s="126"/>
      <c r="J159" s="208">
        <f t="shared" ca="1" si="82"/>
        <v>0</v>
      </c>
      <c r="K159" s="134">
        <v>3311.68</v>
      </c>
      <c r="L159" s="134">
        <v>3311.68</v>
      </c>
      <c r="M159" s="129">
        <f t="shared" si="78"/>
        <v>0</v>
      </c>
      <c r="N159" s="130">
        <v>3924.37</v>
      </c>
      <c r="O159" s="130">
        <v>3981.3</v>
      </c>
      <c r="P159" s="168">
        <f t="shared" si="75"/>
        <v>56.930000000000291</v>
      </c>
      <c r="Q159" s="132">
        <f t="shared" si="79"/>
        <v>12996257.6416</v>
      </c>
      <c r="R159" s="132">
        <f t="shared" si="80"/>
        <v>13184791.584000001</v>
      </c>
      <c r="S159" s="132">
        <f t="shared" si="81"/>
        <v>188533.94240000099</v>
      </c>
      <c r="T159" s="133" t="str">
        <f t="shared" si="76"/>
        <v>Monetizar</v>
      </c>
      <c r="U159" s="293"/>
      <c r="V159" s="394">
        <v>45853</v>
      </c>
      <c r="W159" s="393" t="s">
        <v>275</v>
      </c>
      <c r="X159" s="393" t="s">
        <v>275</v>
      </c>
      <c r="Y159" s="393" t="s">
        <v>276</v>
      </c>
      <c r="Z159" s="397">
        <f t="shared" si="77"/>
        <v>13184791.584000001</v>
      </c>
      <c r="AA159" s="225">
        <f t="shared" si="66"/>
        <v>188533.94240000099</v>
      </c>
      <c r="AF159" s="112"/>
    </row>
    <row r="160" spans="2:32" outlineLevel="1">
      <c r="B160" s="125">
        <v>129</v>
      </c>
      <c r="C160" s="120" t="s">
        <v>117</v>
      </c>
      <c r="D160" s="153">
        <v>6101</v>
      </c>
      <c r="E160" s="126">
        <v>45849</v>
      </c>
      <c r="F160" s="126">
        <v>45909</v>
      </c>
      <c r="G160" s="126"/>
      <c r="H160" s="126"/>
      <c r="I160" s="126"/>
      <c r="J160" s="208">
        <f t="shared" ca="1" si="82"/>
        <v>0</v>
      </c>
      <c r="K160" s="134">
        <v>5443.41</v>
      </c>
      <c r="L160" s="134">
        <v>5433.41</v>
      </c>
      <c r="M160" s="129">
        <f t="shared" si="78"/>
        <v>10</v>
      </c>
      <c r="N160" s="130">
        <v>3997.71</v>
      </c>
      <c r="O160" s="130">
        <v>4010.2</v>
      </c>
      <c r="P160" s="168">
        <f t="shared" si="75"/>
        <v>12.489999999999782</v>
      </c>
      <c r="Q160" s="168">
        <f t="shared" si="79"/>
        <v>21761174.5911</v>
      </c>
      <c r="R160" s="168">
        <f t="shared" si="80"/>
        <v>21789060.781999998</v>
      </c>
      <c r="S160" s="168">
        <f t="shared" si="81"/>
        <v>27886.19089999795</v>
      </c>
      <c r="T160" s="216" t="str">
        <f t="shared" si="76"/>
        <v>Monetizar</v>
      </c>
      <c r="U160" s="293"/>
      <c r="V160" s="394">
        <v>45853</v>
      </c>
      <c r="W160" s="393" t="s">
        <v>275</v>
      </c>
      <c r="X160" s="393" t="s">
        <v>275</v>
      </c>
      <c r="Y160" s="393" t="s">
        <v>276</v>
      </c>
      <c r="Z160" s="397">
        <f t="shared" si="77"/>
        <v>21829162.781999998</v>
      </c>
      <c r="AA160" s="225">
        <f t="shared" ref="AA160:AA223" si="83">Z160-Q160</f>
        <v>67988.19089999795</v>
      </c>
      <c r="AF160" s="112"/>
    </row>
    <row r="161" spans="2:32" outlineLevel="1">
      <c r="B161" s="125">
        <v>130</v>
      </c>
      <c r="C161" s="120" t="s">
        <v>116</v>
      </c>
      <c r="D161" s="153">
        <v>6137</v>
      </c>
      <c r="E161" s="126">
        <v>45856</v>
      </c>
      <c r="F161" s="126">
        <v>45916</v>
      </c>
      <c r="G161" s="126"/>
      <c r="H161" s="126"/>
      <c r="I161" s="126"/>
      <c r="J161" s="208">
        <f t="shared" ca="1" si="82"/>
        <v>0</v>
      </c>
      <c r="K161" s="134">
        <v>5179.43</v>
      </c>
      <c r="L161" s="134">
        <v>5169.43</v>
      </c>
      <c r="M161" s="129">
        <f t="shared" si="78"/>
        <v>10</v>
      </c>
      <c r="N161" s="130">
        <v>3833.9</v>
      </c>
      <c r="O161" s="130">
        <v>3991</v>
      </c>
      <c r="P161" s="168">
        <f t="shared" si="75"/>
        <v>157.09999999999991</v>
      </c>
      <c r="Q161" s="132">
        <f t="shared" si="79"/>
        <v>19857416.677000001</v>
      </c>
      <c r="R161" s="132">
        <f t="shared" si="80"/>
        <v>20631195.130000003</v>
      </c>
      <c r="S161" s="132">
        <f t="shared" si="81"/>
        <v>773778.45300000161</v>
      </c>
      <c r="T161" s="133" t="str">
        <f t="shared" si="76"/>
        <v>Monetizar</v>
      </c>
      <c r="U161" s="293"/>
      <c r="V161" s="394">
        <v>45859</v>
      </c>
      <c r="W161" s="393" t="s">
        <v>275</v>
      </c>
      <c r="X161" s="393" t="s">
        <v>275</v>
      </c>
      <c r="Y161" s="393" t="s">
        <v>276</v>
      </c>
      <c r="Z161" s="397">
        <f t="shared" si="77"/>
        <v>20671105.130000003</v>
      </c>
      <c r="AA161" s="225">
        <f t="shared" si="83"/>
        <v>813688.45300000161</v>
      </c>
      <c r="AF161" s="112"/>
    </row>
    <row r="162" spans="2:32" outlineLevel="1">
      <c r="B162" s="125">
        <v>131</v>
      </c>
      <c r="C162" s="120" t="s">
        <v>310</v>
      </c>
      <c r="D162" s="153">
        <v>6122</v>
      </c>
      <c r="E162" s="126">
        <v>45856</v>
      </c>
      <c r="F162" s="126">
        <v>45916</v>
      </c>
      <c r="G162" s="126"/>
      <c r="H162" s="126"/>
      <c r="I162" s="126"/>
      <c r="J162" s="208">
        <f t="shared" ca="1" si="82"/>
        <v>0</v>
      </c>
      <c r="K162" s="134">
        <v>1519.92</v>
      </c>
      <c r="L162" s="134">
        <v>1519.92</v>
      </c>
      <c r="M162" s="129">
        <f t="shared" si="78"/>
        <v>0</v>
      </c>
      <c r="N162" s="130">
        <v>3833.9</v>
      </c>
      <c r="O162" s="130">
        <v>3995</v>
      </c>
      <c r="P162" s="168">
        <f t="shared" si="75"/>
        <v>161.09999999999991</v>
      </c>
      <c r="Q162" s="132">
        <f t="shared" si="79"/>
        <v>5827221.2880000006</v>
      </c>
      <c r="R162" s="132">
        <f t="shared" si="80"/>
        <v>6072080.4000000004</v>
      </c>
      <c r="S162" s="132">
        <f t="shared" si="81"/>
        <v>244859.11199999973</v>
      </c>
      <c r="T162" s="133" t="str">
        <f t="shared" si="76"/>
        <v>Monetizar</v>
      </c>
      <c r="U162" s="293"/>
      <c r="V162" s="394">
        <v>45859</v>
      </c>
      <c r="W162" s="393" t="s">
        <v>275</v>
      </c>
      <c r="X162" s="393" t="s">
        <v>275</v>
      </c>
      <c r="Y162" s="393" t="s">
        <v>276</v>
      </c>
      <c r="Z162" s="397">
        <f t="shared" si="77"/>
        <v>6072080.4000000004</v>
      </c>
      <c r="AA162" s="225">
        <f t="shared" si="83"/>
        <v>244859.11199999973</v>
      </c>
      <c r="AF162" s="112"/>
    </row>
    <row r="163" spans="2:32" outlineLevel="1">
      <c r="B163" s="125">
        <v>132</v>
      </c>
      <c r="C163" s="120" t="s">
        <v>120</v>
      </c>
      <c r="D163" s="153">
        <v>5949</v>
      </c>
      <c r="E163" s="126">
        <v>45799</v>
      </c>
      <c r="F163" s="126">
        <v>45859</v>
      </c>
      <c r="G163" s="126"/>
      <c r="H163" s="126"/>
      <c r="I163" s="126"/>
      <c r="J163" s="208">
        <f t="shared" ca="1" si="82"/>
        <v>0</v>
      </c>
      <c r="K163" s="134">
        <v>3089.27</v>
      </c>
      <c r="L163" s="134">
        <v>3069.27</v>
      </c>
      <c r="M163" s="129">
        <f t="shared" si="78"/>
        <v>20</v>
      </c>
      <c r="N163" s="130">
        <v>4188.6000000000004</v>
      </c>
      <c r="O163" s="130">
        <v>4006</v>
      </c>
      <c r="P163" s="168">
        <f t="shared" si="75"/>
        <v>-182.60000000000036</v>
      </c>
      <c r="Q163" s="132">
        <f t="shared" si="79"/>
        <v>12939716.322000001</v>
      </c>
      <c r="R163" s="132">
        <f t="shared" si="80"/>
        <v>12295495.619999999</v>
      </c>
      <c r="S163" s="132">
        <f t="shared" si="81"/>
        <v>-644220.70200000145</v>
      </c>
      <c r="T163" s="133" t="str">
        <f t="shared" si="76"/>
        <v>No Monetizar</v>
      </c>
      <c r="U163" s="209"/>
      <c r="V163" s="210">
        <v>45859</v>
      </c>
      <c r="W163" s="393" t="s">
        <v>275</v>
      </c>
      <c r="X163" s="393" t="s">
        <v>275</v>
      </c>
      <c r="Y163" s="393" t="s">
        <v>319</v>
      </c>
      <c r="Z163" s="211">
        <f t="shared" si="77"/>
        <v>12375615.619999999</v>
      </c>
      <c r="AA163" s="225">
        <f t="shared" si="83"/>
        <v>-564100.70200000145</v>
      </c>
      <c r="AF163" s="112"/>
    </row>
    <row r="164" spans="2:32" outlineLevel="1">
      <c r="B164" s="125">
        <v>133</v>
      </c>
      <c r="C164" s="120" t="s">
        <v>288</v>
      </c>
      <c r="D164" s="153">
        <v>6115</v>
      </c>
      <c r="E164" s="126">
        <v>45861</v>
      </c>
      <c r="F164" s="126">
        <v>45921</v>
      </c>
      <c r="G164" s="126"/>
      <c r="H164" s="126"/>
      <c r="I164" s="126"/>
      <c r="J164" s="208">
        <f t="shared" ca="1" si="82"/>
        <v>0</v>
      </c>
      <c r="K164" s="134">
        <v>24966.19</v>
      </c>
      <c r="L164" s="134">
        <v>24905.19</v>
      </c>
      <c r="M164" s="129">
        <f t="shared" si="78"/>
        <v>61</v>
      </c>
      <c r="N164" s="130">
        <v>3853.9</v>
      </c>
      <c r="O164" s="130">
        <v>4049.1</v>
      </c>
      <c r="P164" s="168">
        <f t="shared" si="75"/>
        <v>195.19999999999982</v>
      </c>
      <c r="Q164" s="132">
        <f t="shared" si="79"/>
        <v>96217199.641000003</v>
      </c>
      <c r="R164" s="132">
        <f t="shared" si="80"/>
        <v>100843604.829</v>
      </c>
      <c r="S164" s="132">
        <f t="shared" si="81"/>
        <v>4626405.1879999936</v>
      </c>
      <c r="T164" s="133" t="str">
        <f t="shared" si="76"/>
        <v>Monetizar</v>
      </c>
      <c r="U164" s="293"/>
      <c r="V164" s="394">
        <v>45861</v>
      </c>
      <c r="W164" s="393" t="s">
        <v>275</v>
      </c>
      <c r="X164" s="393" t="s">
        <v>275</v>
      </c>
      <c r="Y164" s="393" t="s">
        <v>276</v>
      </c>
      <c r="Z164" s="397">
        <f t="shared" si="77"/>
        <v>101090599.92899999</v>
      </c>
      <c r="AA164" s="225">
        <f t="shared" si="83"/>
        <v>4873400.2879999876</v>
      </c>
      <c r="AF164" s="112"/>
    </row>
    <row r="165" spans="2:32" outlineLevel="1">
      <c r="B165" s="125">
        <v>134</v>
      </c>
      <c r="C165" s="120" t="s">
        <v>265</v>
      </c>
      <c r="D165" s="153">
        <v>6120</v>
      </c>
      <c r="E165" s="126">
        <v>45861</v>
      </c>
      <c r="F165" s="126">
        <v>45921</v>
      </c>
      <c r="G165" s="126"/>
      <c r="H165" s="126"/>
      <c r="I165" s="126"/>
      <c r="J165" s="208">
        <f t="shared" ca="1" si="82"/>
        <v>0</v>
      </c>
      <c r="K165" s="134">
        <v>19418.03</v>
      </c>
      <c r="L165" s="134">
        <v>19418.03</v>
      </c>
      <c r="M165" s="129">
        <f t="shared" si="78"/>
        <v>0</v>
      </c>
      <c r="N165" s="130">
        <v>3853.9</v>
      </c>
      <c r="O165" s="130">
        <v>4053.61</v>
      </c>
      <c r="P165" s="168">
        <f t="shared" si="75"/>
        <v>199.71000000000004</v>
      </c>
      <c r="Q165" s="132">
        <f t="shared" si="79"/>
        <v>74835145.817000002</v>
      </c>
      <c r="R165" s="132">
        <f t="shared" si="80"/>
        <v>78713120.588300005</v>
      </c>
      <c r="S165" s="132">
        <f t="shared" si="81"/>
        <v>3877974.7713000029</v>
      </c>
      <c r="T165" s="133" t="str">
        <f t="shared" si="76"/>
        <v>Monetizar</v>
      </c>
      <c r="U165" s="293"/>
      <c r="V165" s="394">
        <v>45861</v>
      </c>
      <c r="W165" s="393" t="s">
        <v>275</v>
      </c>
      <c r="X165" s="393" t="s">
        <v>275</v>
      </c>
      <c r="Y165" s="393" t="s">
        <v>276</v>
      </c>
      <c r="Z165" s="397">
        <f t="shared" si="77"/>
        <v>78713120.588300005</v>
      </c>
      <c r="AA165" s="225">
        <f t="shared" si="83"/>
        <v>3877974.7713000029</v>
      </c>
      <c r="AF165" s="112"/>
    </row>
    <row r="166" spans="2:32" ht="30" outlineLevel="1">
      <c r="B166" s="125">
        <v>135</v>
      </c>
      <c r="C166" s="120" t="s">
        <v>284</v>
      </c>
      <c r="D166" s="153">
        <v>6119</v>
      </c>
      <c r="E166" s="126">
        <v>45861</v>
      </c>
      <c r="F166" s="126">
        <v>45921</v>
      </c>
      <c r="G166" s="126"/>
      <c r="H166" s="126"/>
      <c r="I166" s="126"/>
      <c r="J166" s="208">
        <f t="shared" ca="1" si="82"/>
        <v>0</v>
      </c>
      <c r="K166" s="134">
        <v>14850.72</v>
      </c>
      <c r="L166" s="134">
        <v>14850.72</v>
      </c>
      <c r="M166" s="129">
        <f t="shared" si="78"/>
        <v>0</v>
      </c>
      <c r="N166" s="130">
        <v>3853.9</v>
      </c>
      <c r="O166" s="130">
        <v>4053</v>
      </c>
      <c r="P166" s="168">
        <f t="shared" ref="P166:P167" si="84">O166-N166</f>
        <v>199.09999999999991</v>
      </c>
      <c r="Q166" s="132">
        <f t="shared" si="79"/>
        <v>57233189.807999998</v>
      </c>
      <c r="R166" s="132">
        <f t="shared" si="80"/>
        <v>60189968.159999996</v>
      </c>
      <c r="S166" s="132">
        <f t="shared" si="81"/>
        <v>2956778.3519999981</v>
      </c>
      <c r="T166" s="133" t="str">
        <f t="shared" si="76"/>
        <v>Monetizar</v>
      </c>
      <c r="U166" s="293"/>
      <c r="V166" s="394">
        <v>45861</v>
      </c>
      <c r="W166" s="393" t="s">
        <v>275</v>
      </c>
      <c r="X166" s="393" t="s">
        <v>275</v>
      </c>
      <c r="Y166" s="393" t="s">
        <v>276</v>
      </c>
      <c r="Z166" s="397">
        <f t="shared" si="77"/>
        <v>60189968.159999996</v>
      </c>
      <c r="AA166" s="225">
        <f t="shared" si="83"/>
        <v>2956778.3519999981</v>
      </c>
      <c r="AF166" s="112"/>
    </row>
    <row r="167" spans="2:32" outlineLevel="1">
      <c r="B167" s="125">
        <v>136</v>
      </c>
      <c r="C167" s="120" t="s">
        <v>120</v>
      </c>
      <c r="D167" s="153">
        <v>6114</v>
      </c>
      <c r="E167" s="126">
        <v>45861</v>
      </c>
      <c r="F167" s="126">
        <v>45921</v>
      </c>
      <c r="G167" s="126"/>
      <c r="H167" s="126"/>
      <c r="I167" s="126"/>
      <c r="J167" s="208">
        <f t="shared" ca="1" si="82"/>
        <v>0</v>
      </c>
      <c r="K167" s="134">
        <f>3332.43-55.49</f>
        <v>3276.94</v>
      </c>
      <c r="L167" s="134">
        <v>3256.94</v>
      </c>
      <c r="M167" s="129">
        <f t="shared" si="78"/>
        <v>20</v>
      </c>
      <c r="N167" s="130">
        <v>3853.9</v>
      </c>
      <c r="O167" s="130">
        <v>4054.25</v>
      </c>
      <c r="P167" s="168">
        <f t="shared" si="84"/>
        <v>200.34999999999991</v>
      </c>
      <c r="Q167" s="132">
        <f t="shared" si="79"/>
        <v>12628999.066</v>
      </c>
      <c r="R167" s="132">
        <f t="shared" si="80"/>
        <v>13204448.995000001</v>
      </c>
      <c r="S167" s="132">
        <f t="shared" si="81"/>
        <v>575449.9290000014</v>
      </c>
      <c r="T167" s="133" t="str">
        <f t="shared" si="76"/>
        <v>Monetizar</v>
      </c>
      <c r="U167" s="293"/>
      <c r="V167" s="394">
        <v>45861</v>
      </c>
      <c r="W167" s="393" t="s">
        <v>275</v>
      </c>
      <c r="X167" s="393" t="s">
        <v>275</v>
      </c>
      <c r="Y167" s="393" t="s">
        <v>276</v>
      </c>
      <c r="Z167" s="397">
        <f t="shared" si="77"/>
        <v>13285533.995000001</v>
      </c>
      <c r="AA167" s="225">
        <f t="shared" si="83"/>
        <v>656534.9290000014</v>
      </c>
      <c r="AF167" s="112"/>
    </row>
    <row r="168" spans="2:32" outlineLevel="1">
      <c r="B168" s="125">
        <v>137</v>
      </c>
      <c r="C168" s="120" t="s">
        <v>279</v>
      </c>
      <c r="D168" s="153">
        <v>6113</v>
      </c>
      <c r="E168" s="126">
        <v>45862</v>
      </c>
      <c r="F168" s="126">
        <v>45922</v>
      </c>
      <c r="G168" s="126"/>
      <c r="H168" s="126"/>
      <c r="I168" s="126"/>
      <c r="J168" s="208">
        <f t="shared" ref="J168:J170" ca="1" si="85">IFERROR(IF(TODAY()&gt;=E168,(TODAY()-E168)/I168,0),0)*0</f>
        <v>0</v>
      </c>
      <c r="K168" s="134">
        <v>16593.32</v>
      </c>
      <c r="L168" s="134">
        <v>16578.32</v>
      </c>
      <c r="M168" s="129">
        <f t="shared" ref="M168:M174" si="86">K168-L168</f>
        <v>15</v>
      </c>
      <c r="N168" s="130">
        <v>3833.9</v>
      </c>
      <c r="O168" s="130">
        <v>4068.12</v>
      </c>
      <c r="P168" s="168">
        <f t="shared" ref="P168:P219" si="87">O168-N168</f>
        <v>234.2199999999998</v>
      </c>
      <c r="Q168" s="132">
        <f t="shared" ref="Q168:Q206" si="88">K168*N168</f>
        <v>63617129.548</v>
      </c>
      <c r="R168" s="132">
        <f t="shared" ref="R168:R174" si="89">L168*O168</f>
        <v>67442595.158399999</v>
      </c>
      <c r="S168" s="132">
        <f t="shared" ref="S168:S177" si="90">R168-Q168</f>
        <v>3825465.6103999987</v>
      </c>
      <c r="T168" s="133" t="str">
        <f t="shared" ref="T168:T220" si="91">IF(R168&lt;= Q168,"No Monetizar","Monetizar")</f>
        <v>Monetizar</v>
      </c>
      <c r="U168" s="293"/>
      <c r="V168" s="394">
        <v>45863</v>
      </c>
      <c r="W168" s="393" t="s">
        <v>275</v>
      </c>
      <c r="X168" s="393" t="s">
        <v>275</v>
      </c>
      <c r="Y168" s="393" t="s">
        <v>276</v>
      </c>
      <c r="Z168" s="397">
        <f t="shared" ref="Z168:Z170" si="92">K168*O168</f>
        <v>67503616.958399996</v>
      </c>
      <c r="AA168" s="225">
        <f t="shared" si="83"/>
        <v>3886487.4103999957</v>
      </c>
      <c r="AF168" s="112"/>
    </row>
    <row r="169" spans="2:32" outlineLevel="1">
      <c r="B169" s="125">
        <v>138</v>
      </c>
      <c r="C169" s="120" t="s">
        <v>278</v>
      </c>
      <c r="D169" s="153">
        <v>6111</v>
      </c>
      <c r="E169" s="126">
        <v>45862</v>
      </c>
      <c r="F169" s="126">
        <v>45922</v>
      </c>
      <c r="G169" s="126"/>
      <c r="H169" s="126"/>
      <c r="I169" s="126"/>
      <c r="J169" s="208">
        <f t="shared" ca="1" si="85"/>
        <v>0</v>
      </c>
      <c r="K169" s="134">
        <v>2628.18</v>
      </c>
      <c r="L169" s="134">
        <v>2628.18</v>
      </c>
      <c r="M169" s="129">
        <f t="shared" si="86"/>
        <v>0</v>
      </c>
      <c r="N169" s="130">
        <v>3853.9</v>
      </c>
      <c r="O169" s="130">
        <v>4065</v>
      </c>
      <c r="P169" s="168">
        <f t="shared" si="87"/>
        <v>211.09999999999991</v>
      </c>
      <c r="Q169" s="132">
        <f t="shared" si="88"/>
        <v>10128742.901999999</v>
      </c>
      <c r="R169" s="132">
        <f t="shared" si="89"/>
        <v>10683551.699999999</v>
      </c>
      <c r="S169" s="132">
        <f t="shared" si="90"/>
        <v>554808.79800000042</v>
      </c>
      <c r="T169" s="133" t="str">
        <f t="shared" si="91"/>
        <v>Monetizar</v>
      </c>
      <c r="U169" s="293"/>
      <c r="V169" s="394">
        <v>45863</v>
      </c>
      <c r="W169" s="393" t="s">
        <v>275</v>
      </c>
      <c r="X169" s="393" t="s">
        <v>275</v>
      </c>
      <c r="Y169" s="393" t="s">
        <v>276</v>
      </c>
      <c r="Z169" s="397">
        <f t="shared" si="92"/>
        <v>10683551.699999999</v>
      </c>
      <c r="AA169" s="225">
        <f t="shared" si="83"/>
        <v>554808.79800000042</v>
      </c>
      <c r="AF169" s="112"/>
    </row>
    <row r="170" spans="2:32" outlineLevel="1">
      <c r="B170" s="125">
        <v>139</v>
      </c>
      <c r="C170" s="120" t="s">
        <v>277</v>
      </c>
      <c r="D170" s="153">
        <v>6109</v>
      </c>
      <c r="E170" s="126">
        <v>45862</v>
      </c>
      <c r="F170" s="126">
        <v>45922</v>
      </c>
      <c r="G170" s="126"/>
      <c r="H170" s="126"/>
      <c r="I170" s="126"/>
      <c r="J170" s="208">
        <f t="shared" ca="1" si="85"/>
        <v>0</v>
      </c>
      <c r="K170" s="134">
        <v>278812.96999999997</v>
      </c>
      <c r="L170" s="134">
        <v>278812.96999999997</v>
      </c>
      <c r="M170" s="129">
        <f t="shared" si="86"/>
        <v>0</v>
      </c>
      <c r="N170" s="130">
        <v>3847.71</v>
      </c>
      <c r="O170" s="130">
        <v>4070</v>
      </c>
      <c r="P170" s="168">
        <f t="shared" ref="P170:P171" si="93">O170-N170</f>
        <v>222.28999999999996</v>
      </c>
      <c r="Q170" s="132">
        <f t="shared" ref="Q170:Q171" si="94">K170*N170</f>
        <v>1072791452.7986999</v>
      </c>
      <c r="R170" s="132">
        <f t="shared" ref="R170:R171" si="95">L170*O170</f>
        <v>1134768787.8999999</v>
      </c>
      <c r="S170" s="132">
        <f t="shared" ref="S170:S171" si="96">R170-Q170</f>
        <v>61977335.101300001</v>
      </c>
      <c r="T170" s="133" t="str">
        <f t="shared" ref="T170:T171" si="97">IF(R170&lt;= Q170,"No Monetizar","Monetizar")</f>
        <v>Monetizar</v>
      </c>
      <c r="U170" s="293"/>
      <c r="V170" s="394">
        <v>45863</v>
      </c>
      <c r="W170" s="393" t="s">
        <v>275</v>
      </c>
      <c r="X170" s="393" t="s">
        <v>275</v>
      </c>
      <c r="Y170" s="393" t="s">
        <v>276</v>
      </c>
      <c r="Z170" s="397">
        <f t="shared" si="92"/>
        <v>1134768787.8999999</v>
      </c>
      <c r="AA170" s="225">
        <f t="shared" si="83"/>
        <v>61977335.101300001</v>
      </c>
      <c r="AF170" s="112"/>
    </row>
    <row r="171" spans="2:32" outlineLevel="1">
      <c r="B171" s="125">
        <v>140</v>
      </c>
      <c r="C171" s="120" t="s">
        <v>287</v>
      </c>
      <c r="D171" s="153">
        <v>6033</v>
      </c>
      <c r="E171" s="126">
        <v>45862</v>
      </c>
      <c r="F171" s="126">
        <v>45922</v>
      </c>
      <c r="G171" s="126"/>
      <c r="H171" s="126"/>
      <c r="I171" s="126"/>
      <c r="J171" s="208">
        <f t="shared" ref="J171" ca="1" si="98">IFERROR(IF(TODAY()&gt;=E171,(TODAY()-E171)/I171,0),0)*0</f>
        <v>0</v>
      </c>
      <c r="K171" s="134">
        <v>1730.49</v>
      </c>
      <c r="L171" s="134">
        <v>1730.49</v>
      </c>
      <c r="M171" s="129">
        <f t="shared" si="86"/>
        <v>0</v>
      </c>
      <c r="N171" s="130">
        <v>4019.13</v>
      </c>
      <c r="O171" s="130">
        <v>4066.21</v>
      </c>
      <c r="P171" s="168">
        <f t="shared" si="93"/>
        <v>47.079999999999927</v>
      </c>
      <c r="Q171" s="132">
        <f t="shared" si="94"/>
        <v>6955064.2736999998</v>
      </c>
      <c r="R171" s="132">
        <f t="shared" si="95"/>
        <v>7036535.7429</v>
      </c>
      <c r="S171" s="132">
        <f t="shared" si="96"/>
        <v>81471.469200000167</v>
      </c>
      <c r="T171" s="133" t="str">
        <f t="shared" si="97"/>
        <v>Monetizar</v>
      </c>
      <c r="U171" s="293"/>
      <c r="V171" s="394">
        <v>45863</v>
      </c>
      <c r="W171" s="393" t="s">
        <v>275</v>
      </c>
      <c r="X171" s="393" t="s">
        <v>275</v>
      </c>
      <c r="Y171" s="393" t="s">
        <v>276</v>
      </c>
      <c r="Z171" s="397">
        <f t="shared" ref="Z171" si="99">K171*O171</f>
        <v>7036535.7429</v>
      </c>
      <c r="AA171" s="225">
        <f t="shared" si="83"/>
        <v>81471.469200000167</v>
      </c>
      <c r="AF171" s="112"/>
    </row>
    <row r="172" spans="2:32" outlineLevel="1">
      <c r="B172" s="125">
        <v>141</v>
      </c>
      <c r="C172" s="120" t="s">
        <v>312</v>
      </c>
      <c r="D172" s="153">
        <v>6121</v>
      </c>
      <c r="E172" s="126">
        <v>45863</v>
      </c>
      <c r="F172" s="126">
        <v>45923</v>
      </c>
      <c r="G172" s="126"/>
      <c r="H172" s="126"/>
      <c r="I172" s="126"/>
      <c r="J172" s="208">
        <f t="shared" ref="J172:J176" ca="1" si="100">IFERROR(IF(TODAY()&gt;=E172,(TODAY()-E172)/I172,0),0)*0</f>
        <v>0</v>
      </c>
      <c r="K172" s="134">
        <v>1009.29</v>
      </c>
      <c r="L172" s="134">
        <v>979.29</v>
      </c>
      <c r="M172" s="129">
        <f t="shared" si="86"/>
        <v>30</v>
      </c>
      <c r="N172" s="130">
        <v>3853.9</v>
      </c>
      <c r="O172" s="130">
        <v>4121.5</v>
      </c>
      <c r="P172" s="168">
        <f t="shared" si="87"/>
        <v>267.59999999999991</v>
      </c>
      <c r="Q172" s="132">
        <f t="shared" si="88"/>
        <v>3889702.7310000001</v>
      </c>
      <c r="R172" s="132">
        <f t="shared" si="89"/>
        <v>4036143.7349999999</v>
      </c>
      <c r="S172" s="132">
        <f t="shared" si="90"/>
        <v>146441.00399999972</v>
      </c>
      <c r="T172" s="133" t="str">
        <f t="shared" si="91"/>
        <v>Monetizar</v>
      </c>
      <c r="U172" s="293"/>
      <c r="V172" s="394">
        <v>45863</v>
      </c>
      <c r="W172" s="393" t="s">
        <v>275</v>
      </c>
      <c r="X172" s="393" t="s">
        <v>275</v>
      </c>
      <c r="Y172" s="393" t="s">
        <v>276</v>
      </c>
      <c r="Z172" s="397">
        <f t="shared" ref="Z172" si="101">K172*O172</f>
        <v>4159788.7349999999</v>
      </c>
      <c r="AA172" s="225">
        <f t="shared" si="83"/>
        <v>270086.00399999972</v>
      </c>
      <c r="AF172" s="112"/>
    </row>
    <row r="173" spans="2:32" outlineLevel="1">
      <c r="B173" s="125">
        <v>142</v>
      </c>
      <c r="C173" s="120" t="s">
        <v>117</v>
      </c>
      <c r="D173" s="153">
        <v>6037</v>
      </c>
      <c r="E173" s="126">
        <v>45825</v>
      </c>
      <c r="F173" s="126">
        <v>45885</v>
      </c>
      <c r="G173" s="126"/>
      <c r="H173" s="126"/>
      <c r="I173" s="126"/>
      <c r="J173" s="208">
        <f t="shared" ca="1" si="100"/>
        <v>0</v>
      </c>
      <c r="K173" s="134">
        <v>110.32</v>
      </c>
      <c r="L173" s="134">
        <v>110.32</v>
      </c>
      <c r="M173" s="129">
        <f t="shared" si="86"/>
        <v>0</v>
      </c>
      <c r="N173" s="130">
        <v>4099.13</v>
      </c>
      <c r="O173" s="130">
        <v>4122.05</v>
      </c>
      <c r="P173" s="168">
        <f t="shared" si="87"/>
        <v>22.920000000000073</v>
      </c>
      <c r="Q173" s="168">
        <f t="shared" si="88"/>
        <v>452216.02159999998</v>
      </c>
      <c r="R173" s="168">
        <f t="shared" si="89"/>
        <v>454744.55599999998</v>
      </c>
      <c r="S173" s="168">
        <f t="shared" si="90"/>
        <v>2528.5344000000041</v>
      </c>
      <c r="T173" s="216" t="str">
        <f t="shared" si="91"/>
        <v>Monetizar</v>
      </c>
      <c r="U173" s="293"/>
      <c r="V173" s="394">
        <v>45863</v>
      </c>
      <c r="W173" s="393" t="s">
        <v>275</v>
      </c>
      <c r="X173" s="393" t="s">
        <v>275</v>
      </c>
      <c r="Y173" s="393" t="s">
        <v>276</v>
      </c>
      <c r="Z173" s="397">
        <f t="shared" ref="Z173" si="102">K173*O173</f>
        <v>454744.55599999998</v>
      </c>
      <c r="AA173" s="225">
        <f t="shared" si="83"/>
        <v>2528.5344000000041</v>
      </c>
      <c r="AF173" s="112"/>
    </row>
    <row r="174" spans="2:32" outlineLevel="1">
      <c r="B174" s="125">
        <v>143</v>
      </c>
      <c r="C174" s="120" t="s">
        <v>277</v>
      </c>
      <c r="D174" s="153">
        <v>6098</v>
      </c>
      <c r="E174" s="126">
        <v>45863</v>
      </c>
      <c r="F174" s="126">
        <v>45923</v>
      </c>
      <c r="G174" s="126"/>
      <c r="H174" s="126"/>
      <c r="I174" s="126"/>
      <c r="J174" s="208">
        <f t="shared" ca="1" si="100"/>
        <v>0</v>
      </c>
      <c r="K174" s="134">
        <f>6840.47-1658.25</f>
        <v>5182.22</v>
      </c>
      <c r="L174" s="134">
        <v>5182.22</v>
      </c>
      <c r="M174" s="129">
        <f t="shared" si="86"/>
        <v>0</v>
      </c>
      <c r="N174" s="130">
        <v>3847.71</v>
      </c>
      <c r="O174" s="130">
        <v>4121.5</v>
      </c>
      <c r="P174" s="168">
        <f t="shared" si="87"/>
        <v>273.78999999999996</v>
      </c>
      <c r="Q174" s="132">
        <f t="shared" si="88"/>
        <v>19939679.716200002</v>
      </c>
      <c r="R174" s="132">
        <f t="shared" si="89"/>
        <v>21358519.73</v>
      </c>
      <c r="S174" s="132">
        <f t="shared" si="90"/>
        <v>1418840.0137999989</v>
      </c>
      <c r="T174" s="133" t="str">
        <f t="shared" si="91"/>
        <v>Monetizar</v>
      </c>
      <c r="U174" s="293"/>
      <c r="V174" s="394">
        <v>45863</v>
      </c>
      <c r="W174" s="393" t="s">
        <v>275</v>
      </c>
      <c r="X174" s="393" t="s">
        <v>275</v>
      </c>
      <c r="Y174" s="393" t="s">
        <v>276</v>
      </c>
      <c r="Z174" s="397">
        <f t="shared" ref="Z174:Z175" si="103">K174*O174</f>
        <v>21358519.73</v>
      </c>
      <c r="AA174" s="225">
        <f t="shared" si="83"/>
        <v>1418840.0137999989</v>
      </c>
      <c r="AF174" s="112"/>
    </row>
    <row r="175" spans="2:32" outlineLevel="1">
      <c r="B175" s="125">
        <v>144</v>
      </c>
      <c r="C175" s="120" t="s">
        <v>277</v>
      </c>
      <c r="D175" s="153">
        <v>6099</v>
      </c>
      <c r="E175" s="126">
        <v>45863</v>
      </c>
      <c r="F175" s="126">
        <v>45923</v>
      </c>
      <c r="G175" s="126"/>
      <c r="H175" s="126"/>
      <c r="I175" s="126"/>
      <c r="J175" s="208">
        <f t="shared" ca="1" si="100"/>
        <v>0</v>
      </c>
      <c r="K175" s="134">
        <f>429.66-292.46</f>
        <v>137.20000000000005</v>
      </c>
      <c r="L175" s="134">
        <v>137.19999999999999</v>
      </c>
      <c r="M175" s="129">
        <f t="shared" ref="M175" si="104">K175-L175</f>
        <v>0</v>
      </c>
      <c r="N175" s="130">
        <v>3847.71</v>
      </c>
      <c r="O175" s="130">
        <v>4121.5</v>
      </c>
      <c r="P175" s="168">
        <f t="shared" ref="P175" si="105">O175-N175</f>
        <v>273.78999999999996</v>
      </c>
      <c r="Q175" s="132">
        <f t="shared" ref="Q175" si="106">K175*N175</f>
        <v>527905.81200000015</v>
      </c>
      <c r="R175" s="132">
        <f t="shared" ref="R175" si="107">L175*O175</f>
        <v>565469.79999999993</v>
      </c>
      <c r="S175" s="132">
        <f t="shared" ref="S175" si="108">R175-Q175</f>
        <v>37563.987999999779</v>
      </c>
      <c r="T175" s="133" t="str">
        <f t="shared" ref="T175" si="109">IF(R175&lt;= Q175,"No Monetizar","Monetizar")</f>
        <v>Monetizar</v>
      </c>
      <c r="U175" s="293"/>
      <c r="V175" s="394">
        <v>45863</v>
      </c>
      <c r="W175" s="393" t="s">
        <v>275</v>
      </c>
      <c r="X175" s="393" t="s">
        <v>275</v>
      </c>
      <c r="Y175" s="393" t="s">
        <v>276</v>
      </c>
      <c r="Z175" s="397">
        <f t="shared" si="103"/>
        <v>565469.80000000016</v>
      </c>
      <c r="AA175" s="225">
        <f t="shared" si="83"/>
        <v>37563.988000000012</v>
      </c>
      <c r="AF175" s="112"/>
    </row>
    <row r="176" spans="2:32" outlineLevel="1">
      <c r="B176" s="125">
        <v>145</v>
      </c>
      <c r="C176" s="120" t="s">
        <v>312</v>
      </c>
      <c r="D176" s="153">
        <v>6025</v>
      </c>
      <c r="E176" s="126">
        <v>45821</v>
      </c>
      <c r="F176" s="126">
        <v>45881</v>
      </c>
      <c r="G176" s="126"/>
      <c r="H176" s="126"/>
      <c r="I176" s="126"/>
      <c r="J176" s="208">
        <f t="shared" ca="1" si="100"/>
        <v>0</v>
      </c>
      <c r="K176" s="134">
        <v>949.72</v>
      </c>
      <c r="L176" s="134">
        <v>924.72</v>
      </c>
      <c r="M176" s="129">
        <f>K176-L176</f>
        <v>25</v>
      </c>
      <c r="N176" s="130">
        <v>4049.13</v>
      </c>
      <c r="O176" s="130">
        <v>4175.2</v>
      </c>
      <c r="P176" s="168">
        <f t="shared" si="87"/>
        <v>126.06999999999971</v>
      </c>
      <c r="Q176" s="132">
        <f t="shared" si="88"/>
        <v>3845539.7436000002</v>
      </c>
      <c r="R176" s="132">
        <f t="shared" ref="R176:R207" si="110">L176*O176</f>
        <v>3860890.9440000001</v>
      </c>
      <c r="S176" s="132">
        <f t="shared" si="90"/>
        <v>15351.200399999972</v>
      </c>
      <c r="T176" s="133" t="str">
        <f t="shared" si="91"/>
        <v>Monetizar</v>
      </c>
      <c r="U176" s="293"/>
      <c r="V176" s="394">
        <v>45868</v>
      </c>
      <c r="W176" s="393" t="s">
        <v>275</v>
      </c>
      <c r="X176" s="393" t="s">
        <v>275</v>
      </c>
      <c r="Y176" s="393" t="s">
        <v>276</v>
      </c>
      <c r="Z176" s="397">
        <f t="shared" ref="Z176" si="111">K176*O176</f>
        <v>3965270.9440000001</v>
      </c>
      <c r="AA176" s="225">
        <f t="shared" si="83"/>
        <v>119731.20039999997</v>
      </c>
      <c r="AF176" s="112"/>
    </row>
    <row r="177" spans="2:32" outlineLevel="1">
      <c r="B177" s="125">
        <v>146</v>
      </c>
      <c r="C177" s="120" t="s">
        <v>117</v>
      </c>
      <c r="D177" s="153">
        <v>6164</v>
      </c>
      <c r="E177" s="126">
        <v>45870</v>
      </c>
      <c r="F177" s="126">
        <v>45930</v>
      </c>
      <c r="G177" s="126"/>
      <c r="H177" s="126"/>
      <c r="I177" s="126"/>
      <c r="J177" s="208">
        <f t="shared" ref="J177:J187" ca="1" si="112">IFERROR(IF(TODAY()&gt;=E177,(TODAY()-E177)/I177,0),0)*0</f>
        <v>0</v>
      </c>
      <c r="K177" s="134">
        <v>147790.31</v>
      </c>
      <c r="L177" s="134">
        <v>147775.31</v>
      </c>
      <c r="M177" s="129">
        <f>K177-L177</f>
        <v>15</v>
      </c>
      <c r="N177" s="130">
        <v>4090.48</v>
      </c>
      <c r="O177" s="130">
        <v>4112.5</v>
      </c>
      <c r="P177" s="168">
        <f t="shared" si="87"/>
        <v>22.019999999999982</v>
      </c>
      <c r="Q177" s="132">
        <f t="shared" si="88"/>
        <v>604533307.24880004</v>
      </c>
      <c r="R177" s="132">
        <f t="shared" si="110"/>
        <v>607725962.375</v>
      </c>
      <c r="S177" s="132">
        <f t="shared" si="90"/>
        <v>3192655.1261999607</v>
      </c>
      <c r="T177" s="133" t="str">
        <f t="shared" si="91"/>
        <v>Monetizar</v>
      </c>
      <c r="U177" s="293"/>
      <c r="V177" s="394">
        <v>45870</v>
      </c>
      <c r="W177" s="393" t="s">
        <v>275</v>
      </c>
      <c r="X177" s="393" t="s">
        <v>275</v>
      </c>
      <c r="Y177" s="393" t="s">
        <v>276</v>
      </c>
      <c r="Z177" s="397">
        <f t="shared" ref="Z177" si="113">K177*O177</f>
        <v>607787649.875</v>
      </c>
      <c r="AA177" s="225">
        <f t="shared" si="83"/>
        <v>3254342.6261999607</v>
      </c>
      <c r="AF177" s="112"/>
    </row>
    <row r="178" spans="2:32" outlineLevel="1">
      <c r="B178" s="125">
        <v>147</v>
      </c>
      <c r="C178" s="120" t="s">
        <v>310</v>
      </c>
      <c r="D178" s="153">
        <v>5874</v>
      </c>
      <c r="E178" s="126">
        <v>45819</v>
      </c>
      <c r="F178" s="126">
        <v>45879</v>
      </c>
      <c r="G178" s="126"/>
      <c r="H178" s="126"/>
      <c r="I178" s="126"/>
      <c r="J178" s="208">
        <f t="shared" ca="1" si="112"/>
        <v>0</v>
      </c>
      <c r="K178" s="134">
        <v>924.37</v>
      </c>
      <c r="L178" s="134">
        <v>924.37</v>
      </c>
      <c r="M178" s="129">
        <f t="shared" ref="M178:M238" si="114">K178-L178</f>
        <v>0</v>
      </c>
      <c r="N178" s="130">
        <v>4229.8999999999996</v>
      </c>
      <c r="O178" s="130">
        <v>4010.5</v>
      </c>
      <c r="P178" s="168">
        <f t="shared" si="87"/>
        <v>-219.39999999999964</v>
      </c>
      <c r="Q178" s="132">
        <f t="shared" si="88"/>
        <v>3909992.6629999997</v>
      </c>
      <c r="R178" s="132">
        <f t="shared" si="110"/>
        <v>3707185.8850000002</v>
      </c>
      <c r="S178" s="132">
        <f t="shared" ref="S178:S241" si="115">R178-Q178</f>
        <v>-202806.77799999947</v>
      </c>
      <c r="T178" s="133" t="str">
        <f t="shared" si="91"/>
        <v>No Monetizar</v>
      </c>
      <c r="U178" s="209"/>
      <c r="V178" s="210">
        <v>45877</v>
      </c>
      <c r="W178" s="393" t="s">
        <v>275</v>
      </c>
      <c r="X178" s="393" t="s">
        <v>275</v>
      </c>
      <c r="Y178" s="393" t="s">
        <v>320</v>
      </c>
      <c r="Z178" s="211">
        <f>K178*O178</f>
        <v>3707185.8850000002</v>
      </c>
      <c r="AA178" s="225">
        <f t="shared" si="83"/>
        <v>-202806.77799999947</v>
      </c>
      <c r="AF178" s="112"/>
    </row>
    <row r="179" spans="2:32" outlineLevel="1">
      <c r="B179" s="125">
        <v>148</v>
      </c>
      <c r="C179" s="120" t="s">
        <v>287</v>
      </c>
      <c r="D179" s="153">
        <v>6118</v>
      </c>
      <c r="E179" s="126">
        <v>45876</v>
      </c>
      <c r="F179" s="126">
        <v>45936</v>
      </c>
      <c r="G179" s="126"/>
      <c r="H179" s="126"/>
      <c r="I179" s="126"/>
      <c r="J179" s="208">
        <f t="shared" ca="1" si="112"/>
        <v>0</v>
      </c>
      <c r="K179" s="134">
        <v>1214.1600000000001</v>
      </c>
      <c r="L179" s="134">
        <v>1214.1600000000001</v>
      </c>
      <c r="M179" s="129">
        <f t="shared" si="114"/>
        <v>0</v>
      </c>
      <c r="N179" s="130">
        <v>3853.9</v>
      </c>
      <c r="O179" s="130">
        <v>4010</v>
      </c>
      <c r="P179" s="168">
        <f t="shared" si="87"/>
        <v>156.09999999999991</v>
      </c>
      <c r="Q179" s="168">
        <f t="shared" si="88"/>
        <v>4679251.2240000004</v>
      </c>
      <c r="R179" s="168">
        <f t="shared" si="110"/>
        <v>4868781.6000000006</v>
      </c>
      <c r="S179" s="168">
        <f t="shared" si="115"/>
        <v>189530.37600000016</v>
      </c>
      <c r="T179" s="216" t="str">
        <f t="shared" si="91"/>
        <v>Monetizar</v>
      </c>
      <c r="U179" s="293"/>
      <c r="V179" s="394">
        <v>45870</v>
      </c>
      <c r="W179" s="393" t="s">
        <v>275</v>
      </c>
      <c r="X179" s="393" t="s">
        <v>275</v>
      </c>
      <c r="Y179" s="393" t="s">
        <v>276</v>
      </c>
      <c r="Z179" s="397">
        <f t="shared" ref="Z179" si="116">K179*O179</f>
        <v>4868781.6000000006</v>
      </c>
      <c r="AA179" s="225">
        <f t="shared" si="83"/>
        <v>189530.37600000016</v>
      </c>
      <c r="AF179" s="112"/>
    </row>
    <row r="180" spans="2:32" outlineLevel="1">
      <c r="B180" s="125">
        <v>149</v>
      </c>
      <c r="C180" s="120" t="s">
        <v>277</v>
      </c>
      <c r="D180" s="153">
        <v>5988</v>
      </c>
      <c r="E180" s="126">
        <v>45820</v>
      </c>
      <c r="F180" s="126">
        <v>45880</v>
      </c>
      <c r="G180" s="126"/>
      <c r="H180" s="126"/>
      <c r="I180" s="126"/>
      <c r="J180" s="208">
        <f t="shared" ca="1" si="112"/>
        <v>0</v>
      </c>
      <c r="K180" s="134">
        <v>16433.2</v>
      </c>
      <c r="L180" s="134">
        <v>16433.2</v>
      </c>
      <c r="M180" s="129">
        <f t="shared" si="114"/>
        <v>0</v>
      </c>
      <c r="N180" s="219">
        <v>4186.79</v>
      </c>
      <c r="O180" s="130">
        <v>4051.1</v>
      </c>
      <c r="P180" s="168">
        <f t="shared" si="87"/>
        <v>-135.69000000000005</v>
      </c>
      <c r="Q180" s="132">
        <f t="shared" si="88"/>
        <v>68802357.428000003</v>
      </c>
      <c r="R180" s="132">
        <f t="shared" si="110"/>
        <v>66572536.520000003</v>
      </c>
      <c r="S180" s="132">
        <f t="shared" si="115"/>
        <v>-2229820.9079999998</v>
      </c>
      <c r="T180" s="133" t="str">
        <f t="shared" si="91"/>
        <v>No Monetizar</v>
      </c>
      <c r="U180" s="209"/>
      <c r="V180" s="210">
        <v>45880</v>
      </c>
      <c r="W180" s="393" t="s">
        <v>275</v>
      </c>
      <c r="X180" s="393" t="s">
        <v>275</v>
      </c>
      <c r="Y180" s="393" t="s">
        <v>321</v>
      </c>
      <c r="Z180" s="211">
        <f>K180*O180</f>
        <v>66572536.520000003</v>
      </c>
      <c r="AA180" s="225">
        <f t="shared" si="83"/>
        <v>-2229820.9079999998</v>
      </c>
      <c r="AF180" s="112"/>
    </row>
    <row r="181" spans="2:32" outlineLevel="1">
      <c r="B181" s="125">
        <v>150</v>
      </c>
      <c r="C181" s="120" t="s">
        <v>277</v>
      </c>
      <c r="D181" s="153">
        <v>5989</v>
      </c>
      <c r="E181" s="126">
        <v>45820</v>
      </c>
      <c r="F181" s="126">
        <v>45880</v>
      </c>
      <c r="G181" s="126"/>
      <c r="H181" s="126"/>
      <c r="I181" s="126"/>
      <c r="J181" s="208">
        <f t="shared" ca="1" si="112"/>
        <v>0</v>
      </c>
      <c r="K181" s="134">
        <v>2166</v>
      </c>
      <c r="L181" s="134">
        <v>2166</v>
      </c>
      <c r="M181" s="129">
        <f t="shared" si="114"/>
        <v>0</v>
      </c>
      <c r="N181" s="219">
        <v>4186.79</v>
      </c>
      <c r="O181" s="130">
        <v>4051.1</v>
      </c>
      <c r="P181" s="168">
        <f t="shared" si="87"/>
        <v>-135.69000000000005</v>
      </c>
      <c r="Q181" s="132">
        <f t="shared" si="88"/>
        <v>9068587.1400000006</v>
      </c>
      <c r="R181" s="132">
        <f t="shared" si="110"/>
        <v>8774682.5999999996</v>
      </c>
      <c r="S181" s="132">
        <f t="shared" si="115"/>
        <v>-293904.54000000097</v>
      </c>
      <c r="T181" s="133" t="str">
        <f t="shared" si="91"/>
        <v>No Monetizar</v>
      </c>
      <c r="U181" s="209"/>
      <c r="V181" s="210">
        <v>45880</v>
      </c>
      <c r="W181" s="393" t="s">
        <v>275</v>
      </c>
      <c r="X181" s="393" t="s">
        <v>275</v>
      </c>
      <c r="Y181" s="393" t="s">
        <v>321</v>
      </c>
      <c r="Z181" s="211">
        <f>K181*O181</f>
        <v>8774682.5999999996</v>
      </c>
      <c r="AA181" s="225">
        <f t="shared" si="83"/>
        <v>-293904.54000000097</v>
      </c>
      <c r="AF181" s="112"/>
    </row>
    <row r="182" spans="2:32" outlineLevel="1">
      <c r="B182" s="125">
        <v>151</v>
      </c>
      <c r="C182" s="120" t="s">
        <v>264</v>
      </c>
      <c r="D182" s="153">
        <v>5849</v>
      </c>
      <c r="E182" s="126">
        <v>45821</v>
      </c>
      <c r="F182" s="126">
        <v>45881</v>
      </c>
      <c r="G182" s="126"/>
      <c r="H182" s="126"/>
      <c r="I182" s="126"/>
      <c r="J182" s="208">
        <f t="shared" ca="1" si="112"/>
        <v>0</v>
      </c>
      <c r="K182" s="134">
        <v>1316.4</v>
      </c>
      <c r="L182" s="134">
        <f>1316.4-8</f>
        <v>1308.4000000000001</v>
      </c>
      <c r="M182" s="129">
        <f t="shared" si="114"/>
        <v>8</v>
      </c>
      <c r="N182" s="219">
        <v>4351.55</v>
      </c>
      <c r="O182" s="219">
        <v>4008.59</v>
      </c>
      <c r="P182" s="168">
        <f t="shared" si="87"/>
        <v>-342.96000000000004</v>
      </c>
      <c r="Q182" s="132">
        <f t="shared" si="88"/>
        <v>5728380.4200000009</v>
      </c>
      <c r="R182" s="132">
        <f t="shared" si="110"/>
        <v>5244839.1560000004</v>
      </c>
      <c r="S182" s="132">
        <f t="shared" si="115"/>
        <v>-483541.26400000043</v>
      </c>
      <c r="T182" s="133" t="str">
        <f t="shared" si="91"/>
        <v>No Monetizar</v>
      </c>
      <c r="U182" s="209"/>
      <c r="V182" s="210">
        <v>45881</v>
      </c>
      <c r="W182" s="393" t="s">
        <v>275</v>
      </c>
      <c r="X182" s="393" t="s">
        <v>275</v>
      </c>
      <c r="Y182" s="393" t="s">
        <v>322</v>
      </c>
      <c r="Z182" s="211">
        <f>K182*O182</f>
        <v>5276907.8760000002</v>
      </c>
      <c r="AA182" s="225">
        <f t="shared" si="83"/>
        <v>-451472.54400000069</v>
      </c>
      <c r="AF182" s="112"/>
    </row>
    <row r="183" spans="2:32" outlineLevel="1">
      <c r="B183" s="125">
        <v>152</v>
      </c>
      <c r="C183" s="120" t="s">
        <v>264</v>
      </c>
      <c r="D183" s="153">
        <v>5887</v>
      </c>
      <c r="E183" s="126">
        <v>45821</v>
      </c>
      <c r="F183" s="126">
        <v>45881</v>
      </c>
      <c r="G183" s="126"/>
      <c r="H183" s="126"/>
      <c r="I183" s="126"/>
      <c r="J183" s="208">
        <f t="shared" ca="1" si="112"/>
        <v>0</v>
      </c>
      <c r="K183" s="134">
        <v>650</v>
      </c>
      <c r="L183" s="134">
        <f>650-2</f>
        <v>648</v>
      </c>
      <c r="M183" s="129">
        <f t="shared" si="114"/>
        <v>2</v>
      </c>
      <c r="N183" s="219">
        <v>4283.22</v>
      </c>
      <c r="O183" s="219">
        <v>4008.59</v>
      </c>
      <c r="P183" s="168">
        <f t="shared" si="87"/>
        <v>-274.63000000000011</v>
      </c>
      <c r="Q183" s="132">
        <f t="shared" si="88"/>
        <v>2784093</v>
      </c>
      <c r="R183" s="132">
        <f t="shared" si="110"/>
        <v>2597566.3200000003</v>
      </c>
      <c r="S183" s="132">
        <f t="shared" si="115"/>
        <v>-186526.6799999997</v>
      </c>
      <c r="T183" s="133" t="str">
        <f t="shared" si="91"/>
        <v>No Monetizar</v>
      </c>
      <c r="U183" s="209"/>
      <c r="V183" s="210">
        <v>45881</v>
      </c>
      <c r="W183" s="393" t="s">
        <v>275</v>
      </c>
      <c r="X183" s="393" t="s">
        <v>275</v>
      </c>
      <c r="Y183" s="393" t="s">
        <v>323</v>
      </c>
      <c r="Z183" s="211">
        <f>K183*O183</f>
        <v>2605583.5</v>
      </c>
      <c r="AA183" s="225">
        <f t="shared" si="83"/>
        <v>-178509.5</v>
      </c>
      <c r="AF183" s="112"/>
    </row>
    <row r="184" spans="2:32" outlineLevel="1">
      <c r="B184" s="125">
        <v>153</v>
      </c>
      <c r="C184" s="120" t="s">
        <v>261</v>
      </c>
      <c r="D184" s="153">
        <v>5899</v>
      </c>
      <c r="E184" s="126">
        <v>45823</v>
      </c>
      <c r="F184" s="126">
        <v>45883</v>
      </c>
      <c r="G184" s="126"/>
      <c r="H184" s="126"/>
      <c r="I184" s="126"/>
      <c r="J184" s="208">
        <f t="shared" ca="1" si="112"/>
        <v>0</v>
      </c>
      <c r="K184" s="134">
        <v>320</v>
      </c>
      <c r="L184" s="134">
        <v>320</v>
      </c>
      <c r="M184" s="129">
        <f t="shared" si="114"/>
        <v>0</v>
      </c>
      <c r="N184" s="219">
        <v>4188.3100000000004</v>
      </c>
      <c r="O184" s="219">
        <v>4020</v>
      </c>
      <c r="P184" s="168">
        <f t="shared" si="87"/>
        <v>-168.3100000000004</v>
      </c>
      <c r="Q184" s="132">
        <f t="shared" si="88"/>
        <v>1340259.2000000002</v>
      </c>
      <c r="R184" s="132">
        <f t="shared" si="110"/>
        <v>1286400</v>
      </c>
      <c r="S184" s="132">
        <f t="shared" si="115"/>
        <v>-53859.200000000186</v>
      </c>
      <c r="T184" s="133" t="str">
        <f t="shared" si="91"/>
        <v>No Monetizar</v>
      </c>
      <c r="U184" s="209"/>
      <c r="V184" s="210">
        <v>45881</v>
      </c>
      <c r="W184" s="393" t="s">
        <v>275</v>
      </c>
      <c r="X184" s="393" t="s">
        <v>275</v>
      </c>
      <c r="Y184" s="393" t="s">
        <v>324</v>
      </c>
      <c r="Z184" s="211">
        <f>K184*O184</f>
        <v>1286400</v>
      </c>
      <c r="AA184" s="225">
        <f t="shared" si="83"/>
        <v>-53859.200000000186</v>
      </c>
      <c r="AF184" s="112"/>
    </row>
    <row r="185" spans="2:32" outlineLevel="1">
      <c r="B185" s="125">
        <v>154</v>
      </c>
      <c r="C185" s="120" t="s">
        <v>116</v>
      </c>
      <c r="D185" s="153">
        <v>6112</v>
      </c>
      <c r="E185" s="126">
        <v>45883</v>
      </c>
      <c r="F185" s="126">
        <v>45943</v>
      </c>
      <c r="G185" s="126"/>
      <c r="H185" s="126"/>
      <c r="I185" s="126"/>
      <c r="J185" s="208">
        <f t="shared" ca="1" si="112"/>
        <v>0</v>
      </c>
      <c r="K185" s="134">
        <v>3974.29</v>
      </c>
      <c r="L185" s="134">
        <v>3964.29</v>
      </c>
      <c r="M185" s="129">
        <f t="shared" si="114"/>
        <v>10</v>
      </c>
      <c r="N185" s="130">
        <v>3899.9</v>
      </c>
      <c r="O185" s="130">
        <v>4017.51</v>
      </c>
      <c r="P185" s="168">
        <f t="shared" si="87"/>
        <v>117.61000000000013</v>
      </c>
      <c r="Q185" s="168">
        <f t="shared" si="88"/>
        <v>15499333.571</v>
      </c>
      <c r="R185" s="168">
        <f t="shared" si="110"/>
        <v>15926574.717900001</v>
      </c>
      <c r="S185" s="132">
        <f t="shared" si="115"/>
        <v>427241.14690000005</v>
      </c>
      <c r="T185" s="133" t="str">
        <f t="shared" si="91"/>
        <v>Monetizar</v>
      </c>
      <c r="U185" s="293"/>
      <c r="V185" s="394">
        <v>45888</v>
      </c>
      <c r="W185" s="393" t="s">
        <v>275</v>
      </c>
      <c r="X185" s="393" t="s">
        <v>275</v>
      </c>
      <c r="Y185" s="393" t="s">
        <v>276</v>
      </c>
      <c r="Z185" s="397">
        <f t="shared" ref="Z185" si="117">K185*O185</f>
        <v>15966749.8179</v>
      </c>
      <c r="AA185" s="225">
        <f t="shared" si="83"/>
        <v>467416.24689999968</v>
      </c>
      <c r="AF185" s="112"/>
    </row>
    <row r="186" spans="2:32" outlineLevel="1">
      <c r="B186" s="125">
        <v>155</v>
      </c>
      <c r="C186" s="120" t="s">
        <v>310</v>
      </c>
      <c r="D186" s="153">
        <v>6207</v>
      </c>
      <c r="E186" s="126">
        <v>45888</v>
      </c>
      <c r="F186" s="126">
        <v>45948</v>
      </c>
      <c r="G186" s="126"/>
      <c r="H186" s="126"/>
      <c r="I186" s="126"/>
      <c r="J186" s="208">
        <f t="shared" ca="1" si="112"/>
        <v>0</v>
      </c>
      <c r="K186" s="134">
        <v>178.5</v>
      </c>
      <c r="L186" s="134">
        <v>178.5</v>
      </c>
      <c r="M186" s="129">
        <f t="shared" si="114"/>
        <v>0</v>
      </c>
      <c r="N186" s="130">
        <v>3917.12</v>
      </c>
      <c r="O186" s="130">
        <v>4021.3</v>
      </c>
      <c r="P186" s="168">
        <f t="shared" si="87"/>
        <v>104.18000000000029</v>
      </c>
      <c r="Q186" s="132">
        <f t="shared" si="88"/>
        <v>699205.91999999993</v>
      </c>
      <c r="R186" s="132">
        <f t="shared" si="110"/>
        <v>717802.05</v>
      </c>
      <c r="S186" s="132">
        <f t="shared" si="115"/>
        <v>18596.130000000121</v>
      </c>
      <c r="T186" s="133" t="str">
        <f t="shared" si="91"/>
        <v>Monetizar</v>
      </c>
      <c r="U186" s="293"/>
      <c r="V186" s="394">
        <v>45890</v>
      </c>
      <c r="W186" s="393" t="s">
        <v>275</v>
      </c>
      <c r="X186" s="393" t="s">
        <v>275</v>
      </c>
      <c r="Y186" s="393" t="s">
        <v>276</v>
      </c>
      <c r="Z186" s="397">
        <f t="shared" ref="Z186:Z187" si="118">K186*O186</f>
        <v>717802.05</v>
      </c>
      <c r="AA186" s="225">
        <f t="shared" si="83"/>
        <v>18596.130000000121</v>
      </c>
      <c r="AF186" s="112"/>
    </row>
    <row r="187" spans="2:32" outlineLevel="1">
      <c r="B187" s="125">
        <v>156</v>
      </c>
      <c r="C187" s="120" t="s">
        <v>310</v>
      </c>
      <c r="D187" s="153" t="s">
        <v>325</v>
      </c>
      <c r="E187" s="126">
        <v>45888</v>
      </c>
      <c r="F187" s="126">
        <v>45948</v>
      </c>
      <c r="G187" s="126"/>
      <c r="H187" s="126"/>
      <c r="I187" s="126"/>
      <c r="J187" s="208">
        <f t="shared" ca="1" si="112"/>
        <v>0</v>
      </c>
      <c r="K187" s="134">
        <v>1227</v>
      </c>
      <c r="L187" s="134">
        <v>1227</v>
      </c>
      <c r="M187" s="129">
        <f t="shared" si="114"/>
        <v>0</v>
      </c>
      <c r="N187" s="130">
        <v>3917.12</v>
      </c>
      <c r="O187" s="130">
        <v>4021.3</v>
      </c>
      <c r="P187" s="168">
        <f t="shared" si="87"/>
        <v>104.18000000000029</v>
      </c>
      <c r="Q187" s="132">
        <f t="shared" si="88"/>
        <v>4806306.24</v>
      </c>
      <c r="R187" s="132">
        <f t="shared" si="110"/>
        <v>4934135.1000000006</v>
      </c>
      <c r="S187" s="132">
        <f t="shared" si="115"/>
        <v>127828.86000000034</v>
      </c>
      <c r="T187" s="133" t="str">
        <f t="shared" si="91"/>
        <v>Monetizar</v>
      </c>
      <c r="U187" s="293"/>
      <c r="V187" s="394">
        <v>45890</v>
      </c>
      <c r="W187" s="393" t="s">
        <v>275</v>
      </c>
      <c r="X187" s="393" t="s">
        <v>275</v>
      </c>
      <c r="Y187" s="393" t="s">
        <v>276</v>
      </c>
      <c r="Z187" s="397">
        <f t="shared" si="118"/>
        <v>4934135.1000000006</v>
      </c>
      <c r="AA187" s="225">
        <f t="shared" si="83"/>
        <v>127828.86000000034</v>
      </c>
      <c r="AF187" s="112"/>
    </row>
    <row r="188" spans="2:32" outlineLevel="1">
      <c r="B188" s="125">
        <v>157</v>
      </c>
      <c r="C188" s="120" t="s">
        <v>278</v>
      </c>
      <c r="D188" s="153">
        <v>6194</v>
      </c>
      <c r="E188" s="126">
        <v>45888</v>
      </c>
      <c r="F188" s="126">
        <v>45948</v>
      </c>
      <c r="G188" s="126"/>
      <c r="H188" s="126"/>
      <c r="I188" s="126"/>
      <c r="J188" s="208">
        <f t="shared" ref="J188:J191" ca="1" si="119">IFERROR(IF(TODAY()&gt;=E188,(TODAY()-E188)/I188,0),0)*0</f>
        <v>0</v>
      </c>
      <c r="K188" s="134">
        <v>128.16999999999999</v>
      </c>
      <c r="L188" s="134">
        <v>128.16999999999999</v>
      </c>
      <c r="M188" s="129">
        <f t="shared" si="114"/>
        <v>0</v>
      </c>
      <c r="N188" s="130">
        <v>3937.12</v>
      </c>
      <c r="O188" s="130">
        <v>4022</v>
      </c>
      <c r="P188" s="168">
        <f t="shared" si="87"/>
        <v>84.880000000000109</v>
      </c>
      <c r="Q188" s="132">
        <f t="shared" si="88"/>
        <v>504620.67039999994</v>
      </c>
      <c r="R188" s="132">
        <f t="shared" si="110"/>
        <v>515499.73999999993</v>
      </c>
      <c r="S188" s="132">
        <f t="shared" si="115"/>
        <v>10879.069599999988</v>
      </c>
      <c r="T188" s="133" t="str">
        <f t="shared" si="91"/>
        <v>Monetizar</v>
      </c>
      <c r="U188" s="293"/>
      <c r="V188" s="394">
        <v>45890</v>
      </c>
      <c r="W188" s="393" t="s">
        <v>275</v>
      </c>
      <c r="X188" s="393" t="s">
        <v>275</v>
      </c>
      <c r="Y188" s="393" t="s">
        <v>276</v>
      </c>
      <c r="Z188" s="397">
        <f t="shared" ref="Z188:Z189" si="120">K188*O188</f>
        <v>515499.73999999993</v>
      </c>
      <c r="AA188" s="225">
        <f t="shared" si="83"/>
        <v>10879.069599999988</v>
      </c>
      <c r="AF188" s="112"/>
    </row>
    <row r="189" spans="2:32" outlineLevel="1">
      <c r="B189" s="125">
        <v>158</v>
      </c>
      <c r="C189" s="120" t="s">
        <v>278</v>
      </c>
      <c r="D189" s="153" t="s">
        <v>326</v>
      </c>
      <c r="E189" s="126">
        <v>45888</v>
      </c>
      <c r="F189" s="126">
        <v>45948</v>
      </c>
      <c r="G189" s="126"/>
      <c r="H189" s="126"/>
      <c r="I189" s="126"/>
      <c r="J189" s="208">
        <f t="shared" ca="1" si="119"/>
        <v>0</v>
      </c>
      <c r="K189" s="134">
        <v>1165.27</v>
      </c>
      <c r="L189" s="134">
        <v>1165.27</v>
      </c>
      <c r="M189" s="129">
        <f t="shared" si="114"/>
        <v>0</v>
      </c>
      <c r="N189" s="130">
        <v>3937.12</v>
      </c>
      <c r="O189" s="130">
        <v>4022</v>
      </c>
      <c r="P189" s="168">
        <f t="shared" si="87"/>
        <v>84.880000000000109</v>
      </c>
      <c r="Q189" s="132">
        <f t="shared" si="88"/>
        <v>4587807.8223999999</v>
      </c>
      <c r="R189" s="132">
        <f t="shared" si="110"/>
        <v>4686715.9399999995</v>
      </c>
      <c r="S189" s="132">
        <f t="shared" si="115"/>
        <v>98908.117599999532</v>
      </c>
      <c r="T189" s="133" t="str">
        <f t="shared" si="91"/>
        <v>Monetizar</v>
      </c>
      <c r="U189" s="293"/>
      <c r="V189" s="394">
        <v>45890</v>
      </c>
      <c r="W189" s="393" t="s">
        <v>275</v>
      </c>
      <c r="X189" s="393" t="s">
        <v>275</v>
      </c>
      <c r="Y189" s="393" t="s">
        <v>276</v>
      </c>
      <c r="Z189" s="397">
        <f t="shared" si="120"/>
        <v>4686715.9399999995</v>
      </c>
      <c r="AA189" s="225">
        <f t="shared" si="83"/>
        <v>98908.117599999532</v>
      </c>
      <c r="AF189" s="112"/>
    </row>
    <row r="190" spans="2:32" outlineLevel="1">
      <c r="B190" s="125">
        <v>159</v>
      </c>
      <c r="C190" s="120" t="s">
        <v>120</v>
      </c>
      <c r="D190" s="153">
        <v>6197</v>
      </c>
      <c r="E190" s="126">
        <v>45888</v>
      </c>
      <c r="F190" s="126">
        <v>45948</v>
      </c>
      <c r="G190" s="126"/>
      <c r="H190" s="126"/>
      <c r="I190" s="126"/>
      <c r="J190" s="208">
        <f t="shared" ca="1" si="119"/>
        <v>0</v>
      </c>
      <c r="K190" s="134">
        <v>285.60000000000002</v>
      </c>
      <c r="L190" s="134">
        <v>283.8518852218196</v>
      </c>
      <c r="M190" s="129">
        <f t="shared" si="114"/>
        <v>1.7481147781804225</v>
      </c>
      <c r="N190" s="130">
        <v>3936.78</v>
      </c>
      <c r="O190" s="130">
        <v>4022.2</v>
      </c>
      <c r="P190" s="168">
        <f t="shared" si="87"/>
        <v>85.419999999999618</v>
      </c>
      <c r="Q190" s="132">
        <f t="shared" si="88"/>
        <v>1124344.3680000002</v>
      </c>
      <c r="R190" s="132">
        <f t="shared" si="110"/>
        <v>1141709.0527392027</v>
      </c>
      <c r="S190" s="132">
        <f t="shared" si="115"/>
        <v>17364.684739202494</v>
      </c>
      <c r="T190" s="133" t="str">
        <f t="shared" si="91"/>
        <v>Monetizar</v>
      </c>
      <c r="U190" s="293"/>
      <c r="V190" s="394">
        <v>45890</v>
      </c>
      <c r="W190" s="393" t="s">
        <v>275</v>
      </c>
      <c r="X190" s="393" t="s">
        <v>275</v>
      </c>
      <c r="Y190" s="393" t="s">
        <v>276</v>
      </c>
      <c r="Z190" s="397">
        <f t="shared" ref="Z190:Z191" si="121">K190*O190</f>
        <v>1148740.32</v>
      </c>
      <c r="AA190" s="225">
        <f t="shared" si="83"/>
        <v>24395.951999999816</v>
      </c>
      <c r="AF190" s="112"/>
    </row>
    <row r="191" spans="2:32" outlineLevel="1">
      <c r="B191" s="125">
        <v>160</v>
      </c>
      <c r="C191" s="120" t="s">
        <v>120</v>
      </c>
      <c r="D191" s="153" t="s">
        <v>327</v>
      </c>
      <c r="E191" s="126">
        <v>45888</v>
      </c>
      <c r="F191" s="126">
        <v>45948</v>
      </c>
      <c r="G191" s="126"/>
      <c r="H191" s="126"/>
      <c r="I191" s="126"/>
      <c r="J191" s="208">
        <f t="shared" ca="1" si="119"/>
        <v>0</v>
      </c>
      <c r="K191" s="134">
        <v>2981.92</v>
      </c>
      <c r="L191" s="134">
        <v>2963.6681147781801</v>
      </c>
      <c r="M191" s="129">
        <f t="shared" si="114"/>
        <v>18.251885221819975</v>
      </c>
      <c r="N191" s="130">
        <v>3936.78</v>
      </c>
      <c r="O191" s="130">
        <v>4022.2</v>
      </c>
      <c r="P191" s="168">
        <f t="shared" si="87"/>
        <v>85.419999999999618</v>
      </c>
      <c r="Q191" s="132">
        <f t="shared" si="88"/>
        <v>11739163.017600002</v>
      </c>
      <c r="R191" s="132">
        <f t="shared" si="110"/>
        <v>11920465.891260795</v>
      </c>
      <c r="S191" s="132">
        <f t="shared" si="115"/>
        <v>181302.87366079353</v>
      </c>
      <c r="T191" s="133" t="str">
        <f t="shared" si="91"/>
        <v>Monetizar</v>
      </c>
      <c r="U191" s="293"/>
      <c r="V191" s="394">
        <v>45890</v>
      </c>
      <c r="W191" s="393" t="s">
        <v>275</v>
      </c>
      <c r="X191" s="393" t="s">
        <v>275</v>
      </c>
      <c r="Y191" s="393" t="s">
        <v>276</v>
      </c>
      <c r="Z191" s="397">
        <f t="shared" si="121"/>
        <v>11993878.624</v>
      </c>
      <c r="AA191" s="225">
        <f t="shared" si="83"/>
        <v>254715.60639999807</v>
      </c>
      <c r="AF191" s="112"/>
    </row>
    <row r="192" spans="2:32" outlineLevel="1">
      <c r="B192" s="125">
        <v>161</v>
      </c>
      <c r="C192" s="120" t="s">
        <v>303</v>
      </c>
      <c r="D192" s="153">
        <v>6183</v>
      </c>
      <c r="E192" s="126">
        <v>45888</v>
      </c>
      <c r="F192" s="126">
        <v>45948</v>
      </c>
      <c r="G192" s="126"/>
      <c r="H192" s="126"/>
      <c r="I192" s="126"/>
      <c r="J192" s="208">
        <f t="shared" ref="J192:J237" ca="1" si="122">IFERROR(IF(TODAY()&gt;=E192,(TODAY()-E192)/I192,0),0)*0</f>
        <v>0</v>
      </c>
      <c r="K192" s="134">
        <v>369.22</v>
      </c>
      <c r="L192" s="134">
        <v>369.22</v>
      </c>
      <c r="M192" s="129">
        <f t="shared" si="114"/>
        <v>0</v>
      </c>
      <c r="N192" s="130">
        <v>4004.74</v>
      </c>
      <c r="O192" s="130">
        <v>4016.5</v>
      </c>
      <c r="P192" s="168">
        <f t="shared" si="87"/>
        <v>11.760000000000218</v>
      </c>
      <c r="Q192" s="132">
        <f t="shared" si="88"/>
        <v>1478630.1028</v>
      </c>
      <c r="R192" s="132">
        <f t="shared" si="110"/>
        <v>1482972.1300000001</v>
      </c>
      <c r="S192" s="132">
        <f t="shared" si="115"/>
        <v>4342.0272000001278</v>
      </c>
      <c r="T192" s="133" t="str">
        <f t="shared" si="91"/>
        <v>Monetizar</v>
      </c>
      <c r="U192" s="293"/>
      <c r="V192" s="394">
        <v>45890</v>
      </c>
      <c r="W192" s="393" t="s">
        <v>275</v>
      </c>
      <c r="X192" s="393" t="s">
        <v>275</v>
      </c>
      <c r="Y192" s="393" t="s">
        <v>276</v>
      </c>
      <c r="Z192" s="397">
        <f t="shared" ref="Z192:Z193" si="123">K192*O192</f>
        <v>1482972.1300000001</v>
      </c>
      <c r="AA192" s="225">
        <f t="shared" si="83"/>
        <v>4342.0272000001278</v>
      </c>
      <c r="AF192" s="112"/>
    </row>
    <row r="193" spans="2:32" outlineLevel="1">
      <c r="B193" s="125">
        <v>162</v>
      </c>
      <c r="C193" s="120" t="s">
        <v>303</v>
      </c>
      <c r="D193" s="153" t="s">
        <v>328</v>
      </c>
      <c r="E193" s="126">
        <v>45888</v>
      </c>
      <c r="F193" s="126">
        <v>45948</v>
      </c>
      <c r="G193" s="126"/>
      <c r="H193" s="126"/>
      <c r="I193" s="126"/>
      <c r="J193" s="208">
        <f t="shared" ca="1" si="122"/>
        <v>0</v>
      </c>
      <c r="K193" s="134">
        <v>3356.56</v>
      </c>
      <c r="L193" s="134">
        <v>3356.56</v>
      </c>
      <c r="M193" s="129">
        <f t="shared" si="114"/>
        <v>0</v>
      </c>
      <c r="N193" s="130">
        <v>4004.74</v>
      </c>
      <c r="O193" s="130">
        <v>4016.5</v>
      </c>
      <c r="P193" s="168">
        <f t="shared" si="87"/>
        <v>11.760000000000218</v>
      </c>
      <c r="Q193" s="132">
        <f t="shared" si="88"/>
        <v>13442150.0944</v>
      </c>
      <c r="R193" s="132">
        <f t="shared" si="110"/>
        <v>13481623.24</v>
      </c>
      <c r="S193" s="132">
        <f t="shared" si="115"/>
        <v>39473.145600000396</v>
      </c>
      <c r="T193" s="133" t="str">
        <f t="shared" si="91"/>
        <v>Monetizar</v>
      </c>
      <c r="U193" s="293"/>
      <c r="V193" s="394">
        <v>45890</v>
      </c>
      <c r="W193" s="393" t="s">
        <v>275</v>
      </c>
      <c r="X193" s="393" t="s">
        <v>275</v>
      </c>
      <c r="Y193" s="393" t="s">
        <v>276</v>
      </c>
      <c r="Z193" s="397">
        <f t="shared" si="123"/>
        <v>13481623.24</v>
      </c>
      <c r="AA193" s="225">
        <f t="shared" si="83"/>
        <v>39473.145600000396</v>
      </c>
      <c r="AF193" s="112"/>
    </row>
    <row r="194" spans="2:32" outlineLevel="1">
      <c r="B194" s="125">
        <v>163</v>
      </c>
      <c r="C194" s="120" t="s">
        <v>117</v>
      </c>
      <c r="D194" s="153" t="s">
        <v>329</v>
      </c>
      <c r="E194" s="126">
        <v>45891</v>
      </c>
      <c r="F194" s="126">
        <v>45950</v>
      </c>
      <c r="G194" s="126"/>
      <c r="H194" s="126"/>
      <c r="I194" s="126"/>
      <c r="J194" s="208">
        <f t="shared" ca="1" si="122"/>
        <v>0</v>
      </c>
      <c r="K194" s="134">
        <v>1052.67</v>
      </c>
      <c r="L194" s="134">
        <v>1042.67</v>
      </c>
      <c r="M194" s="129">
        <f t="shared" si="114"/>
        <v>10</v>
      </c>
      <c r="N194" s="130">
        <v>3999.24</v>
      </c>
      <c r="O194" s="130">
        <v>3988.3</v>
      </c>
      <c r="P194" s="168">
        <f t="shared" si="87"/>
        <v>-10.9399999999996</v>
      </c>
      <c r="Q194" s="132">
        <f t="shared" si="88"/>
        <v>4209879.9708000002</v>
      </c>
      <c r="R194" s="132">
        <f t="shared" si="110"/>
        <v>4158480.7610000004</v>
      </c>
      <c r="S194" s="132">
        <f t="shared" si="115"/>
        <v>-51399.209799999837</v>
      </c>
      <c r="T194" s="133" t="str">
        <f t="shared" si="91"/>
        <v>No Monetizar</v>
      </c>
      <c r="U194" s="209"/>
      <c r="V194" s="210">
        <v>45890</v>
      </c>
      <c r="W194" s="393" t="s">
        <v>275</v>
      </c>
      <c r="X194" s="393" t="s">
        <v>275</v>
      </c>
      <c r="Y194" s="393" t="s">
        <v>324</v>
      </c>
      <c r="Z194" s="211">
        <f t="shared" ref="Z194:Z219" si="124">K194*O194</f>
        <v>4198363.7610000009</v>
      </c>
      <c r="AA194" s="225">
        <f t="shared" si="83"/>
        <v>-11516.209799999371</v>
      </c>
      <c r="AF194" s="112"/>
    </row>
    <row r="195" spans="2:32" outlineLevel="1">
      <c r="B195" s="125">
        <v>164</v>
      </c>
      <c r="C195" s="120" t="s">
        <v>116</v>
      </c>
      <c r="D195" s="153" t="s">
        <v>330</v>
      </c>
      <c r="E195" s="126">
        <v>45891</v>
      </c>
      <c r="F195" s="126">
        <v>45950</v>
      </c>
      <c r="G195" s="126"/>
      <c r="H195" s="126"/>
      <c r="I195" s="126"/>
      <c r="J195" s="208">
        <f t="shared" ca="1" si="122"/>
        <v>0</v>
      </c>
      <c r="K195" s="134">
        <v>321.91000000000003</v>
      </c>
      <c r="L195" s="134">
        <v>321.08431027937661</v>
      </c>
      <c r="M195" s="129">
        <f t="shared" si="114"/>
        <v>0.82568972062341572</v>
      </c>
      <c r="N195" s="130">
        <v>3917.12</v>
      </c>
      <c r="O195" s="130">
        <v>3995.5</v>
      </c>
      <c r="P195" s="168">
        <f t="shared" si="87"/>
        <v>78.380000000000109</v>
      </c>
      <c r="Q195" s="132">
        <f t="shared" si="88"/>
        <v>1260960.0992000001</v>
      </c>
      <c r="R195" s="132">
        <f t="shared" si="110"/>
        <v>1282892.3617212493</v>
      </c>
      <c r="S195" s="132">
        <f t="shared" si="115"/>
        <v>21932.262521249242</v>
      </c>
      <c r="T195" s="133" t="str">
        <f t="shared" si="91"/>
        <v>Monetizar</v>
      </c>
      <c r="U195" s="293"/>
      <c r="V195" s="394">
        <v>45891</v>
      </c>
      <c r="W195" s="393" t="s">
        <v>275</v>
      </c>
      <c r="X195" s="393" t="s">
        <v>275</v>
      </c>
      <c r="Y195" s="393" t="s">
        <v>276</v>
      </c>
      <c r="Z195" s="397">
        <f t="shared" si="124"/>
        <v>1286191.405</v>
      </c>
      <c r="AA195" s="225">
        <f t="shared" si="83"/>
        <v>25231.305799999973</v>
      </c>
      <c r="AF195" s="112"/>
    </row>
    <row r="196" spans="2:32" outlineLevel="1">
      <c r="B196" s="125">
        <v>165</v>
      </c>
      <c r="C196" s="120" t="s">
        <v>116</v>
      </c>
      <c r="D196" s="153" t="s">
        <v>331</v>
      </c>
      <c r="E196" s="126">
        <v>45891</v>
      </c>
      <c r="F196" s="126">
        <v>45950</v>
      </c>
      <c r="G196" s="126"/>
      <c r="H196" s="126"/>
      <c r="I196" s="126"/>
      <c r="J196" s="208">
        <f t="shared" ca="1" si="122"/>
        <v>0</v>
      </c>
      <c r="K196" s="134">
        <v>3576.77</v>
      </c>
      <c r="L196" s="134">
        <v>3567.5956897206233</v>
      </c>
      <c r="M196" s="129">
        <f t="shared" si="114"/>
        <v>9.1743102793766411</v>
      </c>
      <c r="N196" s="130">
        <v>3917.12</v>
      </c>
      <c r="O196" s="130">
        <v>3995.5</v>
      </c>
      <c r="P196" s="168">
        <f t="shared" si="87"/>
        <v>78.380000000000109</v>
      </c>
      <c r="Q196" s="132">
        <f t="shared" si="88"/>
        <v>14010637.3024</v>
      </c>
      <c r="R196" s="132">
        <f t="shared" si="110"/>
        <v>14254328.57827875</v>
      </c>
      <c r="S196" s="132">
        <f t="shared" si="115"/>
        <v>243691.27587874979</v>
      </c>
      <c r="T196" s="133" t="str">
        <f t="shared" si="91"/>
        <v>Monetizar</v>
      </c>
      <c r="U196" s="293"/>
      <c r="V196" s="394">
        <v>45891</v>
      </c>
      <c r="W196" s="393" t="s">
        <v>275</v>
      </c>
      <c r="X196" s="393" t="s">
        <v>275</v>
      </c>
      <c r="Y196" s="393" t="s">
        <v>276</v>
      </c>
      <c r="Z196" s="397">
        <f t="shared" si="124"/>
        <v>14290984.535</v>
      </c>
      <c r="AA196" s="225">
        <f t="shared" si="83"/>
        <v>280347.23259999976</v>
      </c>
      <c r="AF196" s="112"/>
    </row>
    <row r="197" spans="2:32" outlineLevel="1">
      <c r="B197" s="125">
        <v>166</v>
      </c>
      <c r="C197" s="120" t="s">
        <v>119</v>
      </c>
      <c r="D197" s="153">
        <v>6198</v>
      </c>
      <c r="E197" s="126">
        <v>45894</v>
      </c>
      <c r="F197" s="126">
        <v>45954</v>
      </c>
      <c r="G197" s="126"/>
      <c r="H197" s="126"/>
      <c r="I197" s="126"/>
      <c r="J197" s="208">
        <f t="shared" ca="1" si="122"/>
        <v>0</v>
      </c>
      <c r="K197" s="134">
        <v>1783.2</v>
      </c>
      <c r="L197" s="134">
        <v>1778.6814777274958</v>
      </c>
      <c r="M197" s="129">
        <f t="shared" si="114"/>
        <v>4.5185222725042422</v>
      </c>
      <c r="N197" s="130">
        <v>3897.12</v>
      </c>
      <c r="O197" s="130">
        <v>3985.35</v>
      </c>
      <c r="P197" s="168">
        <f t="shared" si="87"/>
        <v>88.230000000000018</v>
      </c>
      <c r="Q197" s="132">
        <f t="shared" si="88"/>
        <v>6949344.3839999996</v>
      </c>
      <c r="R197" s="132">
        <f t="shared" si="110"/>
        <v>7088668.2272612751</v>
      </c>
      <c r="S197" s="132">
        <f t="shared" si="115"/>
        <v>139323.84326127544</v>
      </c>
      <c r="T197" s="133" t="str">
        <f t="shared" si="91"/>
        <v>Monetizar</v>
      </c>
      <c r="U197" s="293"/>
      <c r="V197" s="394">
        <v>45894</v>
      </c>
      <c r="W197" s="393" t="s">
        <v>275</v>
      </c>
      <c r="X197" s="393" t="s">
        <v>275</v>
      </c>
      <c r="Y197" s="393" t="s">
        <v>276</v>
      </c>
      <c r="Z197" s="397">
        <f t="shared" ref="Z197:Z198" si="125">K197*O197</f>
        <v>7106676.1200000001</v>
      </c>
      <c r="AA197" s="225">
        <f t="shared" si="83"/>
        <v>157331.7360000005</v>
      </c>
      <c r="AF197" s="112"/>
    </row>
    <row r="198" spans="2:32" outlineLevel="1">
      <c r="B198" s="125">
        <v>167</v>
      </c>
      <c r="C198" s="120" t="s">
        <v>119</v>
      </c>
      <c r="D198" s="153" t="s">
        <v>332</v>
      </c>
      <c r="E198" s="126">
        <v>45894</v>
      </c>
      <c r="F198" s="126">
        <v>45954</v>
      </c>
      <c r="G198" s="126"/>
      <c r="H198" s="126"/>
      <c r="I198" s="126"/>
      <c r="J198" s="208">
        <f t="shared" ca="1" si="122"/>
        <v>0</v>
      </c>
      <c r="K198" s="134">
        <v>22289.98</v>
      </c>
      <c r="L198" s="134">
        <v>22233.498522272504</v>
      </c>
      <c r="M198" s="129">
        <f t="shared" si="114"/>
        <v>56.481477727495076</v>
      </c>
      <c r="N198" s="130">
        <v>3897.12</v>
      </c>
      <c r="O198" s="130">
        <v>3985.35</v>
      </c>
      <c r="P198" s="168">
        <f t="shared" si="87"/>
        <v>88.230000000000018</v>
      </c>
      <c r="Q198" s="132">
        <f t="shared" si="88"/>
        <v>86866726.857599989</v>
      </c>
      <c r="R198" s="132">
        <f t="shared" si="110"/>
        <v>88608273.335738719</v>
      </c>
      <c r="S198" s="132">
        <f t="shared" si="115"/>
        <v>1741546.4781387299</v>
      </c>
      <c r="T198" s="133" t="str">
        <f t="shared" si="91"/>
        <v>Monetizar</v>
      </c>
      <c r="U198" s="293"/>
      <c r="V198" s="394">
        <v>45894</v>
      </c>
      <c r="W198" s="393" t="s">
        <v>275</v>
      </c>
      <c r="X198" s="393" t="s">
        <v>275</v>
      </c>
      <c r="Y198" s="393" t="s">
        <v>276</v>
      </c>
      <c r="Z198" s="397">
        <f t="shared" si="125"/>
        <v>88833371.792999998</v>
      </c>
      <c r="AA198" s="225">
        <f t="shared" si="83"/>
        <v>1966644.9354000092</v>
      </c>
      <c r="AF198" s="112"/>
    </row>
    <row r="199" spans="2:32" outlineLevel="1">
      <c r="B199" s="125">
        <v>168</v>
      </c>
      <c r="C199" s="120" t="s">
        <v>122</v>
      </c>
      <c r="D199" s="153">
        <v>6069</v>
      </c>
      <c r="E199" s="126">
        <v>45883</v>
      </c>
      <c r="F199" s="126">
        <v>45943</v>
      </c>
      <c r="G199" s="126"/>
      <c r="H199" s="126"/>
      <c r="I199" s="126"/>
      <c r="J199" s="208">
        <f t="shared" ca="1" si="122"/>
        <v>0</v>
      </c>
      <c r="K199" s="134">
        <v>3977.79</v>
      </c>
      <c r="L199" s="134">
        <v>3961.1492465745314</v>
      </c>
      <c r="M199" s="332">
        <f t="shared" si="114"/>
        <v>16.640753425468574</v>
      </c>
      <c r="N199" s="130">
        <f>4680.3</f>
        <v>4680.3</v>
      </c>
      <c r="O199" s="130">
        <v>4010</v>
      </c>
      <c r="P199" s="168">
        <f t="shared" si="87"/>
        <v>-670.30000000000018</v>
      </c>
      <c r="Q199" s="132">
        <f t="shared" si="88"/>
        <v>18617250.537</v>
      </c>
      <c r="R199" s="132">
        <v>18217509.711168222</v>
      </c>
      <c r="S199" s="132">
        <f t="shared" si="115"/>
        <v>-399740.82583177835</v>
      </c>
      <c r="T199" s="133" t="str">
        <f t="shared" si="91"/>
        <v>No Monetizar</v>
      </c>
      <c r="U199" s="293"/>
      <c r="V199" s="394">
        <v>45894</v>
      </c>
      <c r="W199" s="393" t="s">
        <v>275</v>
      </c>
      <c r="X199" s="393" t="s">
        <v>275</v>
      </c>
      <c r="Y199" s="393" t="s">
        <v>333</v>
      </c>
      <c r="Z199" s="397">
        <f t="shared" ref="Z199:Z200" si="126">K199*O199</f>
        <v>15950937.9</v>
      </c>
      <c r="AA199" s="225">
        <f t="shared" si="83"/>
        <v>-2666312.6370000001</v>
      </c>
      <c r="AF199" s="112"/>
    </row>
    <row r="200" spans="2:32" outlineLevel="1">
      <c r="B200" s="125">
        <v>169</v>
      </c>
      <c r="C200" s="120" t="s">
        <v>122</v>
      </c>
      <c r="D200" s="153">
        <v>6110</v>
      </c>
      <c r="E200" s="126">
        <v>45883</v>
      </c>
      <c r="F200" s="126">
        <v>45943</v>
      </c>
      <c r="G200" s="126"/>
      <c r="H200" s="126"/>
      <c r="I200" s="126"/>
      <c r="J200" s="208">
        <f t="shared" ca="1" si="122"/>
        <v>0</v>
      </c>
      <c r="K200" s="134">
        <v>8691.2800000000007</v>
      </c>
      <c r="L200" s="134">
        <v>8654.9207534254692</v>
      </c>
      <c r="M200" s="332">
        <f t="shared" si="114"/>
        <v>36.359246574531426</v>
      </c>
      <c r="N200" s="130">
        <f>4481.96</f>
        <v>4481.96</v>
      </c>
      <c r="O200" s="130">
        <v>4010</v>
      </c>
      <c r="P200" s="168">
        <f t="shared" si="87"/>
        <v>-471.96000000000004</v>
      </c>
      <c r="Q200" s="132">
        <f t="shared" si="88"/>
        <v>38953969.308800004</v>
      </c>
      <c r="R200" s="132">
        <v>39804383.288831778</v>
      </c>
      <c r="S200" s="132">
        <f t="shared" si="115"/>
        <v>850413.98003177345</v>
      </c>
      <c r="T200" s="133" t="str">
        <f t="shared" si="91"/>
        <v>Monetizar</v>
      </c>
      <c r="U200" s="293"/>
      <c r="V200" s="394">
        <v>45894</v>
      </c>
      <c r="W200" s="393" t="s">
        <v>275</v>
      </c>
      <c r="X200" s="393" t="s">
        <v>275</v>
      </c>
      <c r="Y200" s="393" t="s">
        <v>276</v>
      </c>
      <c r="Z200" s="397">
        <f t="shared" si="126"/>
        <v>34852032.800000004</v>
      </c>
      <c r="AA200" s="225">
        <f t="shared" si="83"/>
        <v>-4101936.5088</v>
      </c>
      <c r="AF200" s="112"/>
    </row>
    <row r="201" spans="2:32" outlineLevel="1">
      <c r="B201" s="125">
        <v>170</v>
      </c>
      <c r="C201" s="120" t="s">
        <v>277</v>
      </c>
      <c r="D201" s="153">
        <v>6189</v>
      </c>
      <c r="E201" s="126">
        <v>45890</v>
      </c>
      <c r="F201" s="126">
        <v>45950</v>
      </c>
      <c r="G201" s="126"/>
      <c r="H201" s="126"/>
      <c r="I201" s="126"/>
      <c r="J201" s="208">
        <f t="shared" ca="1" si="122"/>
        <v>0</v>
      </c>
      <c r="K201" s="134">
        <f>272075-19391.52-502.91</f>
        <v>252180.57</v>
      </c>
      <c r="L201" s="134">
        <f>272075-19391.52-502.91</f>
        <v>252180.57</v>
      </c>
      <c r="M201" s="129">
        <f t="shared" si="114"/>
        <v>0</v>
      </c>
      <c r="N201" s="219">
        <v>4004.74</v>
      </c>
      <c r="O201" s="219">
        <v>4012.98</v>
      </c>
      <c r="P201" s="168">
        <f t="shared" si="87"/>
        <v>8.2400000000002365</v>
      </c>
      <c r="Q201" s="132">
        <f t="shared" si="88"/>
        <v>1009917615.9017999</v>
      </c>
      <c r="R201" s="132">
        <f t="shared" si="110"/>
        <v>1011995583.7986001</v>
      </c>
      <c r="S201" s="132">
        <f t="shared" si="115"/>
        <v>2077967.8968001604</v>
      </c>
      <c r="T201" s="133" t="str">
        <f t="shared" si="91"/>
        <v>Monetizar</v>
      </c>
      <c r="U201" s="239"/>
      <c r="V201" s="394">
        <v>45896</v>
      </c>
      <c r="W201" s="393" t="s">
        <v>275</v>
      </c>
      <c r="X201" s="393" t="s">
        <v>275</v>
      </c>
      <c r="Y201" s="393" t="s">
        <v>276</v>
      </c>
      <c r="Z201" s="397">
        <f t="shared" ref="Z201:Z207" si="127">K201*O201</f>
        <v>1011995583.7986001</v>
      </c>
      <c r="AA201" s="225">
        <f t="shared" si="83"/>
        <v>2077967.8968001604</v>
      </c>
      <c r="AF201" s="112"/>
    </row>
    <row r="202" spans="2:32" outlineLevel="1">
      <c r="B202" s="125">
        <v>171</v>
      </c>
      <c r="C202" s="120" t="s">
        <v>277</v>
      </c>
      <c r="D202" s="153">
        <v>6180</v>
      </c>
      <c r="E202" s="126">
        <v>45894</v>
      </c>
      <c r="F202" s="126">
        <v>45954</v>
      </c>
      <c r="G202" s="126"/>
      <c r="H202" s="126"/>
      <c r="I202" s="126"/>
      <c r="J202" s="208">
        <f t="shared" ca="1" si="122"/>
        <v>0</v>
      </c>
      <c r="K202" s="134">
        <v>5489.93</v>
      </c>
      <c r="L202" s="134">
        <v>5489.93</v>
      </c>
      <c r="M202" s="129">
        <f t="shared" si="114"/>
        <v>0</v>
      </c>
      <c r="N202" s="219">
        <v>3847.71</v>
      </c>
      <c r="O202" s="219">
        <v>4012.98</v>
      </c>
      <c r="P202" s="168">
        <f t="shared" si="87"/>
        <v>165.26999999999998</v>
      </c>
      <c r="Q202" s="132">
        <f t="shared" si="88"/>
        <v>21123658.5603</v>
      </c>
      <c r="R202" s="132">
        <f t="shared" si="110"/>
        <v>22030979.2914</v>
      </c>
      <c r="S202" s="132">
        <f t="shared" si="115"/>
        <v>907320.73110000044</v>
      </c>
      <c r="T202" s="133" t="str">
        <f t="shared" si="91"/>
        <v>Monetizar</v>
      </c>
      <c r="U202" s="239"/>
      <c r="V202" s="394">
        <v>45896</v>
      </c>
      <c r="W202" s="393" t="s">
        <v>275</v>
      </c>
      <c r="X202" s="393" t="s">
        <v>275</v>
      </c>
      <c r="Y202" s="393" t="s">
        <v>276</v>
      </c>
      <c r="Z202" s="397">
        <f t="shared" si="127"/>
        <v>22030979.2914</v>
      </c>
      <c r="AA202" s="225">
        <f t="shared" si="83"/>
        <v>907320.73110000044</v>
      </c>
      <c r="AF202" s="112"/>
    </row>
    <row r="203" spans="2:32" s="180" customFormat="1" ht="30" outlineLevel="1">
      <c r="B203" s="125">
        <v>172</v>
      </c>
      <c r="C203" s="120" t="s">
        <v>284</v>
      </c>
      <c r="D203" s="153">
        <v>6202</v>
      </c>
      <c r="E203" s="126">
        <v>45894</v>
      </c>
      <c r="F203" s="126">
        <v>45954</v>
      </c>
      <c r="G203" s="126"/>
      <c r="H203" s="126"/>
      <c r="I203" s="126"/>
      <c r="J203" s="208">
        <f t="shared" ca="1" si="122"/>
        <v>0</v>
      </c>
      <c r="K203" s="134">
        <v>749.7</v>
      </c>
      <c r="L203" s="134">
        <v>749.7</v>
      </c>
      <c r="M203" s="129">
        <f t="shared" si="114"/>
        <v>0</v>
      </c>
      <c r="N203" s="219">
        <v>3917.12</v>
      </c>
      <c r="O203" s="219">
        <v>4012.98</v>
      </c>
      <c r="P203" s="168">
        <f t="shared" si="87"/>
        <v>95.860000000000127</v>
      </c>
      <c r="Q203" s="168">
        <f t="shared" si="88"/>
        <v>2936664.8640000001</v>
      </c>
      <c r="R203" s="168">
        <f t="shared" si="110"/>
        <v>3008531.1060000001</v>
      </c>
      <c r="S203" s="168">
        <f t="shared" si="115"/>
        <v>71866.242000000086</v>
      </c>
      <c r="T203" s="133" t="str">
        <f t="shared" si="91"/>
        <v>Monetizar</v>
      </c>
      <c r="U203" s="239"/>
      <c r="V203" s="394">
        <v>45896</v>
      </c>
      <c r="W203" s="393" t="s">
        <v>275</v>
      </c>
      <c r="X203" s="393" t="s">
        <v>275</v>
      </c>
      <c r="Y203" s="393" t="s">
        <v>276</v>
      </c>
      <c r="Z203" s="397">
        <f t="shared" si="127"/>
        <v>3008531.1060000001</v>
      </c>
      <c r="AA203" s="225">
        <f t="shared" si="83"/>
        <v>71866.242000000086</v>
      </c>
      <c r="AF203" s="181"/>
    </row>
    <row r="204" spans="2:32" s="180" customFormat="1" ht="30" outlineLevel="1">
      <c r="B204" s="125">
        <v>173</v>
      </c>
      <c r="C204" s="120" t="s">
        <v>284</v>
      </c>
      <c r="D204" s="153" t="s">
        <v>332</v>
      </c>
      <c r="E204" s="126">
        <v>45894</v>
      </c>
      <c r="F204" s="126">
        <v>45954</v>
      </c>
      <c r="G204" s="126"/>
      <c r="H204" s="126"/>
      <c r="I204" s="126"/>
      <c r="J204" s="208">
        <f t="shared" ca="1" si="122"/>
        <v>0</v>
      </c>
      <c r="K204" s="134">
        <v>11758.38</v>
      </c>
      <c r="L204" s="134">
        <v>11758.38</v>
      </c>
      <c r="M204" s="129">
        <f t="shared" si="114"/>
        <v>0</v>
      </c>
      <c r="N204" s="219">
        <v>3917.12</v>
      </c>
      <c r="O204" s="219">
        <v>4012.98</v>
      </c>
      <c r="P204" s="168">
        <f t="shared" si="87"/>
        <v>95.860000000000127</v>
      </c>
      <c r="Q204" s="168">
        <f t="shared" si="88"/>
        <v>46058985.465599999</v>
      </c>
      <c r="R204" s="168">
        <f t="shared" si="110"/>
        <v>47186143.772399999</v>
      </c>
      <c r="S204" s="168">
        <f t="shared" si="115"/>
        <v>1127158.3068000004</v>
      </c>
      <c r="T204" s="133" t="str">
        <f t="shared" si="91"/>
        <v>Monetizar</v>
      </c>
      <c r="U204" s="239"/>
      <c r="V204" s="394">
        <v>45896</v>
      </c>
      <c r="W204" s="393" t="s">
        <v>275</v>
      </c>
      <c r="X204" s="393" t="s">
        <v>275</v>
      </c>
      <c r="Y204" s="393" t="s">
        <v>276</v>
      </c>
      <c r="Z204" s="397">
        <f t="shared" si="127"/>
        <v>47186143.772399999</v>
      </c>
      <c r="AA204" s="225">
        <f t="shared" si="83"/>
        <v>1127158.3068000004</v>
      </c>
      <c r="AF204" s="181"/>
    </row>
    <row r="205" spans="2:32" s="180" customFormat="1" outlineLevel="1">
      <c r="B205" s="125">
        <v>174</v>
      </c>
      <c r="C205" s="120" t="s">
        <v>287</v>
      </c>
      <c r="D205" s="153">
        <v>6117</v>
      </c>
      <c r="E205" s="126">
        <v>45896</v>
      </c>
      <c r="F205" s="126">
        <v>45956</v>
      </c>
      <c r="G205" s="126"/>
      <c r="H205" s="126"/>
      <c r="I205" s="126"/>
      <c r="J205" s="208">
        <f t="shared" ca="1" si="122"/>
        <v>0</v>
      </c>
      <c r="K205" s="134">
        <v>1884.08</v>
      </c>
      <c r="L205" s="134">
        <v>1884.08</v>
      </c>
      <c r="M205" s="129">
        <f t="shared" si="114"/>
        <v>0</v>
      </c>
      <c r="N205" s="219">
        <v>3853.9</v>
      </c>
      <c r="O205" s="219">
        <v>4012.98</v>
      </c>
      <c r="P205" s="168">
        <f t="shared" si="87"/>
        <v>159.07999999999993</v>
      </c>
      <c r="Q205" s="168">
        <f t="shared" si="88"/>
        <v>7261055.9119999995</v>
      </c>
      <c r="R205" s="168">
        <f t="shared" si="110"/>
        <v>7560775.3583999993</v>
      </c>
      <c r="S205" s="168">
        <f t="shared" si="115"/>
        <v>299719.44639999978</v>
      </c>
      <c r="T205" s="133" t="str">
        <f t="shared" si="91"/>
        <v>Monetizar</v>
      </c>
      <c r="U205" s="239"/>
      <c r="V205" s="394">
        <v>45896</v>
      </c>
      <c r="W205" s="393" t="s">
        <v>275</v>
      </c>
      <c r="X205" s="393" t="s">
        <v>275</v>
      </c>
      <c r="Y205" s="393" t="s">
        <v>276</v>
      </c>
      <c r="Z205" s="397">
        <f t="shared" si="127"/>
        <v>7560775.3583999993</v>
      </c>
      <c r="AA205" s="225">
        <f t="shared" si="83"/>
        <v>299719.44639999978</v>
      </c>
      <c r="AF205" s="181"/>
    </row>
    <row r="206" spans="2:32" s="180" customFormat="1" outlineLevel="1">
      <c r="B206" s="125">
        <v>175</v>
      </c>
      <c r="C206" s="120" t="s">
        <v>287</v>
      </c>
      <c r="D206" s="153">
        <v>6201</v>
      </c>
      <c r="E206" s="126">
        <v>45896</v>
      </c>
      <c r="F206" s="126">
        <v>45956</v>
      </c>
      <c r="G206" s="126"/>
      <c r="H206" s="126"/>
      <c r="I206" s="126"/>
      <c r="J206" s="208">
        <f t="shared" ca="1" si="122"/>
        <v>0</v>
      </c>
      <c r="K206" s="134">
        <v>108.73</v>
      </c>
      <c r="L206" s="134">
        <v>108.73</v>
      </c>
      <c r="M206" s="129">
        <f t="shared" si="114"/>
        <v>0</v>
      </c>
      <c r="N206" s="219">
        <v>3917.12</v>
      </c>
      <c r="O206" s="219">
        <v>4012.98</v>
      </c>
      <c r="P206" s="168">
        <f t="shared" si="87"/>
        <v>95.860000000000127</v>
      </c>
      <c r="Q206" s="168">
        <f t="shared" si="88"/>
        <v>425908.45760000002</v>
      </c>
      <c r="R206" s="168">
        <f t="shared" si="110"/>
        <v>436331.31540000002</v>
      </c>
      <c r="S206" s="168">
        <f t="shared" si="115"/>
        <v>10422.857799999998</v>
      </c>
      <c r="T206" s="133" t="str">
        <f t="shared" si="91"/>
        <v>Monetizar</v>
      </c>
      <c r="U206" s="239"/>
      <c r="V206" s="394">
        <v>45896</v>
      </c>
      <c r="W206" s="393" t="s">
        <v>275</v>
      </c>
      <c r="X206" s="393" t="s">
        <v>275</v>
      </c>
      <c r="Y206" s="393" t="s">
        <v>276</v>
      </c>
      <c r="Z206" s="397">
        <f t="shared" si="127"/>
        <v>436331.31540000002</v>
      </c>
      <c r="AA206" s="225">
        <f t="shared" si="83"/>
        <v>10422.857799999998</v>
      </c>
      <c r="AF206" s="181"/>
    </row>
    <row r="207" spans="2:32" outlineLevel="1">
      <c r="B207" s="125">
        <v>176</v>
      </c>
      <c r="C207" s="120" t="s">
        <v>287</v>
      </c>
      <c r="D207" s="153" t="s">
        <v>334</v>
      </c>
      <c r="E207" s="126">
        <v>45896</v>
      </c>
      <c r="F207" s="126">
        <v>45956</v>
      </c>
      <c r="G207" s="126"/>
      <c r="H207" s="126"/>
      <c r="I207" s="126"/>
      <c r="J207" s="208">
        <f t="shared" ca="1" si="122"/>
        <v>0</v>
      </c>
      <c r="K207" s="134">
        <v>1087.3</v>
      </c>
      <c r="L207" s="134">
        <v>1087.3</v>
      </c>
      <c r="M207" s="129">
        <f t="shared" si="114"/>
        <v>0</v>
      </c>
      <c r="N207" s="219">
        <v>3917.12</v>
      </c>
      <c r="O207" s="219">
        <v>4012.98</v>
      </c>
      <c r="P207" s="168">
        <f t="shared" si="87"/>
        <v>95.860000000000127</v>
      </c>
      <c r="Q207" s="132">
        <f t="shared" ref="Q207:Q270" si="128">K207*N207</f>
        <v>4259084.5759999994</v>
      </c>
      <c r="R207" s="132">
        <f t="shared" si="110"/>
        <v>4363313.1540000001</v>
      </c>
      <c r="S207" s="168">
        <f t="shared" si="115"/>
        <v>104228.57800000068</v>
      </c>
      <c r="T207" s="133" t="str">
        <f t="shared" si="91"/>
        <v>Monetizar</v>
      </c>
      <c r="U207" s="239"/>
      <c r="V207" s="394">
        <v>45896</v>
      </c>
      <c r="W207" s="393" t="s">
        <v>275</v>
      </c>
      <c r="X207" s="393" t="s">
        <v>275</v>
      </c>
      <c r="Y207" s="393" t="s">
        <v>276</v>
      </c>
      <c r="Z207" s="397">
        <f t="shared" si="127"/>
        <v>4363313.1540000001</v>
      </c>
      <c r="AA207" s="225">
        <f t="shared" si="83"/>
        <v>104228.57800000068</v>
      </c>
      <c r="AF207" s="112"/>
    </row>
    <row r="208" spans="2:32" outlineLevel="1">
      <c r="B208" s="125">
        <v>177</v>
      </c>
      <c r="C208" s="120" t="s">
        <v>312</v>
      </c>
      <c r="D208" s="153">
        <v>6204</v>
      </c>
      <c r="E208" s="126">
        <v>45896</v>
      </c>
      <c r="F208" s="126">
        <v>45956</v>
      </c>
      <c r="G208" s="126"/>
      <c r="H208" s="126"/>
      <c r="I208" s="126"/>
      <c r="J208" s="208">
        <f t="shared" ca="1" si="122"/>
        <v>0</v>
      </c>
      <c r="K208" s="134">
        <v>113.26</v>
      </c>
      <c r="L208" s="134">
        <v>110.2873486028241</v>
      </c>
      <c r="M208" s="129">
        <f t="shared" si="114"/>
        <v>2.972651397175909</v>
      </c>
      <c r="N208" s="219">
        <v>3917.12</v>
      </c>
      <c r="O208" s="219">
        <v>3989.05</v>
      </c>
      <c r="P208" s="168">
        <f t="shared" si="87"/>
        <v>71.930000000000291</v>
      </c>
      <c r="Q208" s="132">
        <f t="shared" si="128"/>
        <v>443653.01120000001</v>
      </c>
      <c r="R208" s="132">
        <f t="shared" ref="R208:R217" si="129">L208*O208</f>
        <v>439941.74794409546</v>
      </c>
      <c r="S208" s="168">
        <f t="shared" si="115"/>
        <v>-3711.2632559045451</v>
      </c>
      <c r="T208" s="133" t="str">
        <f t="shared" si="91"/>
        <v>No Monetizar</v>
      </c>
      <c r="U208" s="239"/>
      <c r="V208" s="394">
        <v>45897</v>
      </c>
      <c r="W208" s="393" t="s">
        <v>275</v>
      </c>
      <c r="X208" s="393" t="s">
        <v>275</v>
      </c>
      <c r="Y208" s="393" t="s">
        <v>276</v>
      </c>
      <c r="Z208" s="397">
        <f t="shared" ref="Z208:Z209" si="130">K208*O208</f>
        <v>451799.80300000001</v>
      </c>
      <c r="AA208" s="225">
        <f t="shared" si="83"/>
        <v>8146.7918000000063</v>
      </c>
      <c r="AF208" s="112"/>
    </row>
    <row r="209" spans="2:32" outlineLevel="1">
      <c r="B209" s="125">
        <v>178</v>
      </c>
      <c r="C209" s="120" t="s">
        <v>312</v>
      </c>
      <c r="D209" s="153" t="s">
        <v>335</v>
      </c>
      <c r="E209" s="126">
        <v>45896</v>
      </c>
      <c r="F209" s="126">
        <v>45956</v>
      </c>
      <c r="G209" s="126"/>
      <c r="H209" s="126"/>
      <c r="I209" s="126"/>
      <c r="J209" s="208">
        <f t="shared" ca="1" si="122"/>
        <v>0</v>
      </c>
      <c r="K209" s="134">
        <v>1029.76</v>
      </c>
      <c r="L209" s="134">
        <v>1002.7326513971759</v>
      </c>
      <c r="M209" s="129">
        <f t="shared" si="114"/>
        <v>27.027348602824077</v>
      </c>
      <c r="N209" s="219">
        <v>3917.12</v>
      </c>
      <c r="O209" s="219">
        <v>3989.05</v>
      </c>
      <c r="P209" s="168">
        <f t="shared" si="87"/>
        <v>71.930000000000291</v>
      </c>
      <c r="Q209" s="132">
        <f t="shared" si="128"/>
        <v>4033693.4912</v>
      </c>
      <c r="R209" s="132">
        <f t="shared" si="129"/>
        <v>3999950.6830559047</v>
      </c>
      <c r="S209" s="168">
        <f t="shared" si="115"/>
        <v>-33742.808144095354</v>
      </c>
      <c r="T209" s="133" t="str">
        <f t="shared" si="91"/>
        <v>No Monetizar</v>
      </c>
      <c r="U209" s="239"/>
      <c r="V209" s="394">
        <v>45897</v>
      </c>
      <c r="W209" s="393" t="s">
        <v>275</v>
      </c>
      <c r="X209" s="393" t="s">
        <v>275</v>
      </c>
      <c r="Y209" s="393" t="s">
        <v>276</v>
      </c>
      <c r="Z209" s="397">
        <f t="shared" si="130"/>
        <v>4107764.128</v>
      </c>
      <c r="AA209" s="225">
        <f t="shared" si="83"/>
        <v>74070.636799999978</v>
      </c>
      <c r="AF209" s="112"/>
    </row>
    <row r="210" spans="2:32" outlineLevel="1">
      <c r="B210" s="125">
        <v>179</v>
      </c>
      <c r="C210" s="120" t="s">
        <v>265</v>
      </c>
      <c r="D210" s="153">
        <v>6203</v>
      </c>
      <c r="E210" s="126">
        <v>45897</v>
      </c>
      <c r="F210" s="126">
        <v>45957</v>
      </c>
      <c r="G210" s="126"/>
      <c r="H210" s="126"/>
      <c r="I210" s="126"/>
      <c r="J210" s="208">
        <f t="shared" ca="1" si="122"/>
        <v>0</v>
      </c>
      <c r="K210" s="134">
        <v>704.56</v>
      </c>
      <c r="L210" s="134">
        <v>704.56</v>
      </c>
      <c r="M210" s="129">
        <f t="shared" si="114"/>
        <v>0</v>
      </c>
      <c r="N210" s="219">
        <v>3917.12</v>
      </c>
      <c r="O210" s="130">
        <v>4006.5</v>
      </c>
      <c r="P210" s="168">
        <f t="shared" si="87"/>
        <v>89.380000000000109</v>
      </c>
      <c r="Q210" s="132">
        <f t="shared" si="128"/>
        <v>2759846.0671999999</v>
      </c>
      <c r="R210" s="132">
        <f t="shared" si="129"/>
        <v>2822819.6399999997</v>
      </c>
      <c r="S210" s="168">
        <f t="shared" si="115"/>
        <v>62973.572799999733</v>
      </c>
      <c r="T210" s="133" t="str">
        <f t="shared" si="91"/>
        <v>Monetizar</v>
      </c>
      <c r="U210" s="239"/>
      <c r="V210" s="394">
        <v>45897</v>
      </c>
      <c r="W210" s="393" t="s">
        <v>275</v>
      </c>
      <c r="X210" s="393" t="s">
        <v>275</v>
      </c>
      <c r="Y210" s="393" t="s">
        <v>276</v>
      </c>
      <c r="Z210" s="397">
        <f t="shared" ref="Z210:Z213" si="131">K210*O210</f>
        <v>2822819.6399999997</v>
      </c>
      <c r="AA210" s="225">
        <f t="shared" si="83"/>
        <v>62973.572799999733</v>
      </c>
      <c r="AF210" s="112"/>
    </row>
    <row r="211" spans="2:32" outlineLevel="1">
      <c r="B211" s="125">
        <v>180</v>
      </c>
      <c r="C211" s="120" t="s">
        <v>265</v>
      </c>
      <c r="D211" s="153" t="s">
        <v>336</v>
      </c>
      <c r="E211" s="126">
        <v>45897</v>
      </c>
      <c r="F211" s="126">
        <v>45957</v>
      </c>
      <c r="G211" s="126"/>
      <c r="H211" s="126"/>
      <c r="I211" s="126"/>
      <c r="J211" s="208">
        <f t="shared" ca="1" si="122"/>
        <v>0</v>
      </c>
      <c r="K211" s="134">
        <v>12810.27</v>
      </c>
      <c r="L211" s="134">
        <v>12810.27</v>
      </c>
      <c r="M211" s="129">
        <f t="shared" si="114"/>
        <v>0</v>
      </c>
      <c r="N211" s="219">
        <v>3917.12</v>
      </c>
      <c r="O211" s="130">
        <v>4006.5</v>
      </c>
      <c r="P211" s="168">
        <f t="shared" si="87"/>
        <v>89.380000000000109</v>
      </c>
      <c r="Q211" s="132">
        <f t="shared" si="128"/>
        <v>50179364.822400004</v>
      </c>
      <c r="R211" s="132">
        <f t="shared" si="129"/>
        <v>51324346.755000003</v>
      </c>
      <c r="S211" s="168">
        <f t="shared" si="115"/>
        <v>1144981.932599999</v>
      </c>
      <c r="T211" s="133" t="str">
        <f t="shared" si="91"/>
        <v>Monetizar</v>
      </c>
      <c r="U211" s="239"/>
      <c r="V211" s="394">
        <v>45897</v>
      </c>
      <c r="W211" s="393" t="s">
        <v>275</v>
      </c>
      <c r="X211" s="393" t="s">
        <v>275</v>
      </c>
      <c r="Y211" s="393" t="s">
        <v>276</v>
      </c>
      <c r="Z211" s="397">
        <f t="shared" si="131"/>
        <v>51324346.755000003</v>
      </c>
      <c r="AA211" s="225">
        <f t="shared" si="83"/>
        <v>1144981.932599999</v>
      </c>
      <c r="AF211" s="112"/>
    </row>
    <row r="212" spans="2:32" outlineLevel="1">
      <c r="B212" s="125">
        <v>181</v>
      </c>
      <c r="C212" s="120" t="s">
        <v>265</v>
      </c>
      <c r="D212" s="153">
        <v>6211</v>
      </c>
      <c r="E212" s="126">
        <v>45897</v>
      </c>
      <c r="F212" s="126">
        <v>45957</v>
      </c>
      <c r="G212" s="126"/>
      <c r="H212" s="126"/>
      <c r="I212" s="126"/>
      <c r="J212" s="208">
        <f t="shared" ca="1" si="122"/>
        <v>0</v>
      </c>
      <c r="K212" s="134">
        <v>884.77</v>
      </c>
      <c r="L212" s="134">
        <v>884.77</v>
      </c>
      <c r="M212" s="129">
        <f t="shared" si="114"/>
        <v>0</v>
      </c>
      <c r="N212" s="219">
        <v>3917.12</v>
      </c>
      <c r="O212" s="130">
        <v>4006.5</v>
      </c>
      <c r="P212" s="168">
        <f t="shared" si="87"/>
        <v>89.380000000000109</v>
      </c>
      <c r="Q212" s="132">
        <f t="shared" si="128"/>
        <v>3465750.2623999999</v>
      </c>
      <c r="R212" s="132">
        <f t="shared" si="129"/>
        <v>3544831.0049999999</v>
      </c>
      <c r="S212" s="168">
        <f t="shared" si="115"/>
        <v>79080.742599999998</v>
      </c>
      <c r="T212" s="133" t="str">
        <f t="shared" si="91"/>
        <v>Monetizar</v>
      </c>
      <c r="U212" s="239"/>
      <c r="V212" s="394">
        <v>45897</v>
      </c>
      <c r="W212" s="393" t="s">
        <v>275</v>
      </c>
      <c r="X212" s="393" t="s">
        <v>275</v>
      </c>
      <c r="Y212" s="393" t="s">
        <v>276</v>
      </c>
      <c r="Z212" s="397">
        <f t="shared" si="131"/>
        <v>3544831.0049999999</v>
      </c>
      <c r="AA212" s="225">
        <f t="shared" si="83"/>
        <v>79080.742599999998</v>
      </c>
      <c r="AF212" s="112"/>
    </row>
    <row r="213" spans="2:32" outlineLevel="1">
      <c r="B213" s="125">
        <v>182</v>
      </c>
      <c r="C213" s="120" t="s">
        <v>265</v>
      </c>
      <c r="D213" s="153" t="s">
        <v>337</v>
      </c>
      <c r="E213" s="126">
        <v>45897</v>
      </c>
      <c r="F213" s="126">
        <v>45957</v>
      </c>
      <c r="G213" s="126"/>
      <c r="H213" s="126"/>
      <c r="I213" s="126"/>
      <c r="J213" s="208">
        <f t="shared" ca="1" si="122"/>
        <v>0</v>
      </c>
      <c r="K213" s="134">
        <v>16086.77</v>
      </c>
      <c r="L213" s="134">
        <v>16086.77</v>
      </c>
      <c r="M213" s="129">
        <f t="shared" si="114"/>
        <v>0</v>
      </c>
      <c r="N213" s="219">
        <v>3917.12</v>
      </c>
      <c r="O213" s="130">
        <v>4006.5</v>
      </c>
      <c r="P213" s="168">
        <f t="shared" si="87"/>
        <v>89.380000000000109</v>
      </c>
      <c r="Q213" s="132">
        <f t="shared" si="128"/>
        <v>63013808.502400003</v>
      </c>
      <c r="R213" s="132">
        <f t="shared" si="129"/>
        <v>64451644.005000003</v>
      </c>
      <c r="S213" s="168">
        <f t="shared" si="115"/>
        <v>1437835.5025999993</v>
      </c>
      <c r="T213" s="133" t="str">
        <f t="shared" si="91"/>
        <v>Monetizar</v>
      </c>
      <c r="U213" s="239"/>
      <c r="V213" s="394">
        <v>45897</v>
      </c>
      <c r="W213" s="393" t="s">
        <v>275</v>
      </c>
      <c r="X213" s="393" t="s">
        <v>275</v>
      </c>
      <c r="Y213" s="393" t="s">
        <v>276</v>
      </c>
      <c r="Z213" s="397">
        <f t="shared" si="131"/>
        <v>64451644.005000003</v>
      </c>
      <c r="AA213" s="225">
        <f t="shared" si="83"/>
        <v>1437835.5025999993</v>
      </c>
      <c r="AF213" s="112"/>
    </row>
    <row r="214" spans="2:32" outlineLevel="1">
      <c r="B214" s="125">
        <v>183</v>
      </c>
      <c r="C214" s="120" t="s">
        <v>117</v>
      </c>
      <c r="D214" s="153">
        <v>6241</v>
      </c>
      <c r="E214" s="126">
        <v>45897</v>
      </c>
      <c r="F214" s="126">
        <v>45957</v>
      </c>
      <c r="G214" s="126"/>
      <c r="H214" s="126"/>
      <c r="I214" s="126"/>
      <c r="J214" s="208">
        <f t="shared" ca="1" si="122"/>
        <v>0</v>
      </c>
      <c r="K214" s="134">
        <v>5200.3</v>
      </c>
      <c r="L214" s="134">
        <v>5199.6926683887423</v>
      </c>
      <c r="M214" s="129">
        <f t="shared" si="114"/>
        <v>0.60733161125790502</v>
      </c>
      <c r="N214" s="130">
        <v>4007.44</v>
      </c>
      <c r="O214" s="130">
        <v>4010.1</v>
      </c>
      <c r="P214" s="168">
        <f t="shared" si="87"/>
        <v>2.6599999999998545</v>
      </c>
      <c r="Q214" s="132">
        <f t="shared" si="128"/>
        <v>20839890.232000001</v>
      </c>
      <c r="R214" s="132">
        <f t="shared" si="129"/>
        <v>20851287.569505695</v>
      </c>
      <c r="S214" s="132">
        <f t="shared" si="115"/>
        <v>11397.337505694479</v>
      </c>
      <c r="T214" s="133" t="str">
        <f t="shared" si="91"/>
        <v>Monetizar</v>
      </c>
      <c r="U214" s="239"/>
      <c r="V214" s="394">
        <v>45897</v>
      </c>
      <c r="W214" s="393" t="s">
        <v>275</v>
      </c>
      <c r="X214" s="393" t="s">
        <v>275</v>
      </c>
      <c r="Y214" s="393" t="s">
        <v>276</v>
      </c>
      <c r="Z214" s="397">
        <f t="shared" ref="Z214:Z215" si="132">K214*O214</f>
        <v>20853723.030000001</v>
      </c>
      <c r="AA214" s="225">
        <f t="shared" si="83"/>
        <v>13832.798000000417</v>
      </c>
      <c r="AF214" s="112"/>
    </row>
    <row r="215" spans="2:32" outlineLevel="1">
      <c r="B215" s="125">
        <v>184</v>
      </c>
      <c r="C215" s="120" t="s">
        <v>117</v>
      </c>
      <c r="D215" s="153" t="s">
        <v>338</v>
      </c>
      <c r="E215" s="126">
        <v>45897</v>
      </c>
      <c r="F215" s="126">
        <v>45957</v>
      </c>
      <c r="G215" s="126"/>
      <c r="H215" s="126"/>
      <c r="I215" s="126"/>
      <c r="J215" s="208">
        <f t="shared" ca="1" si="122"/>
        <v>0</v>
      </c>
      <c r="K215" s="134">
        <v>123237.77</v>
      </c>
      <c r="L215" s="134">
        <v>123223.37733161126</v>
      </c>
      <c r="M215" s="129">
        <f t="shared" si="114"/>
        <v>14.392668388740276</v>
      </c>
      <c r="N215" s="130">
        <v>4007.44</v>
      </c>
      <c r="O215" s="130">
        <v>4010.1</v>
      </c>
      <c r="P215" s="168">
        <f t="shared" si="87"/>
        <v>2.6599999999998545</v>
      </c>
      <c r="Q215" s="132">
        <f t="shared" si="128"/>
        <v>493867969.00880003</v>
      </c>
      <c r="R215" s="132">
        <f t="shared" si="129"/>
        <v>494138065.43749434</v>
      </c>
      <c r="S215" s="132">
        <f t="shared" si="115"/>
        <v>270096.4286943078</v>
      </c>
      <c r="T215" s="133" t="str">
        <f t="shared" si="91"/>
        <v>Monetizar</v>
      </c>
      <c r="U215" s="239"/>
      <c r="V215" s="394">
        <v>45897</v>
      </c>
      <c r="W215" s="393" t="s">
        <v>275</v>
      </c>
      <c r="X215" s="393" t="s">
        <v>275</v>
      </c>
      <c r="Y215" s="393" t="s">
        <v>276</v>
      </c>
      <c r="Z215" s="397">
        <f t="shared" si="132"/>
        <v>494195781.477</v>
      </c>
      <c r="AA215" s="225">
        <f t="shared" si="83"/>
        <v>327812.46819996834</v>
      </c>
      <c r="AF215" s="112"/>
    </row>
    <row r="216" spans="2:32" outlineLevel="1">
      <c r="B216" s="125">
        <v>185</v>
      </c>
      <c r="C216" s="120" t="s">
        <v>279</v>
      </c>
      <c r="D216" s="153">
        <v>6196</v>
      </c>
      <c r="E216" s="126">
        <v>45897</v>
      </c>
      <c r="F216" s="126">
        <v>45957</v>
      </c>
      <c r="G216" s="126"/>
      <c r="H216" s="126"/>
      <c r="I216" s="126"/>
      <c r="J216" s="208">
        <f t="shared" ca="1" si="122"/>
        <v>0</v>
      </c>
      <c r="K216" s="134">
        <v>910.11</v>
      </c>
      <c r="L216" s="134">
        <v>909.26094392429195</v>
      </c>
      <c r="M216" s="129">
        <f t="shared" si="114"/>
        <v>0.84905607570806296</v>
      </c>
      <c r="N216" s="130">
        <v>3917.12</v>
      </c>
      <c r="O216" s="130">
        <v>3998.01</v>
      </c>
      <c r="P216" s="168">
        <f t="shared" si="87"/>
        <v>80.890000000000327</v>
      </c>
      <c r="Q216" s="132">
        <f t="shared" si="128"/>
        <v>3565010.0831999998</v>
      </c>
      <c r="R216" s="132">
        <f t="shared" si="129"/>
        <v>3635234.3464187589</v>
      </c>
      <c r="S216" s="132">
        <f t="shared" si="115"/>
        <v>70224.263218759093</v>
      </c>
      <c r="T216" s="133" t="str">
        <f t="shared" si="91"/>
        <v>Monetizar</v>
      </c>
      <c r="U216" s="239"/>
      <c r="V216" s="394">
        <v>45897</v>
      </c>
      <c r="W216" s="393" t="s">
        <v>275</v>
      </c>
      <c r="X216" s="393" t="s">
        <v>275</v>
      </c>
      <c r="Y216" s="393" t="s">
        <v>276</v>
      </c>
      <c r="Z216" s="397">
        <f t="shared" ref="Z216:Z217" si="133">K216*O216</f>
        <v>3638628.8811000003</v>
      </c>
      <c r="AA216" s="225">
        <f t="shared" si="83"/>
        <v>73618.797900000587</v>
      </c>
      <c r="AF216" s="112"/>
    </row>
    <row r="217" spans="2:32" outlineLevel="1">
      <c r="B217" s="125">
        <v>186</v>
      </c>
      <c r="C217" s="120" t="s">
        <v>279</v>
      </c>
      <c r="D217" s="153" t="s">
        <v>339</v>
      </c>
      <c r="E217" s="126">
        <v>45897</v>
      </c>
      <c r="F217" s="126">
        <v>45957</v>
      </c>
      <c r="G217" s="126"/>
      <c r="H217" s="126"/>
      <c r="I217" s="126"/>
      <c r="J217" s="208">
        <f t="shared" ca="1" si="122"/>
        <v>0</v>
      </c>
      <c r="K217" s="134">
        <v>15168.51</v>
      </c>
      <c r="L217" s="134">
        <v>15154.359056075709</v>
      </c>
      <c r="M217" s="129">
        <f t="shared" si="114"/>
        <v>14.150943924290914</v>
      </c>
      <c r="N217" s="130">
        <v>3917.12</v>
      </c>
      <c r="O217" s="130">
        <v>3998.01</v>
      </c>
      <c r="P217" s="168">
        <f t="shared" si="87"/>
        <v>80.890000000000327</v>
      </c>
      <c r="Q217" s="132">
        <f t="shared" si="128"/>
        <v>59416873.891199999</v>
      </c>
      <c r="R217" s="132">
        <f t="shared" si="129"/>
        <v>60587279.049781248</v>
      </c>
      <c r="S217" s="132">
        <f t="shared" si="115"/>
        <v>1170405.1585812494</v>
      </c>
      <c r="T217" s="133" t="str">
        <f t="shared" si="91"/>
        <v>Monetizar</v>
      </c>
      <c r="U217" s="239"/>
      <c r="V217" s="394">
        <v>45897</v>
      </c>
      <c r="W217" s="393" t="s">
        <v>275</v>
      </c>
      <c r="X217" s="393" t="s">
        <v>275</v>
      </c>
      <c r="Y217" s="393" t="s">
        <v>276</v>
      </c>
      <c r="Z217" s="397">
        <f t="shared" si="133"/>
        <v>60643854.665100001</v>
      </c>
      <c r="AA217" s="225">
        <f t="shared" si="83"/>
        <v>1226980.7739000022</v>
      </c>
      <c r="AF217" s="112"/>
    </row>
    <row r="218" spans="2:32" outlineLevel="1">
      <c r="B218" s="125">
        <v>187</v>
      </c>
      <c r="C218" s="120" t="s">
        <v>304</v>
      </c>
      <c r="D218" s="153" t="s">
        <v>340</v>
      </c>
      <c r="E218" s="126">
        <v>45848</v>
      </c>
      <c r="F218" s="126">
        <v>45908</v>
      </c>
      <c r="G218" s="126"/>
      <c r="H218" s="126"/>
      <c r="I218" s="126"/>
      <c r="J218" s="208">
        <f t="shared" ca="1" si="122"/>
        <v>0</v>
      </c>
      <c r="K218" s="134">
        <v>11864.11</v>
      </c>
      <c r="L218" s="134">
        <v>11864</v>
      </c>
      <c r="M218" s="129">
        <f t="shared" si="114"/>
        <v>0.11000000000058208</v>
      </c>
      <c r="N218" s="130">
        <v>4152.59</v>
      </c>
      <c r="O218" s="130">
        <v>3945.04</v>
      </c>
      <c r="P218" s="168">
        <f t="shared" si="87"/>
        <v>-207.55000000000018</v>
      </c>
      <c r="Q218" s="132">
        <f t="shared" si="128"/>
        <v>49266784.544900008</v>
      </c>
      <c r="R218" s="132">
        <f>O218*L218</f>
        <v>46803954.560000002</v>
      </c>
      <c r="S218" s="132">
        <f t="shared" si="115"/>
        <v>-2462829.9849000052</v>
      </c>
      <c r="T218" s="133" t="str">
        <f t="shared" si="91"/>
        <v>No Monetizar</v>
      </c>
      <c r="U218" s="209"/>
      <c r="V218" s="210">
        <v>45905</v>
      </c>
      <c r="W218" s="393" t="s">
        <v>275</v>
      </c>
      <c r="X218" s="393" t="s">
        <v>275</v>
      </c>
      <c r="Y218" s="393" t="s">
        <v>341</v>
      </c>
      <c r="Z218" s="211">
        <f t="shared" si="124"/>
        <v>46804388.514400005</v>
      </c>
      <c r="AA218" s="225">
        <f t="shared" si="83"/>
        <v>-2462396.0305000022</v>
      </c>
      <c r="AF218" s="112"/>
    </row>
    <row r="219" spans="2:32" outlineLevel="1">
      <c r="B219" s="125">
        <v>188</v>
      </c>
      <c r="C219" s="120" t="s">
        <v>304</v>
      </c>
      <c r="D219" s="153" t="s">
        <v>342</v>
      </c>
      <c r="E219" s="126">
        <v>45848</v>
      </c>
      <c r="F219" s="126">
        <v>45908</v>
      </c>
      <c r="G219" s="126"/>
      <c r="H219" s="126"/>
      <c r="I219" s="126"/>
      <c r="J219" s="208">
        <f t="shared" ca="1" si="122"/>
        <v>0</v>
      </c>
      <c r="K219" s="134">
        <v>12175.220000000001</v>
      </c>
      <c r="L219" s="134">
        <v>12160.33</v>
      </c>
      <c r="M219" s="129">
        <f t="shared" si="114"/>
        <v>14.890000000001237</v>
      </c>
      <c r="N219" s="130">
        <v>4198.83</v>
      </c>
      <c r="O219" s="130">
        <v>3945.04</v>
      </c>
      <c r="P219" s="168">
        <f t="shared" si="87"/>
        <v>-253.78999999999996</v>
      </c>
      <c r="Q219" s="132">
        <f t="shared" si="128"/>
        <v>51121678.992600001</v>
      </c>
      <c r="R219" s="132">
        <f>O219*L219</f>
        <v>47972988.2632</v>
      </c>
      <c r="S219" s="132">
        <f t="shared" si="115"/>
        <v>-3148690.7294000015</v>
      </c>
      <c r="T219" s="133" t="str">
        <f t="shared" si="91"/>
        <v>No Monetizar</v>
      </c>
      <c r="U219" s="209"/>
      <c r="V219" s="210">
        <v>45905</v>
      </c>
      <c r="W219" s="393" t="s">
        <v>275</v>
      </c>
      <c r="X219" s="393" t="s">
        <v>275</v>
      </c>
      <c r="Y219" s="393" t="s">
        <v>343</v>
      </c>
      <c r="Z219" s="211">
        <f t="shared" si="124"/>
        <v>48031729.908800006</v>
      </c>
      <c r="AA219" s="225">
        <f t="shared" si="83"/>
        <v>-3089949.0837999955</v>
      </c>
      <c r="AF219" s="112"/>
    </row>
    <row r="220" spans="2:32" outlineLevel="1">
      <c r="B220" s="125">
        <v>189</v>
      </c>
      <c r="C220" s="120" t="s">
        <v>306</v>
      </c>
      <c r="D220" s="153" t="s">
        <v>344</v>
      </c>
      <c r="E220" s="126">
        <v>45848</v>
      </c>
      <c r="F220" s="126">
        <v>45908</v>
      </c>
      <c r="G220" s="126"/>
      <c r="H220" s="126"/>
      <c r="I220" s="126"/>
      <c r="J220" s="208">
        <f t="shared" ca="1" si="122"/>
        <v>0</v>
      </c>
      <c r="K220" s="134">
        <v>10410.66</v>
      </c>
      <c r="L220" s="134">
        <v>10410.66</v>
      </c>
      <c r="M220" s="129">
        <f t="shared" si="114"/>
        <v>0</v>
      </c>
      <c r="N220" s="130">
        <v>4198.83</v>
      </c>
      <c r="O220" s="130">
        <v>3945.04</v>
      </c>
      <c r="P220" s="168">
        <f t="shared" ref="P220:P283" si="134">O220-N220</f>
        <v>-253.78999999999996</v>
      </c>
      <c r="Q220" s="132">
        <f t="shared" si="128"/>
        <v>43712591.527800001</v>
      </c>
      <c r="R220" s="132">
        <f t="shared" ref="R220:R251" si="135">L220*O220</f>
        <v>41070470.126400001</v>
      </c>
      <c r="S220" s="132">
        <f t="shared" si="115"/>
        <v>-2642121.4013999999</v>
      </c>
      <c r="T220" s="133" t="str">
        <f t="shared" si="91"/>
        <v>No Monetizar</v>
      </c>
      <c r="U220" s="209"/>
      <c r="V220" s="210">
        <v>45905</v>
      </c>
      <c r="W220" s="393" t="s">
        <v>275</v>
      </c>
      <c r="X220" s="393" t="s">
        <v>275</v>
      </c>
      <c r="Y220" s="393" t="s">
        <v>343</v>
      </c>
      <c r="Z220" s="211">
        <f t="shared" ref="Z220:Z279" si="136">K220*O220</f>
        <v>41070470.126400001</v>
      </c>
      <c r="AA220" s="225">
        <f t="shared" si="83"/>
        <v>-2642121.4013999999</v>
      </c>
      <c r="AF220" s="112"/>
    </row>
    <row r="221" spans="2:32" outlineLevel="1">
      <c r="B221" s="125">
        <v>190</v>
      </c>
      <c r="C221" s="120" t="s">
        <v>264</v>
      </c>
      <c r="D221" s="153">
        <v>5904</v>
      </c>
      <c r="E221" s="126">
        <v>45848</v>
      </c>
      <c r="F221" s="126">
        <v>45908</v>
      </c>
      <c r="G221" s="126"/>
      <c r="H221" s="126"/>
      <c r="I221" s="126"/>
      <c r="J221" s="208">
        <f t="shared" ca="1" si="122"/>
        <v>0</v>
      </c>
      <c r="K221" s="134">
        <v>650</v>
      </c>
      <c r="L221" s="134">
        <v>646.43855131225689</v>
      </c>
      <c r="M221" s="129">
        <f t="shared" si="114"/>
        <v>3.5614486877431091</v>
      </c>
      <c r="N221" s="130">
        <v>4227.32</v>
      </c>
      <c r="O221" s="130">
        <v>3945.04</v>
      </c>
      <c r="P221" s="168">
        <f t="shared" si="134"/>
        <v>-282.27999999999975</v>
      </c>
      <c r="Q221" s="132">
        <f t="shared" si="128"/>
        <v>2747758</v>
      </c>
      <c r="R221" s="132">
        <f t="shared" si="135"/>
        <v>2550225.9424689058</v>
      </c>
      <c r="S221" s="132">
        <f t="shared" si="115"/>
        <v>-197532.05753109418</v>
      </c>
      <c r="T221" s="133" t="str">
        <f t="shared" ref="T221:T284" si="137">IF(R221&lt;= Q221,"No Monetizar","Monetizar")</f>
        <v>No Monetizar</v>
      </c>
      <c r="U221" s="209"/>
      <c r="V221" s="210">
        <v>45905</v>
      </c>
      <c r="W221" s="393" t="s">
        <v>275</v>
      </c>
      <c r="X221" s="393" t="s">
        <v>275</v>
      </c>
      <c r="Y221" s="393" t="s">
        <v>345</v>
      </c>
      <c r="Z221" s="211">
        <f t="shared" si="136"/>
        <v>2564276</v>
      </c>
      <c r="AA221" s="225">
        <f t="shared" si="83"/>
        <v>-183482</v>
      </c>
      <c r="AF221" s="112"/>
    </row>
    <row r="222" spans="2:32" outlineLevel="1">
      <c r="B222" s="125">
        <v>191</v>
      </c>
      <c r="C222" s="120" t="s">
        <v>264</v>
      </c>
      <c r="D222" s="153">
        <v>5970</v>
      </c>
      <c r="E222" s="126">
        <v>45848</v>
      </c>
      <c r="F222" s="126">
        <v>45908</v>
      </c>
      <c r="G222" s="126"/>
      <c r="H222" s="126"/>
      <c r="I222" s="126"/>
      <c r="J222" s="208">
        <f t="shared" ca="1" si="122"/>
        <v>0</v>
      </c>
      <c r="K222" s="134">
        <v>262.55</v>
      </c>
      <c r="L222" s="134">
        <v>261.11144868774312</v>
      </c>
      <c r="M222" s="129">
        <f t="shared" si="114"/>
        <v>1.4385513122568909</v>
      </c>
      <c r="N222" s="130">
        <v>4176.54</v>
      </c>
      <c r="O222" s="130">
        <v>3945.04</v>
      </c>
      <c r="P222" s="168">
        <f t="shared" si="134"/>
        <v>-231.5</v>
      </c>
      <c r="Q222" s="132">
        <f t="shared" si="128"/>
        <v>1096550.577</v>
      </c>
      <c r="R222" s="132">
        <f t="shared" si="135"/>
        <v>1030095.1095310941</v>
      </c>
      <c r="S222" s="132">
        <f t="shared" si="115"/>
        <v>-66455.467468905961</v>
      </c>
      <c r="T222" s="133" t="str">
        <f t="shared" si="137"/>
        <v>No Monetizar</v>
      </c>
      <c r="U222" s="209"/>
      <c r="V222" s="210">
        <v>45905</v>
      </c>
      <c r="W222" s="393" t="s">
        <v>275</v>
      </c>
      <c r="X222" s="393" t="s">
        <v>275</v>
      </c>
      <c r="Y222" s="393" t="s">
        <v>345</v>
      </c>
      <c r="Z222" s="211">
        <f t="shared" si="136"/>
        <v>1035770.252</v>
      </c>
      <c r="AA222" s="225">
        <f t="shared" si="83"/>
        <v>-60780.32500000007</v>
      </c>
      <c r="AF222" s="112"/>
    </row>
    <row r="223" spans="2:32" outlineLevel="1">
      <c r="B223" s="125">
        <v>192</v>
      </c>
      <c r="C223" s="120" t="s">
        <v>117</v>
      </c>
      <c r="D223" s="153" t="s">
        <v>329</v>
      </c>
      <c r="E223" s="126">
        <v>45891</v>
      </c>
      <c r="F223" s="126">
        <v>45950</v>
      </c>
      <c r="G223" s="126"/>
      <c r="H223" s="126"/>
      <c r="I223" s="126"/>
      <c r="J223" s="208">
        <f t="shared" ca="1" si="122"/>
        <v>0</v>
      </c>
      <c r="K223" s="134">
        <v>1052.67</v>
      </c>
      <c r="L223" s="134">
        <v>1042.67</v>
      </c>
      <c r="M223" s="129">
        <f t="shared" si="114"/>
        <v>10</v>
      </c>
      <c r="N223" s="130">
        <v>3999.24</v>
      </c>
      <c r="O223" s="130">
        <v>3945.04</v>
      </c>
      <c r="P223" s="168">
        <f t="shared" si="134"/>
        <v>-54.199999999999818</v>
      </c>
      <c r="Q223" s="132">
        <f t="shared" si="128"/>
        <v>4209879.9708000002</v>
      </c>
      <c r="R223" s="132">
        <f t="shared" si="135"/>
        <v>4113374.8568000002</v>
      </c>
      <c r="S223" s="132">
        <f t="shared" si="115"/>
        <v>-96505.11400000006</v>
      </c>
      <c r="T223" s="133" t="str">
        <f t="shared" si="137"/>
        <v>No Monetizar</v>
      </c>
      <c r="U223" s="209"/>
      <c r="V223" s="210">
        <v>45905</v>
      </c>
      <c r="W223" s="393" t="s">
        <v>275</v>
      </c>
      <c r="X223" s="393" t="s">
        <v>275</v>
      </c>
      <c r="Y223" s="393" t="s">
        <v>345</v>
      </c>
      <c r="Z223" s="211">
        <f t="shared" ref="Z223:Z224" si="138">K223*O223</f>
        <v>4152825.2568000001</v>
      </c>
      <c r="AA223" s="225">
        <f t="shared" si="83"/>
        <v>-57054.714000000153</v>
      </c>
      <c r="AF223" s="112"/>
    </row>
    <row r="224" spans="2:32" outlineLevel="1">
      <c r="B224" s="125">
        <v>193</v>
      </c>
      <c r="C224" s="217" t="s">
        <v>303</v>
      </c>
      <c r="D224" s="153">
        <v>6269</v>
      </c>
      <c r="E224" s="126">
        <v>45905</v>
      </c>
      <c r="F224" s="126">
        <v>45965</v>
      </c>
      <c r="G224" s="126"/>
      <c r="H224" s="126"/>
      <c r="I224" s="126"/>
      <c r="J224" s="208">
        <f t="shared" ca="1" si="122"/>
        <v>0</v>
      </c>
      <c r="K224" s="134">
        <v>3310.17</v>
      </c>
      <c r="L224" s="134">
        <v>3310.17</v>
      </c>
      <c r="M224" s="129">
        <f t="shared" si="114"/>
        <v>0</v>
      </c>
      <c r="N224" s="130">
        <v>3932.86</v>
      </c>
      <c r="O224" s="130">
        <v>3944.35</v>
      </c>
      <c r="P224" s="168">
        <f t="shared" si="134"/>
        <v>11.489999999999782</v>
      </c>
      <c r="Q224" s="132">
        <f t="shared" si="128"/>
        <v>13018435.1862</v>
      </c>
      <c r="R224" s="132">
        <f t="shared" si="135"/>
        <v>13056469.0395</v>
      </c>
      <c r="S224" s="132">
        <f t="shared" si="115"/>
        <v>38033.85329999961</v>
      </c>
      <c r="T224" s="133" t="str">
        <f t="shared" si="137"/>
        <v>Monetizar</v>
      </c>
      <c r="U224" s="239"/>
      <c r="V224" s="394">
        <v>45905</v>
      </c>
      <c r="W224" s="393" t="s">
        <v>275</v>
      </c>
      <c r="X224" s="393" t="s">
        <v>275</v>
      </c>
      <c r="Y224" s="393" t="s">
        <v>276</v>
      </c>
      <c r="Z224" s="397">
        <f t="shared" si="138"/>
        <v>13056469.0395</v>
      </c>
      <c r="AA224" s="225">
        <f t="shared" ref="AA224:AA287" si="139">Z224-Q224</f>
        <v>38033.85329999961</v>
      </c>
      <c r="AF224" s="112"/>
    </row>
    <row r="225" spans="2:32" outlineLevel="1">
      <c r="B225" s="125">
        <v>194</v>
      </c>
      <c r="C225" s="120" t="s">
        <v>117</v>
      </c>
      <c r="D225" s="153" t="s">
        <v>346</v>
      </c>
      <c r="E225" s="126">
        <v>45908</v>
      </c>
      <c r="F225" s="126">
        <v>45968</v>
      </c>
      <c r="G225" s="126"/>
      <c r="H225" s="126"/>
      <c r="I225" s="126"/>
      <c r="J225" s="208">
        <f t="shared" ca="1" si="122"/>
        <v>0</v>
      </c>
      <c r="K225" s="134">
        <v>415.02</v>
      </c>
      <c r="L225" s="134">
        <v>410.02</v>
      </c>
      <c r="M225" s="129">
        <f t="shared" si="114"/>
        <v>5</v>
      </c>
      <c r="N225" s="130">
        <v>3891.31</v>
      </c>
      <c r="O225" s="130">
        <v>3939.57</v>
      </c>
      <c r="P225" s="168">
        <f t="shared" si="134"/>
        <v>48.260000000000218</v>
      </c>
      <c r="Q225" s="132">
        <f t="shared" si="128"/>
        <v>1614971.4761999999</v>
      </c>
      <c r="R225" s="132">
        <f t="shared" si="135"/>
        <v>1615302.4913999999</v>
      </c>
      <c r="S225" s="132">
        <f t="shared" si="115"/>
        <v>331.01520000002347</v>
      </c>
      <c r="T225" s="133" t="str">
        <f t="shared" si="137"/>
        <v>Monetizar</v>
      </c>
      <c r="U225" s="239"/>
      <c r="V225" s="394">
        <v>45909</v>
      </c>
      <c r="W225" s="393" t="s">
        <v>275</v>
      </c>
      <c r="X225" s="393" t="s">
        <v>275</v>
      </c>
      <c r="Y225" s="393" t="s">
        <v>276</v>
      </c>
      <c r="Z225" s="397">
        <f t="shared" ref="Z225" si="140">K225*O225</f>
        <v>1635000.3414</v>
      </c>
      <c r="AA225" s="225">
        <f t="shared" si="139"/>
        <v>20028.865200000117</v>
      </c>
      <c r="AF225" s="112"/>
    </row>
    <row r="226" spans="2:32" outlineLevel="1">
      <c r="B226" s="125">
        <v>195</v>
      </c>
      <c r="C226" s="120" t="s">
        <v>278</v>
      </c>
      <c r="D226" s="153">
        <v>6284</v>
      </c>
      <c r="E226" s="126">
        <v>45917</v>
      </c>
      <c r="F226" s="126">
        <v>45977</v>
      </c>
      <c r="G226" s="126"/>
      <c r="H226" s="126"/>
      <c r="I226" s="126"/>
      <c r="J226" s="208">
        <f t="shared" ca="1" si="122"/>
        <v>0</v>
      </c>
      <c r="K226" s="134">
        <v>133.35</v>
      </c>
      <c r="L226" s="134">
        <v>133.35</v>
      </c>
      <c r="M226" s="129">
        <f t="shared" si="114"/>
        <v>0</v>
      </c>
      <c r="N226" s="219">
        <v>3789.05</v>
      </c>
      <c r="O226" s="130">
        <v>3870</v>
      </c>
      <c r="P226" s="168">
        <f t="shared" si="134"/>
        <v>80.949999999999818</v>
      </c>
      <c r="Q226" s="132">
        <f t="shared" si="128"/>
        <v>505269.8175</v>
      </c>
      <c r="R226" s="132">
        <f t="shared" si="135"/>
        <v>516064.5</v>
      </c>
      <c r="S226" s="132">
        <f t="shared" si="115"/>
        <v>10794.682499999995</v>
      </c>
      <c r="T226" s="133" t="str">
        <f t="shared" si="137"/>
        <v>Monetizar</v>
      </c>
      <c r="U226" s="239"/>
      <c r="V226" s="210">
        <v>45918</v>
      </c>
      <c r="W226" s="393" t="s">
        <v>275</v>
      </c>
      <c r="X226" s="393" t="s">
        <v>275</v>
      </c>
      <c r="Y226" s="393" t="s">
        <v>276</v>
      </c>
      <c r="Z226" s="397">
        <f t="shared" ref="Z226:Z227" si="141">K226*O226</f>
        <v>516064.5</v>
      </c>
      <c r="AA226" s="225">
        <f t="shared" si="139"/>
        <v>10794.682499999995</v>
      </c>
      <c r="AF226" s="112"/>
    </row>
    <row r="227" spans="2:32" outlineLevel="1">
      <c r="B227" s="125">
        <v>196</v>
      </c>
      <c r="C227" s="120" t="s">
        <v>278</v>
      </c>
      <c r="D227" s="153" t="s">
        <v>347</v>
      </c>
      <c r="E227" s="126">
        <v>45917</v>
      </c>
      <c r="F227" s="126">
        <v>45977</v>
      </c>
      <c r="G227" s="126"/>
      <c r="H227" s="126"/>
      <c r="I227" s="126"/>
      <c r="J227" s="208">
        <f t="shared" ca="1" si="122"/>
        <v>0</v>
      </c>
      <c r="K227" s="134">
        <v>1212.25</v>
      </c>
      <c r="L227" s="134">
        <v>1212.25</v>
      </c>
      <c r="M227" s="129">
        <f t="shared" si="114"/>
        <v>0</v>
      </c>
      <c r="N227" s="219">
        <v>3789.05</v>
      </c>
      <c r="O227" s="130">
        <v>3870</v>
      </c>
      <c r="P227" s="168">
        <f t="shared" si="134"/>
        <v>80.949999999999818</v>
      </c>
      <c r="Q227" s="132">
        <f t="shared" si="128"/>
        <v>4593275.8624999998</v>
      </c>
      <c r="R227" s="132">
        <f t="shared" si="135"/>
        <v>4691407.5</v>
      </c>
      <c r="S227" s="132">
        <f t="shared" si="115"/>
        <v>98131.637500000186</v>
      </c>
      <c r="T227" s="133" t="str">
        <f t="shared" si="137"/>
        <v>Monetizar</v>
      </c>
      <c r="U227" s="239"/>
      <c r="V227" s="210">
        <v>45918</v>
      </c>
      <c r="W227" s="393" t="s">
        <v>275</v>
      </c>
      <c r="X227" s="393" t="s">
        <v>275</v>
      </c>
      <c r="Y227" s="393" t="s">
        <v>276</v>
      </c>
      <c r="Z227" s="397">
        <f t="shared" si="141"/>
        <v>4691407.5</v>
      </c>
      <c r="AA227" s="225">
        <f t="shared" si="139"/>
        <v>98131.637500000186</v>
      </c>
      <c r="AF227" s="112"/>
    </row>
    <row r="228" spans="2:32" outlineLevel="1">
      <c r="B228" s="125">
        <v>197</v>
      </c>
      <c r="C228" s="120" t="s">
        <v>116</v>
      </c>
      <c r="D228" s="153">
        <v>6285</v>
      </c>
      <c r="E228" s="126">
        <v>45919</v>
      </c>
      <c r="F228" s="126">
        <v>45979</v>
      </c>
      <c r="G228" s="126"/>
      <c r="H228" s="126"/>
      <c r="I228" s="126"/>
      <c r="J228" s="208">
        <f t="shared" ca="1" si="122"/>
        <v>0</v>
      </c>
      <c r="K228" s="134">
        <v>333.18</v>
      </c>
      <c r="L228" s="134">
        <v>333.18</v>
      </c>
      <c r="M228" s="129">
        <f t="shared" si="114"/>
        <v>0</v>
      </c>
      <c r="N228" s="130">
        <v>3789.05</v>
      </c>
      <c r="O228" s="130">
        <v>3837.52</v>
      </c>
      <c r="P228" s="168">
        <f t="shared" si="134"/>
        <v>48.4699999999998</v>
      </c>
      <c r="Q228" s="168">
        <f t="shared" si="128"/>
        <v>1262435.679</v>
      </c>
      <c r="R228" s="168">
        <f t="shared" si="135"/>
        <v>1278584.9136000001</v>
      </c>
      <c r="S228" s="168">
        <f t="shared" si="115"/>
        <v>16149.234600000083</v>
      </c>
      <c r="T228" s="216" t="str">
        <f t="shared" si="137"/>
        <v>Monetizar</v>
      </c>
      <c r="U228" s="239"/>
      <c r="V228" s="210">
        <v>45922</v>
      </c>
      <c r="W228" s="393" t="s">
        <v>275</v>
      </c>
      <c r="X228" s="393" t="s">
        <v>275</v>
      </c>
      <c r="Y228" s="393" t="s">
        <v>276</v>
      </c>
      <c r="Z228" s="397">
        <f t="shared" ref="Z228" si="142">K228*O228</f>
        <v>1278584.9136000001</v>
      </c>
      <c r="AA228" s="225">
        <f t="shared" si="139"/>
        <v>16149.234600000083</v>
      </c>
      <c r="AF228" s="112"/>
    </row>
    <row r="229" spans="2:32" outlineLevel="1">
      <c r="B229" s="125">
        <v>198</v>
      </c>
      <c r="C229" s="120" t="s">
        <v>116</v>
      </c>
      <c r="D229" s="153" t="s">
        <v>348</v>
      </c>
      <c r="E229" s="126">
        <v>45919</v>
      </c>
      <c r="F229" s="126">
        <v>45979</v>
      </c>
      <c r="G229" s="126"/>
      <c r="H229" s="126"/>
      <c r="I229" s="126"/>
      <c r="J229" s="208">
        <f t="shared" ca="1" si="122"/>
        <v>0</v>
      </c>
      <c r="K229" s="134">
        <v>3702</v>
      </c>
      <c r="L229" s="134">
        <f>3702-10</f>
        <v>3692</v>
      </c>
      <c r="M229" s="129">
        <f t="shared" si="114"/>
        <v>10</v>
      </c>
      <c r="N229" s="130">
        <v>3789.05</v>
      </c>
      <c r="O229" s="130">
        <v>3837.52</v>
      </c>
      <c r="P229" s="168">
        <f t="shared" si="134"/>
        <v>48.4699999999998</v>
      </c>
      <c r="Q229" s="168">
        <f t="shared" si="128"/>
        <v>14027063.100000001</v>
      </c>
      <c r="R229" s="168">
        <f t="shared" si="135"/>
        <v>14168123.84</v>
      </c>
      <c r="S229" s="168">
        <f t="shared" si="115"/>
        <v>141060.73999999836</v>
      </c>
      <c r="T229" s="216" t="str">
        <f t="shared" si="137"/>
        <v>Monetizar</v>
      </c>
      <c r="U229" s="239"/>
      <c r="V229" s="210">
        <v>45922</v>
      </c>
      <c r="W229" s="393" t="s">
        <v>275</v>
      </c>
      <c r="X229" s="393" t="s">
        <v>275</v>
      </c>
      <c r="Y229" s="393" t="s">
        <v>276</v>
      </c>
      <c r="Z229" s="397">
        <f t="shared" ref="Z229" si="143">K229*O229</f>
        <v>14206499.039999999</v>
      </c>
      <c r="AA229" s="225">
        <f t="shared" si="139"/>
        <v>179435.93999999762</v>
      </c>
      <c r="AF229" s="112"/>
    </row>
    <row r="230" spans="2:32" ht="30" outlineLevel="1">
      <c r="B230" s="125">
        <v>199</v>
      </c>
      <c r="C230" s="120" t="s">
        <v>284</v>
      </c>
      <c r="D230" s="153">
        <v>6289</v>
      </c>
      <c r="E230" s="126">
        <v>45923</v>
      </c>
      <c r="F230" s="126">
        <v>45983</v>
      </c>
      <c r="G230" s="126"/>
      <c r="H230" s="126"/>
      <c r="I230" s="126"/>
      <c r="J230" s="208">
        <f t="shared" ca="1" si="122"/>
        <v>0</v>
      </c>
      <c r="K230" s="134">
        <v>749.7</v>
      </c>
      <c r="L230" s="134">
        <v>749.7</v>
      </c>
      <c r="M230" s="129">
        <f t="shared" si="114"/>
        <v>0</v>
      </c>
      <c r="N230" s="130">
        <v>3789.05</v>
      </c>
      <c r="O230" s="130">
        <v>3842.75</v>
      </c>
      <c r="P230" s="168">
        <f t="shared" si="134"/>
        <v>53.699999999999818</v>
      </c>
      <c r="Q230" s="132">
        <f t="shared" si="128"/>
        <v>2840650.7850000001</v>
      </c>
      <c r="R230" s="132">
        <f t="shared" si="135"/>
        <v>2880909.6750000003</v>
      </c>
      <c r="S230" s="132">
        <f t="shared" si="115"/>
        <v>40258.89000000013</v>
      </c>
      <c r="T230" s="133" t="str">
        <f t="shared" si="137"/>
        <v>Monetizar</v>
      </c>
      <c r="U230" s="239"/>
      <c r="V230" s="210">
        <v>45922</v>
      </c>
      <c r="W230" s="393" t="s">
        <v>275</v>
      </c>
      <c r="X230" s="393" t="s">
        <v>275</v>
      </c>
      <c r="Y230" s="393" t="s">
        <v>276</v>
      </c>
      <c r="Z230" s="397">
        <f t="shared" ref="Z230:Z231" si="144">K230*O230</f>
        <v>2880909.6750000003</v>
      </c>
      <c r="AA230" s="225">
        <f t="shared" si="139"/>
        <v>40258.89000000013</v>
      </c>
      <c r="AF230" s="112"/>
    </row>
    <row r="231" spans="2:32" ht="30" outlineLevel="1">
      <c r="B231" s="125">
        <v>200</v>
      </c>
      <c r="C231" s="120" t="s">
        <v>284</v>
      </c>
      <c r="D231" s="153" t="s">
        <v>349</v>
      </c>
      <c r="E231" s="126">
        <v>45923</v>
      </c>
      <c r="F231" s="126">
        <v>45983</v>
      </c>
      <c r="G231" s="126"/>
      <c r="H231" s="126"/>
      <c r="I231" s="126"/>
      <c r="J231" s="208">
        <f t="shared" ca="1" si="122"/>
        <v>0</v>
      </c>
      <c r="K231" s="134">
        <v>21390.07</v>
      </c>
      <c r="L231" s="134">
        <v>21390.07</v>
      </c>
      <c r="M231" s="129">
        <f t="shared" si="114"/>
        <v>0</v>
      </c>
      <c r="N231" s="130">
        <v>3789.05</v>
      </c>
      <c r="O231" s="130">
        <v>3842.75</v>
      </c>
      <c r="P231" s="168">
        <f t="shared" si="134"/>
        <v>53.699999999999818</v>
      </c>
      <c r="Q231" s="132">
        <f t="shared" si="128"/>
        <v>81048044.733500004</v>
      </c>
      <c r="R231" s="132">
        <f t="shared" si="135"/>
        <v>82196691.492499992</v>
      </c>
      <c r="S231" s="132">
        <f t="shared" si="115"/>
        <v>1148646.7589999884</v>
      </c>
      <c r="T231" s="133" t="str">
        <f t="shared" si="137"/>
        <v>Monetizar</v>
      </c>
      <c r="U231" s="239"/>
      <c r="V231" s="210">
        <v>45922</v>
      </c>
      <c r="W231" s="393" t="s">
        <v>275</v>
      </c>
      <c r="X231" s="393" t="s">
        <v>275</v>
      </c>
      <c r="Y231" s="393" t="s">
        <v>276</v>
      </c>
      <c r="Z231" s="397">
        <f t="shared" si="144"/>
        <v>82196691.492499992</v>
      </c>
      <c r="AA231" s="225">
        <f t="shared" si="139"/>
        <v>1148646.7589999884</v>
      </c>
      <c r="AF231" s="112"/>
    </row>
    <row r="232" spans="2:32" outlineLevel="1">
      <c r="B232" s="125">
        <v>201</v>
      </c>
      <c r="C232" s="120" t="s">
        <v>277</v>
      </c>
      <c r="D232" s="153">
        <v>6273</v>
      </c>
      <c r="E232" s="126">
        <v>45923</v>
      </c>
      <c r="F232" s="126">
        <v>45983</v>
      </c>
      <c r="G232" s="126"/>
      <c r="H232" s="126"/>
      <c r="I232" s="126"/>
      <c r="J232" s="208">
        <f t="shared" ca="1" si="122"/>
        <v>0</v>
      </c>
      <c r="K232" s="134">
        <v>272162.28000000003</v>
      </c>
      <c r="L232" s="134">
        <v>272162.28000000003</v>
      </c>
      <c r="M232" s="129">
        <f t="shared" si="114"/>
        <v>0</v>
      </c>
      <c r="N232" s="130">
        <v>3999.01</v>
      </c>
      <c r="O232" s="130">
        <v>3862</v>
      </c>
      <c r="P232" s="168">
        <f t="shared" si="134"/>
        <v>-137.01000000000022</v>
      </c>
      <c r="Q232" s="132">
        <f t="shared" si="128"/>
        <v>1088379679.3428001</v>
      </c>
      <c r="R232" s="132">
        <f t="shared" ref="R232:R236" si="145">L232*O232</f>
        <v>1051090725.3600001</v>
      </c>
      <c r="S232" s="132">
        <f t="shared" ref="S232:S236" si="146">R232-Q232</f>
        <v>-37288953.982800007</v>
      </c>
      <c r="T232" s="133" t="str">
        <f t="shared" ref="T232:T236" si="147">IF(R232&lt;= Q232,"No Monetizar","Monetizar")</f>
        <v>No Monetizar</v>
      </c>
      <c r="U232" s="209"/>
      <c r="V232" s="394">
        <v>45923</v>
      </c>
      <c r="W232" s="393" t="s">
        <v>275</v>
      </c>
      <c r="X232" s="393" t="s">
        <v>275</v>
      </c>
      <c r="Y232" s="393" t="s">
        <v>350</v>
      </c>
      <c r="Z232" s="397">
        <f t="shared" ref="Z232:Z234" si="148">K232*O232</f>
        <v>1051090725.3600001</v>
      </c>
      <c r="AA232" s="225">
        <f t="shared" si="139"/>
        <v>-37288953.982800007</v>
      </c>
      <c r="AF232" s="112"/>
    </row>
    <row r="233" spans="2:32" outlineLevel="1">
      <c r="B233" s="125">
        <v>202</v>
      </c>
      <c r="C233" s="120" t="s">
        <v>288</v>
      </c>
      <c r="D233" s="153">
        <v>6295</v>
      </c>
      <c r="E233" s="126">
        <v>45925</v>
      </c>
      <c r="F233" s="126">
        <v>45985</v>
      </c>
      <c r="G233" s="126"/>
      <c r="H233" s="126"/>
      <c r="I233" s="126"/>
      <c r="J233" s="208">
        <f t="shared" ca="1" si="122"/>
        <v>0</v>
      </c>
      <c r="K233" s="134">
        <v>1872.5</v>
      </c>
      <c r="L233" s="134">
        <v>1867.9814689691075</v>
      </c>
      <c r="M233" s="129">
        <f t="shared" si="114"/>
        <v>4.5185310308925182</v>
      </c>
      <c r="N233" s="130">
        <v>3763.61</v>
      </c>
      <c r="O233" s="130">
        <v>3876.3</v>
      </c>
      <c r="P233" s="168">
        <f t="shared" si="134"/>
        <v>112.69000000000005</v>
      </c>
      <c r="Q233" s="168">
        <f t="shared" si="128"/>
        <v>7047359.7250000006</v>
      </c>
      <c r="R233" s="168">
        <f t="shared" si="145"/>
        <v>7240856.5681649521</v>
      </c>
      <c r="S233" s="168">
        <f t="shared" si="146"/>
        <v>193496.84316495154</v>
      </c>
      <c r="T233" s="216" t="str">
        <f t="shared" si="147"/>
        <v>Monetizar</v>
      </c>
      <c r="U233" s="239"/>
      <c r="V233" s="210">
        <v>45925</v>
      </c>
      <c r="W233" s="393" t="s">
        <v>275</v>
      </c>
      <c r="X233" s="393" t="s">
        <v>275</v>
      </c>
      <c r="Y233" s="393" t="s">
        <v>276</v>
      </c>
      <c r="Z233" s="397">
        <f t="shared" si="148"/>
        <v>7258371.75</v>
      </c>
      <c r="AA233" s="225">
        <f t="shared" si="139"/>
        <v>211012.02499999944</v>
      </c>
      <c r="AF233" s="112"/>
    </row>
    <row r="234" spans="2:32" outlineLevel="1">
      <c r="B234" s="125">
        <v>203</v>
      </c>
      <c r="C234" s="120" t="s">
        <v>288</v>
      </c>
      <c r="D234" s="153" t="s">
        <v>351</v>
      </c>
      <c r="E234" s="126">
        <v>45925</v>
      </c>
      <c r="F234" s="126">
        <v>45985</v>
      </c>
      <c r="G234" s="126"/>
      <c r="H234" s="126"/>
      <c r="I234" s="126"/>
      <c r="J234" s="208">
        <f t="shared" ca="1" si="122"/>
        <v>0</v>
      </c>
      <c r="K234" s="134">
        <v>23406.18</v>
      </c>
      <c r="L234" s="134">
        <v>23349.698531030892</v>
      </c>
      <c r="M234" s="129">
        <f t="shared" si="114"/>
        <v>56.481468969108391</v>
      </c>
      <c r="N234" s="130">
        <v>3763.61</v>
      </c>
      <c r="O234" s="130">
        <v>3876.3</v>
      </c>
      <c r="P234" s="168">
        <f t="shared" si="134"/>
        <v>112.69000000000005</v>
      </c>
      <c r="Q234" s="168">
        <f t="shared" si="128"/>
        <v>88091733.109800011</v>
      </c>
      <c r="R234" s="168">
        <f t="shared" si="145"/>
        <v>90510436.415835053</v>
      </c>
      <c r="S234" s="168">
        <f t="shared" si="146"/>
        <v>2418703.3060350418</v>
      </c>
      <c r="T234" s="216" t="str">
        <f t="shared" si="147"/>
        <v>Monetizar</v>
      </c>
      <c r="U234" s="239"/>
      <c r="V234" s="210">
        <v>45925</v>
      </c>
      <c r="W234" s="393" t="s">
        <v>275</v>
      </c>
      <c r="X234" s="393" t="s">
        <v>275</v>
      </c>
      <c r="Y234" s="393" t="s">
        <v>276</v>
      </c>
      <c r="Z234" s="397">
        <f t="shared" si="148"/>
        <v>90729375.534000009</v>
      </c>
      <c r="AA234" s="225">
        <f t="shared" si="139"/>
        <v>2637642.4241999984</v>
      </c>
      <c r="AF234" s="112"/>
    </row>
    <row r="235" spans="2:32" outlineLevel="1">
      <c r="B235" s="125">
        <v>204</v>
      </c>
      <c r="C235" s="120" t="s">
        <v>287</v>
      </c>
      <c r="D235" s="153">
        <v>6200</v>
      </c>
      <c r="E235" s="126">
        <v>45917</v>
      </c>
      <c r="F235" s="126">
        <v>45977</v>
      </c>
      <c r="G235" s="126"/>
      <c r="H235" s="126"/>
      <c r="I235" s="126"/>
      <c r="J235" s="208">
        <f t="shared" ca="1" si="122"/>
        <v>0</v>
      </c>
      <c r="K235" s="134">
        <v>174.05</v>
      </c>
      <c r="L235" s="134">
        <v>174.05</v>
      </c>
      <c r="M235" s="129">
        <f t="shared" si="114"/>
        <v>0</v>
      </c>
      <c r="N235" s="130">
        <v>3917.12</v>
      </c>
      <c r="O235" s="130">
        <v>3874</v>
      </c>
      <c r="P235" s="168">
        <f t="shared" si="134"/>
        <v>-43.119999999999891</v>
      </c>
      <c r="Q235" s="168">
        <f t="shared" si="128"/>
        <v>681774.73600000003</v>
      </c>
      <c r="R235" s="168">
        <f t="shared" si="145"/>
        <v>674269.70000000007</v>
      </c>
      <c r="S235" s="168">
        <f t="shared" si="146"/>
        <v>-7505.0359999999637</v>
      </c>
      <c r="T235" s="216" t="str">
        <f t="shared" si="147"/>
        <v>No Monetizar</v>
      </c>
      <c r="U235" s="209"/>
      <c r="V235" s="210">
        <v>45925</v>
      </c>
      <c r="W235" s="393" t="s">
        <v>275</v>
      </c>
      <c r="X235" s="393" t="s">
        <v>275</v>
      </c>
      <c r="Y235" s="393" t="s">
        <v>350</v>
      </c>
      <c r="Z235" s="397">
        <f t="shared" ref="Z235:Z236" si="149">K235*O235</f>
        <v>674269.70000000007</v>
      </c>
      <c r="AA235" s="225">
        <f t="shared" si="139"/>
        <v>-7505.0359999999637</v>
      </c>
      <c r="AF235" s="112"/>
    </row>
    <row r="236" spans="2:32" outlineLevel="1">
      <c r="B236" s="125">
        <v>205</v>
      </c>
      <c r="C236" s="120" t="s">
        <v>287</v>
      </c>
      <c r="D236" s="153" t="s">
        <v>349</v>
      </c>
      <c r="E236" s="126">
        <v>45917</v>
      </c>
      <c r="F236" s="126">
        <v>45977</v>
      </c>
      <c r="G236" s="126"/>
      <c r="H236" s="126"/>
      <c r="I236" s="126"/>
      <c r="J236" s="208">
        <f t="shared" ca="1" si="122"/>
        <v>0</v>
      </c>
      <c r="K236" s="134">
        <v>1740.47</v>
      </c>
      <c r="L236" s="134">
        <v>1740.47</v>
      </c>
      <c r="M236" s="129">
        <f t="shared" si="114"/>
        <v>0</v>
      </c>
      <c r="N236" s="130">
        <v>3917.12</v>
      </c>
      <c r="O236" s="130">
        <v>3874</v>
      </c>
      <c r="P236" s="168">
        <f t="shared" si="134"/>
        <v>-43.119999999999891</v>
      </c>
      <c r="Q236" s="168">
        <f t="shared" si="128"/>
        <v>6817629.8464000002</v>
      </c>
      <c r="R236" s="168">
        <f t="shared" si="145"/>
        <v>6742580.7800000003</v>
      </c>
      <c r="S236" s="168">
        <f t="shared" si="146"/>
        <v>-75049.066399999894</v>
      </c>
      <c r="T236" s="216" t="str">
        <f t="shared" si="147"/>
        <v>No Monetizar</v>
      </c>
      <c r="U236" s="209"/>
      <c r="V236" s="210">
        <v>45925</v>
      </c>
      <c r="W236" s="393" t="s">
        <v>275</v>
      </c>
      <c r="X236" s="393" t="s">
        <v>275</v>
      </c>
      <c r="Y236" s="393" t="s">
        <v>350</v>
      </c>
      <c r="Z236" s="397">
        <f t="shared" si="149"/>
        <v>6742580.7800000003</v>
      </c>
      <c r="AA236" s="225">
        <f t="shared" si="139"/>
        <v>-75049.066399999894</v>
      </c>
      <c r="AF236" s="112"/>
    </row>
    <row r="237" spans="2:32" outlineLevel="1">
      <c r="B237" s="125">
        <v>206</v>
      </c>
      <c r="C237" s="120" t="s">
        <v>279</v>
      </c>
      <c r="D237" s="153">
        <v>6286</v>
      </c>
      <c r="E237" s="126">
        <v>45925</v>
      </c>
      <c r="F237" s="126">
        <v>45985</v>
      </c>
      <c r="G237" s="126"/>
      <c r="H237" s="126"/>
      <c r="I237" s="126"/>
      <c r="J237" s="208">
        <f t="shared" ca="1" si="122"/>
        <v>0</v>
      </c>
      <c r="K237" s="134">
        <v>749.12</v>
      </c>
      <c r="L237" s="134">
        <v>748.27094254082533</v>
      </c>
      <c r="M237" s="129">
        <f t="shared" si="114"/>
        <v>0.84905745917467357</v>
      </c>
      <c r="N237" s="130">
        <v>3789.05</v>
      </c>
      <c r="O237" s="130">
        <v>3875.09</v>
      </c>
      <c r="P237" s="168">
        <f t="shared" si="134"/>
        <v>86.039999999999964</v>
      </c>
      <c r="Q237" s="132">
        <f t="shared" si="128"/>
        <v>2838453.1359999999</v>
      </c>
      <c r="R237" s="132">
        <f t="shared" si="135"/>
        <v>2899617.2467305269</v>
      </c>
      <c r="S237" s="132">
        <f t="shared" si="115"/>
        <v>61164.110730526969</v>
      </c>
      <c r="T237" s="133" t="str">
        <f t="shared" si="137"/>
        <v>Monetizar</v>
      </c>
      <c r="U237" s="209"/>
      <c r="V237" s="210">
        <v>45925</v>
      </c>
      <c r="W237" s="393" t="s">
        <v>275</v>
      </c>
      <c r="X237" s="393" t="s">
        <v>275</v>
      </c>
      <c r="Y237" s="393" t="s">
        <v>350</v>
      </c>
      <c r="Z237" s="211">
        <f t="shared" si="136"/>
        <v>2902907.4208</v>
      </c>
      <c r="AA237" s="225">
        <f t="shared" si="139"/>
        <v>64454.284800000023</v>
      </c>
      <c r="AF237" s="112"/>
    </row>
    <row r="238" spans="2:32" outlineLevel="1">
      <c r="B238" s="125">
        <v>207</v>
      </c>
      <c r="C238" s="120" t="s">
        <v>279</v>
      </c>
      <c r="D238" s="153" t="s">
        <v>352</v>
      </c>
      <c r="E238" s="126">
        <v>45925</v>
      </c>
      <c r="F238" s="126">
        <v>45985</v>
      </c>
      <c r="G238" s="126"/>
      <c r="H238" s="126"/>
      <c r="I238" s="126"/>
      <c r="J238" s="208">
        <f t="shared" ref="J238:J255" ca="1" si="150">IFERROR(IF(TODAY()&gt;=E233,(TODAY()-E233)/I233,0),0)*0</f>
        <v>0</v>
      </c>
      <c r="K238" s="134">
        <v>12485.32</v>
      </c>
      <c r="L238" s="134">
        <v>12471.169057459174</v>
      </c>
      <c r="M238" s="129">
        <f t="shared" si="114"/>
        <v>14.150942540825781</v>
      </c>
      <c r="N238" s="130">
        <v>3789.05</v>
      </c>
      <c r="O238" s="130">
        <v>3875.09</v>
      </c>
      <c r="P238" s="168">
        <f t="shared" si="134"/>
        <v>86.039999999999964</v>
      </c>
      <c r="Q238" s="132">
        <f t="shared" si="128"/>
        <v>47307501.745999999</v>
      </c>
      <c r="R238" s="132">
        <f t="shared" si="135"/>
        <v>48326902.502869472</v>
      </c>
      <c r="S238" s="132">
        <f t="shared" si="115"/>
        <v>1019400.7568694726</v>
      </c>
      <c r="T238" s="133" t="str">
        <f t="shared" si="137"/>
        <v>Monetizar</v>
      </c>
      <c r="U238" s="209"/>
      <c r="V238" s="210">
        <v>45925</v>
      </c>
      <c r="W238" s="393" t="s">
        <v>275</v>
      </c>
      <c r="X238" s="393" t="s">
        <v>275</v>
      </c>
      <c r="Y238" s="393" t="s">
        <v>350</v>
      </c>
      <c r="Z238" s="211">
        <f t="shared" si="136"/>
        <v>48381738.678800002</v>
      </c>
      <c r="AA238" s="225">
        <f t="shared" si="139"/>
        <v>1074236.9328000024</v>
      </c>
      <c r="AF238" s="112"/>
    </row>
    <row r="239" spans="2:32" outlineLevel="1">
      <c r="B239" s="125">
        <v>208</v>
      </c>
      <c r="C239" s="120" t="s">
        <v>122</v>
      </c>
      <c r="D239" s="153">
        <v>6205</v>
      </c>
      <c r="E239" s="126">
        <v>45903</v>
      </c>
      <c r="F239" s="126">
        <v>45963</v>
      </c>
      <c r="G239" s="126"/>
      <c r="H239" s="126"/>
      <c r="I239" s="126"/>
      <c r="J239" s="208">
        <f t="shared" ca="1" si="150"/>
        <v>0</v>
      </c>
      <c r="K239" s="134">
        <v>150</v>
      </c>
      <c r="L239" s="134">
        <v>149.34846693039415</v>
      </c>
      <c r="M239" s="332">
        <f>K239-L239</f>
        <v>0.651533069605847</v>
      </c>
      <c r="N239" s="219">
        <f>4608.65</f>
        <v>4608.6499999999996</v>
      </c>
      <c r="O239" s="219">
        <v>3890</v>
      </c>
      <c r="P239" s="168">
        <f t="shared" si="134"/>
        <v>-718.64999999999964</v>
      </c>
      <c r="Q239" s="168">
        <f t="shared" si="128"/>
        <v>691297.5</v>
      </c>
      <c r="R239" s="168">
        <f t="shared" si="135"/>
        <v>580965.5363592332</v>
      </c>
      <c r="S239" s="168">
        <f t="shared" si="115"/>
        <v>-110331.9636407668</v>
      </c>
      <c r="T239" s="216" t="str">
        <f t="shared" si="137"/>
        <v>No Monetizar</v>
      </c>
      <c r="U239" s="209"/>
      <c r="V239" s="210">
        <v>45925</v>
      </c>
      <c r="W239" s="393" t="s">
        <v>275</v>
      </c>
      <c r="X239" s="393" t="s">
        <v>275</v>
      </c>
      <c r="Y239" s="393" t="s">
        <v>350</v>
      </c>
      <c r="Z239" s="211">
        <f t="shared" si="136"/>
        <v>583500</v>
      </c>
      <c r="AA239" s="225">
        <f t="shared" si="139"/>
        <v>-107797.5</v>
      </c>
      <c r="AF239" s="112"/>
    </row>
    <row r="240" spans="2:32" outlineLevel="1">
      <c r="B240" s="125">
        <v>209</v>
      </c>
      <c r="C240" s="120" t="s">
        <v>122</v>
      </c>
      <c r="D240" s="153" t="s">
        <v>353</v>
      </c>
      <c r="E240" s="126">
        <v>45903</v>
      </c>
      <c r="F240" s="126">
        <v>45963</v>
      </c>
      <c r="G240" s="126"/>
      <c r="H240" s="126"/>
      <c r="I240" s="126"/>
      <c r="J240" s="208">
        <f t="shared" ca="1" si="150"/>
        <v>0</v>
      </c>
      <c r="K240" s="134">
        <v>7774.54</v>
      </c>
      <c r="L240" s="134">
        <v>7740.7708672601766</v>
      </c>
      <c r="M240" s="332">
        <f t="shared" ref="M240:M256" si="151">K240-L240</f>
        <v>33.769132739823362</v>
      </c>
      <c r="N240" s="219">
        <f>4608.65</f>
        <v>4608.6499999999996</v>
      </c>
      <c r="O240" s="219">
        <v>3890</v>
      </c>
      <c r="P240" s="168">
        <f t="shared" si="134"/>
        <v>-718.64999999999964</v>
      </c>
      <c r="Q240" s="168">
        <f t="shared" si="128"/>
        <v>35830133.770999998</v>
      </c>
      <c r="R240" s="168">
        <f t="shared" si="135"/>
        <v>30111598.673642088</v>
      </c>
      <c r="S240" s="168">
        <f t="shared" si="115"/>
        <v>-5718535.0973579101</v>
      </c>
      <c r="T240" s="216" t="str">
        <f t="shared" si="137"/>
        <v>No Monetizar</v>
      </c>
      <c r="U240" s="209"/>
      <c r="V240" s="210">
        <v>45925</v>
      </c>
      <c r="W240" s="393" t="s">
        <v>275</v>
      </c>
      <c r="X240" s="393" t="s">
        <v>275</v>
      </c>
      <c r="Y240" s="393" t="s">
        <v>350</v>
      </c>
      <c r="Z240" s="211">
        <f t="shared" si="136"/>
        <v>30242960.600000001</v>
      </c>
      <c r="AA240" s="225">
        <f t="shared" si="139"/>
        <v>-5587173.1709999964</v>
      </c>
      <c r="AF240" s="112"/>
    </row>
    <row r="241" spans="2:32" outlineLevel="1">
      <c r="B241" s="125">
        <v>210</v>
      </c>
      <c r="C241" s="120" t="s">
        <v>122</v>
      </c>
      <c r="D241" s="153">
        <v>6243</v>
      </c>
      <c r="E241" s="126">
        <v>45903</v>
      </c>
      <c r="F241" s="126">
        <v>45963</v>
      </c>
      <c r="G241" s="126"/>
      <c r="H241" s="126"/>
      <c r="I241" s="126"/>
      <c r="J241" s="208">
        <f t="shared" ca="1" si="150"/>
        <v>0</v>
      </c>
      <c r="K241" s="134">
        <v>150</v>
      </c>
      <c r="L241" s="134">
        <v>149.34846693039415</v>
      </c>
      <c r="M241" s="332">
        <f t="shared" si="151"/>
        <v>0.651533069605847</v>
      </c>
      <c r="N241" s="219">
        <f>4608.65</f>
        <v>4608.6499999999996</v>
      </c>
      <c r="O241" s="219">
        <v>3890</v>
      </c>
      <c r="P241" s="168">
        <f t="shared" si="134"/>
        <v>-718.64999999999964</v>
      </c>
      <c r="Q241" s="168">
        <f t="shared" si="128"/>
        <v>691297.5</v>
      </c>
      <c r="R241" s="168">
        <f t="shared" si="135"/>
        <v>580965.5363592332</v>
      </c>
      <c r="S241" s="168">
        <f t="shared" si="115"/>
        <v>-110331.9636407668</v>
      </c>
      <c r="T241" s="216" t="str">
        <f t="shared" si="137"/>
        <v>No Monetizar</v>
      </c>
      <c r="U241" s="209"/>
      <c r="V241" s="210">
        <v>45925</v>
      </c>
      <c r="W241" s="393" t="s">
        <v>275</v>
      </c>
      <c r="X241" s="393" t="s">
        <v>275</v>
      </c>
      <c r="Y241" s="393" t="s">
        <v>350</v>
      </c>
      <c r="Z241" s="211">
        <f t="shared" si="136"/>
        <v>583500</v>
      </c>
      <c r="AA241" s="225">
        <f t="shared" si="139"/>
        <v>-107797.5</v>
      </c>
      <c r="AF241" s="112"/>
    </row>
    <row r="242" spans="2:32" outlineLevel="1">
      <c r="B242" s="125">
        <v>211</v>
      </c>
      <c r="C242" s="120" t="s">
        <v>122</v>
      </c>
      <c r="D242" s="153" t="s">
        <v>354</v>
      </c>
      <c r="E242" s="126">
        <v>45903</v>
      </c>
      <c r="F242" s="126">
        <v>45963</v>
      </c>
      <c r="G242" s="126"/>
      <c r="H242" s="126"/>
      <c r="I242" s="126"/>
      <c r="J242" s="208">
        <f t="shared" ca="1" si="150"/>
        <v>0</v>
      </c>
      <c r="K242" s="134">
        <v>4127.45</v>
      </c>
      <c r="L242" s="134">
        <v>4109.5221988790354</v>
      </c>
      <c r="M242" s="332">
        <f t="shared" si="151"/>
        <v>17.927801120964432</v>
      </c>
      <c r="N242" s="219">
        <f>4608.65</f>
        <v>4608.6499999999996</v>
      </c>
      <c r="O242" s="219">
        <v>3890</v>
      </c>
      <c r="P242" s="168">
        <f t="shared" si="134"/>
        <v>-718.64999999999964</v>
      </c>
      <c r="Q242" s="168">
        <f t="shared" si="128"/>
        <v>19021972.442499999</v>
      </c>
      <c r="R242" s="168">
        <f t="shared" si="135"/>
        <v>15986041.353639448</v>
      </c>
      <c r="S242" s="168">
        <f t="shared" ref="S242:S243" si="152">R242-Q242</f>
        <v>-3035931.0888605509</v>
      </c>
      <c r="T242" s="216" t="str">
        <f t="shared" si="137"/>
        <v>No Monetizar</v>
      </c>
      <c r="U242" s="209"/>
      <c r="V242" s="210">
        <v>45925</v>
      </c>
      <c r="W242" s="393" t="s">
        <v>275</v>
      </c>
      <c r="X242" s="393" t="s">
        <v>275</v>
      </c>
      <c r="Y242" s="393" t="s">
        <v>350</v>
      </c>
      <c r="Z242" s="211">
        <f t="shared" si="136"/>
        <v>16055780.5</v>
      </c>
      <c r="AA242" s="225">
        <f t="shared" si="139"/>
        <v>-2966191.942499999</v>
      </c>
      <c r="AF242" s="112"/>
    </row>
    <row r="243" spans="2:32" outlineLevel="1">
      <c r="B243" s="125">
        <v>212</v>
      </c>
      <c r="C243" s="120" t="s">
        <v>122</v>
      </c>
      <c r="D243" s="153">
        <v>6271</v>
      </c>
      <c r="E243" s="126">
        <v>45925</v>
      </c>
      <c r="F243" s="126">
        <v>45985</v>
      </c>
      <c r="G243" s="126"/>
      <c r="H243" s="126"/>
      <c r="I243" s="126"/>
      <c r="J243" s="208">
        <f t="shared" ca="1" si="150"/>
        <v>0</v>
      </c>
      <c r="K243" s="134">
        <v>16238.43</v>
      </c>
      <c r="L243" s="134">
        <v>16173.01</v>
      </c>
      <c r="M243" s="332">
        <f t="shared" si="151"/>
        <v>65.420000000000073</v>
      </c>
      <c r="N243" s="219">
        <f>4492.32</f>
        <v>4492.32</v>
      </c>
      <c r="O243" s="219">
        <v>3890</v>
      </c>
      <c r="P243" s="168">
        <f t="shared" si="134"/>
        <v>-602.31999999999971</v>
      </c>
      <c r="Q243" s="168">
        <f t="shared" si="128"/>
        <v>72948223.857600003</v>
      </c>
      <c r="R243" s="168">
        <f t="shared" si="135"/>
        <v>62913008.899999999</v>
      </c>
      <c r="S243" s="168">
        <f t="shared" si="152"/>
        <v>-10035214.957600005</v>
      </c>
      <c r="T243" s="216" t="str">
        <f t="shared" si="137"/>
        <v>No Monetizar</v>
      </c>
      <c r="U243" s="209"/>
      <c r="V243" s="210">
        <v>45925</v>
      </c>
      <c r="W243" s="393" t="s">
        <v>275</v>
      </c>
      <c r="X243" s="393" t="s">
        <v>275</v>
      </c>
      <c r="Y243" s="393" t="s">
        <v>350</v>
      </c>
      <c r="Z243" s="211">
        <f t="shared" si="136"/>
        <v>63167492.700000003</v>
      </c>
      <c r="AA243" s="225">
        <f t="shared" si="139"/>
        <v>-9780731.1576000005</v>
      </c>
      <c r="AF243" s="112"/>
    </row>
    <row r="244" spans="2:32" outlineLevel="1">
      <c r="B244" s="125">
        <v>213</v>
      </c>
      <c r="C244" s="120" t="s">
        <v>312</v>
      </c>
      <c r="D244" s="153">
        <v>6291</v>
      </c>
      <c r="E244" s="126">
        <v>45925</v>
      </c>
      <c r="F244" s="126">
        <v>45985</v>
      </c>
      <c r="G244" s="126"/>
      <c r="H244" s="126"/>
      <c r="I244" s="126"/>
      <c r="J244" s="208">
        <f t="shared" ca="1" si="150"/>
        <v>0</v>
      </c>
      <c r="K244" s="134">
        <v>122.44</v>
      </c>
      <c r="L244" s="134">
        <v>119.46707296345757</v>
      </c>
      <c r="M244" s="129">
        <f t="shared" si="151"/>
        <v>2.9729270365424298</v>
      </c>
      <c r="N244" s="130">
        <v>3789.05</v>
      </c>
      <c r="O244" s="219">
        <v>3885</v>
      </c>
      <c r="P244" s="168">
        <f t="shared" si="134"/>
        <v>95.949999999999818</v>
      </c>
      <c r="Q244" s="132">
        <f t="shared" si="128"/>
        <v>463931.28200000001</v>
      </c>
      <c r="R244" s="132">
        <f t="shared" si="135"/>
        <v>464129.57846303267</v>
      </c>
      <c r="S244" s="132">
        <f t="shared" ref="S244:S298" si="153">R244-Q244</f>
        <v>198.29646303266054</v>
      </c>
      <c r="T244" s="133" t="str">
        <f t="shared" si="137"/>
        <v>Monetizar</v>
      </c>
      <c r="U244" s="239"/>
      <c r="V244" s="210">
        <v>45926</v>
      </c>
      <c r="W244" s="393" t="s">
        <v>275</v>
      </c>
      <c r="X244" s="393" t="s">
        <v>275</v>
      </c>
      <c r="Y244" s="393" t="s">
        <v>276</v>
      </c>
      <c r="Z244" s="397">
        <f t="shared" si="136"/>
        <v>475679.39999999997</v>
      </c>
      <c r="AA244" s="225">
        <f t="shared" si="139"/>
        <v>11748.117999999959</v>
      </c>
      <c r="AF244" s="112"/>
    </row>
    <row r="245" spans="2:32" outlineLevel="1">
      <c r="B245" s="125">
        <v>214</v>
      </c>
      <c r="C245" s="120" t="s">
        <v>312</v>
      </c>
      <c r="D245" s="153" t="s">
        <v>355</v>
      </c>
      <c r="E245" s="126">
        <v>45925</v>
      </c>
      <c r="F245" s="126">
        <v>45985</v>
      </c>
      <c r="G245" s="126"/>
      <c r="H245" s="126"/>
      <c r="I245" s="126"/>
      <c r="J245" s="208">
        <f t="shared" ca="1" si="150"/>
        <v>0</v>
      </c>
      <c r="K245" s="134">
        <v>1113.1099999999999</v>
      </c>
      <c r="L245" s="134">
        <v>1086.0829270365423</v>
      </c>
      <c r="M245" s="129">
        <f t="shared" si="151"/>
        <v>27.027072963457613</v>
      </c>
      <c r="N245" s="130">
        <v>3789.05</v>
      </c>
      <c r="O245" s="219">
        <v>3885</v>
      </c>
      <c r="P245" s="168">
        <f t="shared" si="134"/>
        <v>95.949999999999818</v>
      </c>
      <c r="Q245" s="132">
        <f t="shared" si="128"/>
        <v>4217629.4454999994</v>
      </c>
      <c r="R245" s="132">
        <f t="shared" si="135"/>
        <v>4219432.1715369672</v>
      </c>
      <c r="S245" s="132">
        <f t="shared" si="153"/>
        <v>1802.7260369677097</v>
      </c>
      <c r="T245" s="133" t="str">
        <f t="shared" si="137"/>
        <v>Monetizar</v>
      </c>
      <c r="U245" s="239"/>
      <c r="V245" s="210">
        <v>45926</v>
      </c>
      <c r="W245" s="393" t="s">
        <v>275</v>
      </c>
      <c r="X245" s="393" t="s">
        <v>275</v>
      </c>
      <c r="Y245" s="393" t="s">
        <v>276</v>
      </c>
      <c r="Z245" s="397">
        <f t="shared" ref="Z245:Z249" si="154">K245*O245</f>
        <v>4324432.3499999996</v>
      </c>
      <c r="AA245" s="225">
        <f t="shared" si="139"/>
        <v>106802.90450000018</v>
      </c>
      <c r="AF245" s="112"/>
    </row>
    <row r="246" spans="2:32" outlineLevel="1">
      <c r="B246" s="125">
        <v>215</v>
      </c>
      <c r="C246" s="120" t="s">
        <v>120</v>
      </c>
      <c r="D246" s="153">
        <v>6293</v>
      </c>
      <c r="E246" s="126">
        <v>45926</v>
      </c>
      <c r="F246" s="126">
        <v>45986</v>
      </c>
      <c r="G246" s="126"/>
      <c r="H246" s="126"/>
      <c r="I246" s="126"/>
      <c r="J246" s="208">
        <f t="shared" ca="1" si="150"/>
        <v>0</v>
      </c>
      <c r="K246" s="134">
        <v>285.60000000000002</v>
      </c>
      <c r="L246" s="134">
        <v>283.91331776183887</v>
      </c>
      <c r="M246" s="129">
        <f t="shared" si="151"/>
        <v>1.6866822381611541</v>
      </c>
      <c r="N246" s="130">
        <v>3804.28</v>
      </c>
      <c r="O246" s="219">
        <v>3886.09</v>
      </c>
      <c r="P246" s="168">
        <f t="shared" si="134"/>
        <v>81.809999999999945</v>
      </c>
      <c r="Q246" s="132">
        <f t="shared" si="128"/>
        <v>1086502.3680000002</v>
      </c>
      <c r="R246" s="132">
        <f t="shared" si="135"/>
        <v>1103312.7050211045</v>
      </c>
      <c r="S246" s="132">
        <f t="shared" si="153"/>
        <v>16810.337021104293</v>
      </c>
      <c r="T246" s="133" t="str">
        <f t="shared" si="137"/>
        <v>Monetizar</v>
      </c>
      <c r="U246" s="239"/>
      <c r="V246" s="210">
        <v>45926</v>
      </c>
      <c r="W246" s="393" t="s">
        <v>275</v>
      </c>
      <c r="X246" s="393" t="s">
        <v>275</v>
      </c>
      <c r="Y246" s="393" t="s">
        <v>276</v>
      </c>
      <c r="Z246" s="397">
        <f t="shared" si="154"/>
        <v>1109867.3040000002</v>
      </c>
      <c r="AA246" s="225">
        <f t="shared" si="139"/>
        <v>23364.935999999987</v>
      </c>
      <c r="AF246" s="112"/>
    </row>
    <row r="247" spans="2:32" outlineLevel="1">
      <c r="B247" s="125">
        <v>216</v>
      </c>
      <c r="C247" s="120" t="s">
        <v>120</v>
      </c>
      <c r="D247" s="153" t="s">
        <v>356</v>
      </c>
      <c r="E247" s="126">
        <v>45926</v>
      </c>
      <c r="F247" s="126">
        <v>45986</v>
      </c>
      <c r="G247" s="126"/>
      <c r="H247" s="126"/>
      <c r="I247" s="126"/>
      <c r="J247" s="208">
        <f t="shared" ca="1" si="150"/>
        <v>0</v>
      </c>
      <c r="K247" s="134">
        <v>3100.93</v>
      </c>
      <c r="L247" s="134">
        <v>3082.6166822381615</v>
      </c>
      <c r="M247" s="129">
        <f t="shared" si="151"/>
        <v>18.313317761838334</v>
      </c>
      <c r="N247" s="130">
        <v>3804.28</v>
      </c>
      <c r="O247" s="219">
        <v>3886.09</v>
      </c>
      <c r="P247" s="168">
        <f t="shared" si="134"/>
        <v>81.809999999999945</v>
      </c>
      <c r="Q247" s="132">
        <f t="shared" si="128"/>
        <v>11796805.9804</v>
      </c>
      <c r="R247" s="132">
        <f t="shared" si="135"/>
        <v>11979325.862678897</v>
      </c>
      <c r="S247" s="132">
        <f t="shared" si="153"/>
        <v>182519.88227889687</v>
      </c>
      <c r="T247" s="133" t="str">
        <f t="shared" si="137"/>
        <v>Monetizar</v>
      </c>
      <c r="U247" s="239"/>
      <c r="V247" s="210">
        <v>45926</v>
      </c>
      <c r="W247" s="393" t="s">
        <v>275</v>
      </c>
      <c r="X247" s="393" t="s">
        <v>275</v>
      </c>
      <c r="Y247" s="393" t="s">
        <v>276</v>
      </c>
      <c r="Z247" s="397">
        <f t="shared" si="154"/>
        <v>12050493.0637</v>
      </c>
      <c r="AA247" s="225">
        <f t="shared" si="139"/>
        <v>253687.08330000006</v>
      </c>
      <c r="AF247" s="112"/>
    </row>
    <row r="248" spans="2:32" outlineLevel="1">
      <c r="B248" s="125">
        <v>217</v>
      </c>
      <c r="C248" s="120" t="s">
        <v>117</v>
      </c>
      <c r="D248" s="153" t="s">
        <v>346</v>
      </c>
      <c r="E248" s="126">
        <v>45908</v>
      </c>
      <c r="F248" s="126">
        <v>45978</v>
      </c>
      <c r="G248" s="126"/>
      <c r="H248" s="126"/>
      <c r="I248" s="126"/>
      <c r="J248" s="208">
        <f t="shared" ca="1" si="150"/>
        <v>0</v>
      </c>
      <c r="K248" s="134">
        <v>415.02</v>
      </c>
      <c r="L248" s="134">
        <v>410.02</v>
      </c>
      <c r="M248" s="129">
        <f t="shared" si="151"/>
        <v>5</v>
      </c>
      <c r="N248" s="219">
        <v>3891.31</v>
      </c>
      <c r="O248" s="130">
        <v>3897</v>
      </c>
      <c r="P248" s="168">
        <f t="shared" si="134"/>
        <v>5.6900000000000546</v>
      </c>
      <c r="Q248" s="168">
        <f t="shared" si="128"/>
        <v>1614971.4761999999</v>
      </c>
      <c r="R248" s="168">
        <f t="shared" si="135"/>
        <v>1597847.94</v>
      </c>
      <c r="S248" s="168">
        <f t="shared" si="153"/>
        <v>-17123.536199999973</v>
      </c>
      <c r="T248" s="216" t="str">
        <f t="shared" ref="T248" si="155">IF(R248&lt;= Q248,"No Monetizar","Monetizar")</f>
        <v>No Monetizar</v>
      </c>
      <c r="U248" s="209"/>
      <c r="V248" s="210">
        <v>45926</v>
      </c>
      <c r="W248" s="393" t="s">
        <v>275</v>
      </c>
      <c r="X248" s="393" t="s">
        <v>275</v>
      </c>
      <c r="Y248" s="393" t="s">
        <v>350</v>
      </c>
      <c r="Z248" s="211">
        <f t="shared" si="154"/>
        <v>1617332.94</v>
      </c>
      <c r="AA248" s="225">
        <f t="shared" si="139"/>
        <v>2361.4638000000268</v>
      </c>
      <c r="AF248" s="112"/>
    </row>
    <row r="249" spans="2:32" outlineLevel="1">
      <c r="B249" s="125">
        <v>218</v>
      </c>
      <c r="C249" s="214" t="s">
        <v>115</v>
      </c>
      <c r="D249" s="153">
        <v>6292</v>
      </c>
      <c r="E249" s="126">
        <v>45929</v>
      </c>
      <c r="F249" s="126">
        <v>45989</v>
      </c>
      <c r="G249" s="126"/>
      <c r="H249" s="126"/>
      <c r="I249" s="126"/>
      <c r="J249" s="208">
        <f t="shared" ca="1" si="150"/>
        <v>0</v>
      </c>
      <c r="K249" s="134">
        <v>238</v>
      </c>
      <c r="L249" s="134">
        <v>235.83340919435594</v>
      </c>
      <c r="M249" s="129">
        <f t="shared" si="151"/>
        <v>2.1665908056440628</v>
      </c>
      <c r="N249" s="130">
        <v>3780.64</v>
      </c>
      <c r="O249" s="130">
        <v>3905</v>
      </c>
      <c r="P249" s="168">
        <f t="shared" si="134"/>
        <v>124.36000000000013</v>
      </c>
      <c r="Q249" s="132">
        <f t="shared" si="128"/>
        <v>899792.32</v>
      </c>
      <c r="R249" s="132">
        <f t="shared" si="135"/>
        <v>920929.46290395991</v>
      </c>
      <c r="S249" s="132">
        <f t="shared" si="153"/>
        <v>21137.142903959961</v>
      </c>
      <c r="T249" s="133" t="str">
        <f t="shared" si="137"/>
        <v>Monetizar</v>
      </c>
      <c r="U249" s="239"/>
      <c r="V249" s="210">
        <v>45930</v>
      </c>
      <c r="W249" s="393" t="s">
        <v>275</v>
      </c>
      <c r="X249" s="393" t="s">
        <v>275</v>
      </c>
      <c r="Y249" s="393" t="s">
        <v>276</v>
      </c>
      <c r="Z249" s="397">
        <f t="shared" si="154"/>
        <v>929390</v>
      </c>
      <c r="AA249" s="225">
        <f t="shared" si="139"/>
        <v>29597.680000000051</v>
      </c>
      <c r="AF249" s="112"/>
    </row>
    <row r="250" spans="2:32" outlineLevel="1">
      <c r="B250" s="125">
        <v>219</v>
      </c>
      <c r="C250" s="214" t="s">
        <v>115</v>
      </c>
      <c r="D250" s="153" t="s">
        <v>357</v>
      </c>
      <c r="E250" s="126">
        <v>45929</v>
      </c>
      <c r="F250" s="126">
        <v>45989</v>
      </c>
      <c r="G250" s="126"/>
      <c r="H250" s="126"/>
      <c r="I250" s="126"/>
      <c r="J250" s="208">
        <f t="shared" ca="1" si="150"/>
        <v>0</v>
      </c>
      <c r="K250" s="134">
        <v>1739.3</v>
      </c>
      <c r="L250" s="134">
        <v>1723.466590805644</v>
      </c>
      <c r="M250" s="129">
        <f t="shared" si="151"/>
        <v>15.833409194355909</v>
      </c>
      <c r="N250" s="130">
        <v>3780.64</v>
      </c>
      <c r="O250" s="130">
        <v>3905</v>
      </c>
      <c r="P250" s="168">
        <f t="shared" si="134"/>
        <v>124.36000000000013</v>
      </c>
      <c r="Q250" s="132">
        <f t="shared" si="128"/>
        <v>6575667.1519999998</v>
      </c>
      <c r="R250" s="132">
        <f t="shared" si="135"/>
        <v>6730137.0370960403</v>
      </c>
      <c r="S250" s="132">
        <f t="shared" si="153"/>
        <v>154469.88509604055</v>
      </c>
      <c r="T250" s="133" t="str">
        <f t="shared" si="137"/>
        <v>Monetizar</v>
      </c>
      <c r="U250" s="239"/>
      <c r="V250" s="210">
        <v>45930</v>
      </c>
      <c r="W250" s="393" t="s">
        <v>275</v>
      </c>
      <c r="X250" s="393" t="s">
        <v>275</v>
      </c>
      <c r="Y250" s="393" t="s">
        <v>276</v>
      </c>
      <c r="Z250" s="397">
        <f t="shared" si="136"/>
        <v>6791966.5</v>
      </c>
      <c r="AA250" s="225">
        <f t="shared" si="139"/>
        <v>216299.34800000023</v>
      </c>
      <c r="AF250" s="112"/>
    </row>
    <row r="251" spans="2:32" outlineLevel="1">
      <c r="B251" s="125">
        <v>220</v>
      </c>
      <c r="C251" s="120" t="s">
        <v>117</v>
      </c>
      <c r="D251" s="153">
        <v>6319</v>
      </c>
      <c r="E251" s="126">
        <v>45930</v>
      </c>
      <c r="F251" s="126">
        <v>45990</v>
      </c>
      <c r="G251" s="126"/>
      <c r="H251" s="126"/>
      <c r="I251" s="126"/>
      <c r="J251" s="208">
        <f t="shared" ca="1" si="150"/>
        <v>0</v>
      </c>
      <c r="K251" s="134">
        <v>5426.4</v>
      </c>
      <c r="L251" s="134">
        <v>5425.6909904322556</v>
      </c>
      <c r="M251" s="129">
        <f t="shared" si="151"/>
        <v>0.70900956774403312</v>
      </c>
      <c r="N251" s="130">
        <v>3790.88</v>
      </c>
      <c r="O251" s="130">
        <v>3908</v>
      </c>
      <c r="P251" s="168">
        <f t="shared" si="134"/>
        <v>117.11999999999989</v>
      </c>
      <c r="Q251" s="132">
        <f t="shared" si="128"/>
        <v>20570831.232000001</v>
      </c>
      <c r="R251" s="132">
        <f t="shared" si="135"/>
        <v>21203600.390609253</v>
      </c>
      <c r="S251" s="132">
        <f t="shared" si="153"/>
        <v>632769.15860925242</v>
      </c>
      <c r="T251" s="133" t="str">
        <f t="shared" si="137"/>
        <v>Monetizar</v>
      </c>
      <c r="U251" s="239"/>
      <c r="V251" s="210">
        <v>45930</v>
      </c>
      <c r="W251" s="393" t="s">
        <v>275</v>
      </c>
      <c r="X251" s="393" t="s">
        <v>275</v>
      </c>
      <c r="Y251" s="393" t="s">
        <v>276</v>
      </c>
      <c r="Z251" s="397">
        <f t="shared" ref="Z251:Z252" si="156">K251*O251</f>
        <v>21206371.199999999</v>
      </c>
      <c r="AA251" s="225">
        <f t="shared" si="139"/>
        <v>635539.96799999848</v>
      </c>
      <c r="AF251" s="112"/>
    </row>
    <row r="252" spans="2:32" outlineLevel="1">
      <c r="B252" s="125">
        <v>221</v>
      </c>
      <c r="C252" s="120" t="s">
        <v>117</v>
      </c>
      <c r="D252" s="153" t="s">
        <v>358</v>
      </c>
      <c r="E252" s="126">
        <v>45930</v>
      </c>
      <c r="F252" s="126">
        <v>45990</v>
      </c>
      <c r="G252" s="126"/>
      <c r="H252" s="126"/>
      <c r="I252" s="126"/>
      <c r="J252" s="208">
        <f t="shared" ca="1" si="150"/>
        <v>0</v>
      </c>
      <c r="K252" s="134">
        <v>109376</v>
      </c>
      <c r="L252" s="134">
        <v>109361.70900956774</v>
      </c>
      <c r="M252" s="129">
        <f t="shared" si="151"/>
        <v>14.290990432258695</v>
      </c>
      <c r="N252" s="130">
        <v>3790.88</v>
      </c>
      <c r="O252" s="130">
        <v>3908</v>
      </c>
      <c r="P252" s="168">
        <f t="shared" si="134"/>
        <v>117.11999999999989</v>
      </c>
      <c r="Q252" s="132">
        <f t="shared" si="128"/>
        <v>414631290.88</v>
      </c>
      <c r="R252" s="132">
        <f t="shared" ref="R252:R283" si="157">L252*O252</f>
        <v>427385558.80939072</v>
      </c>
      <c r="S252" s="132">
        <f t="shared" si="153"/>
        <v>12754267.929390728</v>
      </c>
      <c r="T252" s="133" t="str">
        <f t="shared" si="137"/>
        <v>Monetizar</v>
      </c>
      <c r="U252" s="239"/>
      <c r="V252" s="210">
        <v>45930</v>
      </c>
      <c r="W252" s="393" t="s">
        <v>275</v>
      </c>
      <c r="X252" s="393" t="s">
        <v>275</v>
      </c>
      <c r="Y252" s="393" t="s">
        <v>276</v>
      </c>
      <c r="Z252" s="397">
        <f t="shared" si="156"/>
        <v>427441408</v>
      </c>
      <c r="AA252" s="225">
        <f t="shared" si="139"/>
        <v>12810117.120000005</v>
      </c>
      <c r="AF252" s="112"/>
    </row>
    <row r="253" spans="2:32" outlineLevel="1">
      <c r="B253" s="125">
        <v>222</v>
      </c>
      <c r="C253" s="120" t="s">
        <v>288</v>
      </c>
      <c r="D253" s="153" t="s">
        <v>358</v>
      </c>
      <c r="E253" s="126">
        <v>45931</v>
      </c>
      <c r="F253" s="126">
        <v>45991</v>
      </c>
      <c r="G253" s="126"/>
      <c r="H253" s="126"/>
      <c r="I253" s="126"/>
      <c r="J253" s="208">
        <f t="shared" ca="1" si="150"/>
        <v>0</v>
      </c>
      <c r="K253" s="134">
        <v>6562.17</v>
      </c>
      <c r="L253" s="134">
        <v>6506.17</v>
      </c>
      <c r="M253" s="129">
        <f t="shared" si="151"/>
        <v>56</v>
      </c>
      <c r="N253" s="130">
        <v>3763.61</v>
      </c>
      <c r="O253" s="130">
        <v>3872.5</v>
      </c>
      <c r="P253" s="168">
        <f t="shared" si="134"/>
        <v>108.88999999999987</v>
      </c>
      <c r="Q253" s="132">
        <f t="shared" si="128"/>
        <v>24697448.633700002</v>
      </c>
      <c r="R253" s="132">
        <f t="shared" si="157"/>
        <v>25195143.324999999</v>
      </c>
      <c r="S253" s="132">
        <f t="shared" si="153"/>
        <v>497694.69129999727</v>
      </c>
      <c r="T253" s="133" t="str">
        <f t="shared" si="137"/>
        <v>Monetizar</v>
      </c>
      <c r="U253" s="239"/>
      <c r="V253" s="210">
        <v>45931</v>
      </c>
      <c r="W253" s="393" t="s">
        <v>275</v>
      </c>
      <c r="X253" s="393" t="s">
        <v>275</v>
      </c>
      <c r="Y253" s="393" t="s">
        <v>276</v>
      </c>
      <c r="Z253" s="397">
        <f t="shared" ref="Z253" si="158">K253*O253</f>
        <v>25412003.324999999</v>
      </c>
      <c r="AA253" s="225">
        <f t="shared" si="139"/>
        <v>714554.69129999727</v>
      </c>
      <c r="AF253" s="112"/>
    </row>
    <row r="254" spans="2:32" outlineLevel="1">
      <c r="B254" s="125">
        <v>223</v>
      </c>
      <c r="C254" s="120" t="s">
        <v>287</v>
      </c>
      <c r="D254" s="153" t="s">
        <v>359</v>
      </c>
      <c r="E254" s="126">
        <v>45932</v>
      </c>
      <c r="F254" s="126">
        <v>45992</v>
      </c>
      <c r="G254" s="126"/>
      <c r="H254" s="126"/>
      <c r="I254" s="126"/>
      <c r="J254" s="208">
        <f t="shared" ca="1" si="150"/>
        <v>0</v>
      </c>
      <c r="K254" s="134">
        <v>112.54</v>
      </c>
      <c r="L254" s="134">
        <v>112.54</v>
      </c>
      <c r="M254" s="129">
        <f t="shared" si="151"/>
        <v>0</v>
      </c>
      <c r="N254" s="130">
        <v>3789.05</v>
      </c>
      <c r="O254" s="130">
        <v>3866</v>
      </c>
      <c r="P254" s="168">
        <f t="shared" si="134"/>
        <v>76.949999999999818</v>
      </c>
      <c r="Q254" s="132">
        <f t="shared" si="128"/>
        <v>426419.68700000003</v>
      </c>
      <c r="R254" s="132">
        <f t="shared" si="157"/>
        <v>435079.64</v>
      </c>
      <c r="S254" s="132">
        <f t="shared" si="153"/>
        <v>8659.9529999999795</v>
      </c>
      <c r="T254" s="133" t="str">
        <f t="shared" si="137"/>
        <v>Monetizar</v>
      </c>
      <c r="U254" s="239"/>
      <c r="V254" s="210">
        <v>45933</v>
      </c>
      <c r="W254" s="393" t="s">
        <v>275</v>
      </c>
      <c r="X254" s="393" t="s">
        <v>275</v>
      </c>
      <c r="Y254" s="393" t="s">
        <v>276</v>
      </c>
      <c r="Z254" s="397">
        <f t="shared" ref="Z254:Z256" si="159">K254*O254</f>
        <v>435079.64</v>
      </c>
      <c r="AA254" s="225">
        <f t="shared" si="139"/>
        <v>8659.9529999999795</v>
      </c>
      <c r="AF254" s="112"/>
    </row>
    <row r="255" spans="2:32" outlineLevel="1">
      <c r="B255" s="125">
        <v>224</v>
      </c>
      <c r="C255" s="120" t="s">
        <v>287</v>
      </c>
      <c r="D255" s="153" t="s">
        <v>360</v>
      </c>
      <c r="E255" s="126">
        <v>45932</v>
      </c>
      <c r="F255" s="126">
        <v>45992</v>
      </c>
      <c r="G255" s="126"/>
      <c r="H255" s="126"/>
      <c r="I255" s="126"/>
      <c r="J255" s="208">
        <f t="shared" ca="1" si="150"/>
        <v>0</v>
      </c>
      <c r="K255" s="134">
        <v>1125.42</v>
      </c>
      <c r="L255" s="134">
        <v>1125.42</v>
      </c>
      <c r="M255" s="129">
        <f t="shared" si="151"/>
        <v>0</v>
      </c>
      <c r="N255" s="130">
        <v>3789.05</v>
      </c>
      <c r="O255" s="130">
        <v>3866</v>
      </c>
      <c r="P255" s="168">
        <f t="shared" si="134"/>
        <v>76.949999999999818</v>
      </c>
      <c r="Q255" s="132">
        <f t="shared" si="128"/>
        <v>4264272.6510000005</v>
      </c>
      <c r="R255" s="132">
        <f t="shared" si="157"/>
        <v>4350873.7200000007</v>
      </c>
      <c r="S255" s="132">
        <f t="shared" si="153"/>
        <v>86601.069000000134</v>
      </c>
      <c r="T255" s="133" t="str">
        <f t="shared" si="137"/>
        <v>Monetizar</v>
      </c>
      <c r="U255" s="239"/>
      <c r="V255" s="210">
        <v>45933</v>
      </c>
      <c r="W255" s="393" t="s">
        <v>275</v>
      </c>
      <c r="X255" s="393" t="s">
        <v>275</v>
      </c>
      <c r="Y255" s="393" t="s">
        <v>276</v>
      </c>
      <c r="Z255" s="397">
        <f t="shared" si="159"/>
        <v>4350873.7200000007</v>
      </c>
      <c r="AA255" s="225">
        <f t="shared" si="139"/>
        <v>86601.069000000134</v>
      </c>
      <c r="AF255" s="112"/>
    </row>
    <row r="256" spans="2:32" outlineLevel="1">
      <c r="B256" s="125">
        <v>225</v>
      </c>
      <c r="C256" s="120" t="s">
        <v>265</v>
      </c>
      <c r="D256" s="153">
        <v>6290</v>
      </c>
      <c r="E256" s="126">
        <v>45937</v>
      </c>
      <c r="F256" s="126">
        <v>45996</v>
      </c>
      <c r="G256" s="126"/>
      <c r="H256" s="126"/>
      <c r="I256" s="127"/>
      <c r="J256" s="208">
        <f t="shared" ref="J256:J272" ca="1" si="160">IFERROR(IF(TODAY()&gt;=E256,(TODAY()-E256)/I256,0),0)</f>
        <v>0</v>
      </c>
      <c r="K256" s="134">
        <v>401.92</v>
      </c>
      <c r="L256" s="134">
        <v>401.92</v>
      </c>
      <c r="M256" s="129">
        <f t="shared" si="151"/>
        <v>0</v>
      </c>
      <c r="N256" s="219">
        <v>3789.05</v>
      </c>
      <c r="O256" s="130">
        <v>3850</v>
      </c>
      <c r="P256" s="168">
        <f t="shared" si="134"/>
        <v>60.949999999999818</v>
      </c>
      <c r="Q256" s="168">
        <f t="shared" si="128"/>
        <v>1522894.976</v>
      </c>
      <c r="R256" s="168">
        <f t="shared" si="157"/>
        <v>1547392</v>
      </c>
      <c r="S256" s="168">
        <f t="shared" si="153"/>
        <v>24497.023999999976</v>
      </c>
      <c r="T256" s="216" t="str">
        <f t="shared" si="137"/>
        <v>Monetizar</v>
      </c>
      <c r="U256" s="239"/>
      <c r="V256" s="210">
        <v>45937</v>
      </c>
      <c r="W256" s="393" t="s">
        <v>361</v>
      </c>
      <c r="X256" s="393" t="s">
        <v>362</v>
      </c>
      <c r="Y256" s="393" t="s">
        <v>276</v>
      </c>
      <c r="Z256" s="397">
        <f t="shared" si="159"/>
        <v>1547392</v>
      </c>
      <c r="AA256" s="225">
        <f t="shared" si="139"/>
        <v>24497.023999999976</v>
      </c>
      <c r="AF256" s="112"/>
    </row>
    <row r="257" spans="2:32" outlineLevel="1">
      <c r="B257" s="125">
        <v>226</v>
      </c>
      <c r="C257" s="120" t="s">
        <v>265</v>
      </c>
      <c r="D257" s="153" t="s">
        <v>363</v>
      </c>
      <c r="E257" s="126">
        <v>45937</v>
      </c>
      <c r="F257" s="126">
        <v>45996</v>
      </c>
      <c r="G257" s="126"/>
      <c r="H257" s="126"/>
      <c r="I257" s="126"/>
      <c r="J257" s="208">
        <f t="shared" ca="1" si="160"/>
        <v>0</v>
      </c>
      <c r="K257" s="134">
        <v>10899.62</v>
      </c>
      <c r="L257" s="134">
        <v>10899.62</v>
      </c>
      <c r="M257" s="129">
        <f t="shared" ref="M257:M285" si="161">K257-L257</f>
        <v>0</v>
      </c>
      <c r="N257" s="219">
        <v>3789.05</v>
      </c>
      <c r="O257" s="130">
        <f>O256</f>
        <v>3850</v>
      </c>
      <c r="P257" s="168">
        <f t="shared" si="134"/>
        <v>60.949999999999818</v>
      </c>
      <c r="Q257" s="132">
        <f t="shared" si="128"/>
        <v>41299205.161000006</v>
      </c>
      <c r="R257" s="132">
        <f t="shared" si="157"/>
        <v>41963537</v>
      </c>
      <c r="S257" s="132">
        <f t="shared" si="153"/>
        <v>664331.8389999941</v>
      </c>
      <c r="T257" s="133" t="str">
        <f t="shared" si="137"/>
        <v>Monetizar</v>
      </c>
      <c r="U257" s="239"/>
      <c r="V257" s="210">
        <v>45937</v>
      </c>
      <c r="W257" s="393" t="s">
        <v>361</v>
      </c>
      <c r="X257" s="393" t="s">
        <v>362</v>
      </c>
      <c r="Y257" s="393" t="s">
        <v>276</v>
      </c>
      <c r="Z257" s="397">
        <f t="shared" si="136"/>
        <v>41963537</v>
      </c>
      <c r="AA257" s="225">
        <f t="shared" si="139"/>
        <v>664331.8389999941</v>
      </c>
      <c r="AF257" s="112"/>
    </row>
    <row r="258" spans="2:32" outlineLevel="1">
      <c r="B258" s="125">
        <v>227</v>
      </c>
      <c r="C258" s="120" t="s">
        <v>265</v>
      </c>
      <c r="D258" s="153">
        <v>6339</v>
      </c>
      <c r="E258" s="126">
        <v>45937</v>
      </c>
      <c r="F258" s="126">
        <v>45996</v>
      </c>
      <c r="G258" s="126"/>
      <c r="H258" s="126"/>
      <c r="I258" s="126"/>
      <c r="J258" s="208">
        <f t="shared" ca="1" si="160"/>
        <v>0</v>
      </c>
      <c r="K258" s="134">
        <v>197.61</v>
      </c>
      <c r="L258" s="134">
        <v>197.61</v>
      </c>
      <c r="M258" s="129">
        <f t="shared" si="161"/>
        <v>0</v>
      </c>
      <c r="N258" s="219">
        <v>3789.05</v>
      </c>
      <c r="O258" s="130">
        <f>O257</f>
        <v>3850</v>
      </c>
      <c r="P258" s="168">
        <f t="shared" si="134"/>
        <v>60.949999999999818</v>
      </c>
      <c r="Q258" s="132">
        <f t="shared" si="128"/>
        <v>748754.17050000012</v>
      </c>
      <c r="R258" s="132">
        <f t="shared" si="157"/>
        <v>760798.5</v>
      </c>
      <c r="S258" s="132">
        <f t="shared" si="153"/>
        <v>12044.329499999876</v>
      </c>
      <c r="T258" s="133" t="str">
        <f t="shared" si="137"/>
        <v>Monetizar</v>
      </c>
      <c r="U258" s="239"/>
      <c r="V258" s="210">
        <v>45937</v>
      </c>
      <c r="W258" s="393" t="s">
        <v>361</v>
      </c>
      <c r="X258" s="393" t="s">
        <v>362</v>
      </c>
      <c r="Y258" s="393" t="s">
        <v>276</v>
      </c>
      <c r="Z258" s="397">
        <f t="shared" si="136"/>
        <v>760798.5</v>
      </c>
      <c r="AA258" s="225">
        <f t="shared" si="139"/>
        <v>12044.329499999876</v>
      </c>
      <c r="AF258" s="112"/>
    </row>
    <row r="259" spans="2:32" outlineLevel="1">
      <c r="B259" s="125">
        <v>228</v>
      </c>
      <c r="C259" s="214" t="s">
        <v>115</v>
      </c>
      <c r="D259" s="153" t="s">
        <v>364</v>
      </c>
      <c r="E259" s="126">
        <v>45937</v>
      </c>
      <c r="F259" s="126">
        <v>45997</v>
      </c>
      <c r="G259" s="126"/>
      <c r="H259" s="126"/>
      <c r="I259" s="126"/>
      <c r="J259" s="208">
        <f t="shared" ca="1" si="160"/>
        <v>0</v>
      </c>
      <c r="K259" s="134">
        <v>1160.1600000000001</v>
      </c>
      <c r="L259" s="134">
        <v>1160.1600000000001</v>
      </c>
      <c r="M259" s="129">
        <f t="shared" si="161"/>
        <v>0</v>
      </c>
      <c r="N259" s="219">
        <v>3780.64</v>
      </c>
      <c r="O259" s="130">
        <v>3864</v>
      </c>
      <c r="P259" s="168">
        <f t="shared" si="134"/>
        <v>83.360000000000127</v>
      </c>
      <c r="Q259" s="132">
        <f t="shared" si="128"/>
        <v>4386147.3024000004</v>
      </c>
      <c r="R259" s="132">
        <f t="shared" si="157"/>
        <v>4482858.24</v>
      </c>
      <c r="S259" s="132">
        <f t="shared" si="153"/>
        <v>96710.93759999983</v>
      </c>
      <c r="T259" s="133" t="str">
        <f t="shared" si="137"/>
        <v>Monetizar</v>
      </c>
      <c r="U259" s="239"/>
      <c r="V259" s="210">
        <v>45946</v>
      </c>
      <c r="W259" s="393" t="s">
        <v>275</v>
      </c>
      <c r="X259" s="393" t="s">
        <v>275</v>
      </c>
      <c r="Y259" s="393" t="s">
        <v>276</v>
      </c>
      <c r="Z259" s="397">
        <f t="shared" ref="Z259" si="162">K259*O259</f>
        <v>4482858.24</v>
      </c>
      <c r="AA259" s="225">
        <f t="shared" si="139"/>
        <v>96710.93759999983</v>
      </c>
      <c r="AF259" s="112"/>
    </row>
    <row r="260" spans="2:32" outlineLevel="1">
      <c r="B260" s="125">
        <v>229</v>
      </c>
      <c r="C260" s="120" t="s">
        <v>310</v>
      </c>
      <c r="D260" s="153">
        <v>6342</v>
      </c>
      <c r="E260" s="126">
        <v>45944</v>
      </c>
      <c r="F260" s="126">
        <v>46004</v>
      </c>
      <c r="G260" s="126"/>
      <c r="H260" s="126"/>
      <c r="I260" s="126"/>
      <c r="J260" s="208">
        <f t="shared" ca="1" si="160"/>
        <v>0</v>
      </c>
      <c r="K260" s="134">
        <v>238</v>
      </c>
      <c r="L260" s="134">
        <v>238</v>
      </c>
      <c r="M260" s="129">
        <f t="shared" si="161"/>
        <v>0</v>
      </c>
      <c r="N260" s="130">
        <v>3763.41</v>
      </c>
      <c r="O260" s="130">
        <v>3855</v>
      </c>
      <c r="P260" s="168">
        <f t="shared" si="134"/>
        <v>91.590000000000146</v>
      </c>
      <c r="Q260" s="132">
        <f t="shared" si="128"/>
        <v>895691.58</v>
      </c>
      <c r="R260" s="132">
        <f t="shared" si="157"/>
        <v>917490</v>
      </c>
      <c r="S260" s="132">
        <f t="shared" si="153"/>
        <v>21798.420000000042</v>
      </c>
      <c r="T260" s="133" t="str">
        <f t="shared" si="137"/>
        <v>Monetizar</v>
      </c>
      <c r="U260" s="239"/>
      <c r="V260" s="210">
        <v>45946</v>
      </c>
      <c r="W260" s="393" t="s">
        <v>275</v>
      </c>
      <c r="X260" s="393" t="s">
        <v>275</v>
      </c>
      <c r="Y260" s="393" t="s">
        <v>276</v>
      </c>
      <c r="Z260" s="211">
        <f t="shared" si="136"/>
        <v>917490</v>
      </c>
      <c r="AA260" s="225">
        <f t="shared" si="139"/>
        <v>21798.420000000042</v>
      </c>
      <c r="AF260" s="112"/>
    </row>
    <row r="261" spans="2:32" outlineLevel="1">
      <c r="B261" s="125">
        <v>230</v>
      </c>
      <c r="C261" s="120" t="s">
        <v>310</v>
      </c>
      <c r="D261" s="153" t="s">
        <v>365</v>
      </c>
      <c r="E261" s="126">
        <v>45944</v>
      </c>
      <c r="F261" s="126">
        <v>46004</v>
      </c>
      <c r="G261" s="126"/>
      <c r="H261" s="126"/>
      <c r="I261" s="126"/>
      <c r="J261" s="208">
        <f t="shared" ca="1" si="160"/>
        <v>0</v>
      </c>
      <c r="K261" s="134">
        <v>1187.24</v>
      </c>
      <c r="L261" s="134">
        <v>1187.24</v>
      </c>
      <c r="M261" s="129">
        <f t="shared" si="161"/>
        <v>0</v>
      </c>
      <c r="N261" s="130">
        <v>3763.41</v>
      </c>
      <c r="O261" s="130">
        <v>3855</v>
      </c>
      <c r="P261" s="168">
        <f t="shared" si="134"/>
        <v>91.590000000000146</v>
      </c>
      <c r="Q261" s="132">
        <f t="shared" si="128"/>
        <v>4468070.8883999996</v>
      </c>
      <c r="R261" s="132">
        <f t="shared" si="157"/>
        <v>4576810.2</v>
      </c>
      <c r="S261" s="132">
        <f t="shared" si="153"/>
        <v>108739.3116000006</v>
      </c>
      <c r="T261" s="133" t="str">
        <f t="shared" si="137"/>
        <v>Monetizar</v>
      </c>
      <c r="U261" s="239"/>
      <c r="V261" s="210">
        <v>45946</v>
      </c>
      <c r="W261" s="393" t="s">
        <v>275</v>
      </c>
      <c r="X261" s="393" t="s">
        <v>275</v>
      </c>
      <c r="Y261" s="393" t="s">
        <v>276</v>
      </c>
      <c r="Z261" s="211">
        <f t="shared" si="136"/>
        <v>4576810.2</v>
      </c>
      <c r="AA261" s="225">
        <f t="shared" si="139"/>
        <v>108739.3116000006</v>
      </c>
      <c r="AF261" s="112"/>
    </row>
    <row r="262" spans="2:32" outlineLevel="1">
      <c r="B262" s="125">
        <v>231</v>
      </c>
      <c r="C262" s="120" t="s">
        <v>287</v>
      </c>
      <c r="D262" s="153">
        <v>6287</v>
      </c>
      <c r="E262" s="126">
        <v>45945</v>
      </c>
      <c r="F262" s="126">
        <v>46003</v>
      </c>
      <c r="G262" s="126"/>
      <c r="H262" s="126"/>
      <c r="I262" s="126"/>
      <c r="J262" s="208">
        <f t="shared" ca="1" si="160"/>
        <v>0</v>
      </c>
      <c r="K262" s="134">
        <v>180.15</v>
      </c>
      <c r="L262" s="134">
        <v>180.15</v>
      </c>
      <c r="M262" s="129">
        <f t="shared" si="161"/>
        <v>0</v>
      </c>
      <c r="N262" s="130">
        <v>3789.05</v>
      </c>
      <c r="O262" s="130">
        <v>3843.5</v>
      </c>
      <c r="P262" s="168">
        <f t="shared" si="134"/>
        <v>54.449999999999818</v>
      </c>
      <c r="Q262" s="132">
        <f t="shared" si="128"/>
        <v>682597.35750000004</v>
      </c>
      <c r="R262" s="132">
        <f t="shared" si="157"/>
        <v>692406.52500000002</v>
      </c>
      <c r="S262" s="132">
        <f t="shared" si="153"/>
        <v>9809.1674999999814</v>
      </c>
      <c r="T262" s="133" t="str">
        <f t="shared" si="137"/>
        <v>Monetizar</v>
      </c>
      <c r="U262" s="239"/>
      <c r="V262" s="210">
        <v>45946</v>
      </c>
      <c r="W262" s="393" t="s">
        <v>275</v>
      </c>
      <c r="X262" s="393" t="s">
        <v>275</v>
      </c>
      <c r="Y262" s="393" t="s">
        <v>276</v>
      </c>
      <c r="Z262" s="211">
        <f t="shared" si="136"/>
        <v>692406.52500000002</v>
      </c>
      <c r="AA262" s="225">
        <f t="shared" si="139"/>
        <v>9809.1674999999814</v>
      </c>
      <c r="AF262" s="112"/>
    </row>
    <row r="263" spans="2:32" outlineLevel="1">
      <c r="B263" s="125">
        <v>232</v>
      </c>
      <c r="C263" s="120" t="s">
        <v>287</v>
      </c>
      <c r="D263" s="153" t="s">
        <v>366</v>
      </c>
      <c r="E263" s="126">
        <v>45945</v>
      </c>
      <c r="F263" s="126">
        <v>46003</v>
      </c>
      <c r="G263" s="126"/>
      <c r="H263" s="126"/>
      <c r="I263" s="126"/>
      <c r="J263" s="208">
        <f t="shared" ca="1" si="160"/>
        <v>0</v>
      </c>
      <c r="K263" s="134">
        <v>1801.5</v>
      </c>
      <c r="L263" s="134">
        <v>1801.5</v>
      </c>
      <c r="M263" s="129">
        <f t="shared" si="161"/>
        <v>0</v>
      </c>
      <c r="N263" s="130">
        <v>3789.05</v>
      </c>
      <c r="O263" s="130">
        <v>3843.5</v>
      </c>
      <c r="P263" s="168">
        <f t="shared" si="134"/>
        <v>54.449999999999818</v>
      </c>
      <c r="Q263" s="132">
        <f t="shared" si="128"/>
        <v>6825973.5750000002</v>
      </c>
      <c r="R263" s="132">
        <f t="shared" si="157"/>
        <v>6924065.25</v>
      </c>
      <c r="S263" s="132">
        <f t="shared" si="153"/>
        <v>98091.674999999814</v>
      </c>
      <c r="T263" s="133" t="str">
        <f t="shared" si="137"/>
        <v>Monetizar</v>
      </c>
      <c r="U263" s="239"/>
      <c r="V263" s="210">
        <v>45946</v>
      </c>
      <c r="W263" s="393" t="s">
        <v>275</v>
      </c>
      <c r="X263" s="393" t="s">
        <v>275</v>
      </c>
      <c r="Y263" s="393" t="s">
        <v>276</v>
      </c>
      <c r="Z263" s="211">
        <f t="shared" si="136"/>
        <v>6924065.25</v>
      </c>
      <c r="AA263" s="225">
        <f t="shared" si="139"/>
        <v>98091.674999999814</v>
      </c>
      <c r="AF263" s="112"/>
    </row>
    <row r="264" spans="2:32" outlineLevel="1">
      <c r="B264" s="125">
        <v>233</v>
      </c>
      <c r="C264" s="120" t="s">
        <v>278</v>
      </c>
      <c r="D264" s="153">
        <v>6346</v>
      </c>
      <c r="E264" s="126">
        <v>45945</v>
      </c>
      <c r="F264" s="126">
        <v>46003</v>
      </c>
      <c r="G264" s="126"/>
      <c r="H264" s="126"/>
      <c r="I264" s="126"/>
      <c r="J264" s="208">
        <f t="shared" ca="1" si="160"/>
        <v>0</v>
      </c>
      <c r="K264" s="134">
        <v>63.43</v>
      </c>
      <c r="L264" s="134">
        <v>63.43</v>
      </c>
      <c r="M264" s="129">
        <f t="shared" si="161"/>
        <v>0</v>
      </c>
      <c r="N264" s="130">
        <v>3763.41</v>
      </c>
      <c r="O264" s="130">
        <v>3847.5</v>
      </c>
      <c r="P264" s="168">
        <f t="shared" si="134"/>
        <v>84.090000000000146</v>
      </c>
      <c r="Q264" s="132">
        <f t="shared" si="128"/>
        <v>238713.09629999998</v>
      </c>
      <c r="R264" s="132">
        <f t="shared" si="157"/>
        <v>244046.92499999999</v>
      </c>
      <c r="S264" s="132">
        <f t="shared" si="153"/>
        <v>5333.8287000000128</v>
      </c>
      <c r="T264" s="133" t="str">
        <f t="shared" si="137"/>
        <v>Monetizar</v>
      </c>
      <c r="U264" s="239"/>
      <c r="V264" s="210">
        <v>45946</v>
      </c>
      <c r="W264" s="393" t="s">
        <v>275</v>
      </c>
      <c r="X264" s="393" t="s">
        <v>275</v>
      </c>
      <c r="Y264" s="393" t="s">
        <v>276</v>
      </c>
      <c r="Z264" s="211">
        <f t="shared" si="136"/>
        <v>244046.92499999999</v>
      </c>
      <c r="AA264" s="225">
        <f t="shared" si="139"/>
        <v>5333.8287000000128</v>
      </c>
      <c r="AF264" s="112"/>
    </row>
    <row r="265" spans="2:32" outlineLevel="1">
      <c r="B265" s="125">
        <v>234</v>
      </c>
      <c r="C265" s="120" t="s">
        <v>278</v>
      </c>
      <c r="D265" s="153" t="s">
        <v>367</v>
      </c>
      <c r="E265" s="126">
        <v>45945</v>
      </c>
      <c r="F265" s="126">
        <v>46003</v>
      </c>
      <c r="G265" s="126"/>
      <c r="H265" s="126"/>
      <c r="I265" s="126"/>
      <c r="J265" s="208">
        <f t="shared" ca="1" si="160"/>
        <v>0</v>
      </c>
      <c r="K265" s="134">
        <v>576.65</v>
      </c>
      <c r="L265" s="134">
        <v>576.65</v>
      </c>
      <c r="M265" s="129">
        <f t="shared" si="161"/>
        <v>0</v>
      </c>
      <c r="N265" s="130">
        <v>3763.41</v>
      </c>
      <c r="O265" s="130">
        <v>3847.5</v>
      </c>
      <c r="P265" s="168">
        <f t="shared" si="134"/>
        <v>84.090000000000146</v>
      </c>
      <c r="Q265" s="132">
        <f t="shared" si="128"/>
        <v>2170170.3764999998</v>
      </c>
      <c r="R265" s="132">
        <f t="shared" si="157"/>
        <v>2218660.875</v>
      </c>
      <c r="S265" s="132">
        <f t="shared" si="153"/>
        <v>48490.49850000022</v>
      </c>
      <c r="T265" s="133" t="str">
        <f t="shared" si="137"/>
        <v>Monetizar</v>
      </c>
      <c r="U265" s="239"/>
      <c r="V265" s="210">
        <v>45946</v>
      </c>
      <c r="W265" s="393" t="s">
        <v>275</v>
      </c>
      <c r="X265" s="393" t="s">
        <v>275</v>
      </c>
      <c r="Y265" s="393" t="s">
        <v>276</v>
      </c>
      <c r="Z265" s="211">
        <f t="shared" si="136"/>
        <v>2218660.875</v>
      </c>
      <c r="AA265" s="225">
        <f t="shared" si="139"/>
        <v>48490.49850000022</v>
      </c>
      <c r="AF265" s="112"/>
    </row>
    <row r="266" spans="2:32" outlineLevel="1">
      <c r="B266" s="125">
        <v>235</v>
      </c>
      <c r="C266" s="120" t="s">
        <v>279</v>
      </c>
      <c r="D266" s="153">
        <v>6346</v>
      </c>
      <c r="E266" s="126">
        <v>45946</v>
      </c>
      <c r="F266" s="126">
        <v>46006</v>
      </c>
      <c r="G266" s="126"/>
      <c r="H266" s="126"/>
      <c r="I266" s="126"/>
      <c r="J266" s="208">
        <f t="shared" ca="1" si="160"/>
        <v>0</v>
      </c>
      <c r="K266" s="134">
        <v>801.12</v>
      </c>
      <c r="L266" s="134">
        <v>800.27095059505803</v>
      </c>
      <c r="M266" s="129">
        <f t="shared" si="161"/>
        <v>0.84904940494197945</v>
      </c>
      <c r="N266" s="130">
        <v>3763.41</v>
      </c>
      <c r="O266" s="130">
        <v>3841</v>
      </c>
      <c r="P266" s="168">
        <f t="shared" si="134"/>
        <v>77.590000000000146</v>
      </c>
      <c r="Q266" s="132">
        <f t="shared" si="128"/>
        <v>3014943.0192</v>
      </c>
      <c r="R266" s="132">
        <f t="shared" si="157"/>
        <v>3073840.721235618</v>
      </c>
      <c r="S266" s="132">
        <f t="shared" si="153"/>
        <v>58897.702035618015</v>
      </c>
      <c r="T266" s="133" t="str">
        <f t="shared" si="137"/>
        <v>Monetizar</v>
      </c>
      <c r="U266" s="239"/>
      <c r="V266" s="210">
        <v>45946</v>
      </c>
      <c r="W266" s="393" t="s">
        <v>275</v>
      </c>
      <c r="X266" s="393" t="s">
        <v>275</v>
      </c>
      <c r="Y266" s="393" t="s">
        <v>276</v>
      </c>
      <c r="Z266" s="211">
        <f t="shared" si="136"/>
        <v>3077101.92</v>
      </c>
      <c r="AA266" s="225">
        <f t="shared" si="139"/>
        <v>62158.900799999945</v>
      </c>
      <c r="AF266" s="112"/>
    </row>
    <row r="267" spans="2:32" outlineLevel="1">
      <c r="B267" s="125">
        <v>236</v>
      </c>
      <c r="C267" s="120" t="s">
        <v>279</v>
      </c>
      <c r="D267" s="153" t="s">
        <v>368</v>
      </c>
      <c r="E267" s="126">
        <v>45946</v>
      </c>
      <c r="F267" s="126">
        <v>46006</v>
      </c>
      <c r="G267" s="126"/>
      <c r="H267" s="126"/>
      <c r="I267" s="126"/>
      <c r="J267" s="208">
        <f t="shared" ca="1" si="160"/>
        <v>0</v>
      </c>
      <c r="K267" s="134">
        <v>13352.12</v>
      </c>
      <c r="L267" s="134">
        <v>13337.969049404941</v>
      </c>
      <c r="M267" s="129">
        <f t="shared" si="161"/>
        <v>14.15095059505984</v>
      </c>
      <c r="N267" s="130">
        <v>3763.41</v>
      </c>
      <c r="O267" s="130">
        <v>3841</v>
      </c>
      <c r="P267" s="168">
        <f t="shared" si="134"/>
        <v>77.590000000000146</v>
      </c>
      <c r="Q267" s="132">
        <f t="shared" si="128"/>
        <v>50249501.929200001</v>
      </c>
      <c r="R267" s="132">
        <f t="shared" si="157"/>
        <v>51231139.118764378</v>
      </c>
      <c r="S267" s="132">
        <f t="shared" si="153"/>
        <v>981637.18956437707</v>
      </c>
      <c r="T267" s="133" t="str">
        <f t="shared" si="137"/>
        <v>Monetizar</v>
      </c>
      <c r="U267" s="239"/>
      <c r="V267" s="210">
        <v>45946</v>
      </c>
      <c r="W267" s="393" t="s">
        <v>275</v>
      </c>
      <c r="X267" s="393" t="s">
        <v>275</v>
      </c>
      <c r="Y267" s="393" t="s">
        <v>276</v>
      </c>
      <c r="Z267" s="211">
        <f t="shared" si="136"/>
        <v>51285492.920000002</v>
      </c>
      <c r="AA267" s="225">
        <f t="shared" si="139"/>
        <v>1035990.9908000007</v>
      </c>
      <c r="AF267" s="112"/>
    </row>
    <row r="268" spans="2:32" outlineLevel="1">
      <c r="B268" s="125">
        <v>237</v>
      </c>
      <c r="C268" s="120" t="s">
        <v>274</v>
      </c>
      <c r="D268" s="153">
        <v>6352</v>
      </c>
      <c r="E268" s="126">
        <v>45947</v>
      </c>
      <c r="F268" s="126">
        <v>46007</v>
      </c>
      <c r="G268" s="126"/>
      <c r="H268" s="126"/>
      <c r="I268" s="126"/>
      <c r="J268" s="208">
        <f t="shared" ca="1" si="160"/>
        <v>0</v>
      </c>
      <c r="K268" s="134">
        <v>346.64</v>
      </c>
      <c r="L268" s="134">
        <v>346.64</v>
      </c>
      <c r="M268" s="129">
        <f t="shared" si="161"/>
        <v>0</v>
      </c>
      <c r="N268" s="130">
        <v>3778.14</v>
      </c>
      <c r="O268" s="130">
        <v>3789.1</v>
      </c>
      <c r="P268" s="168">
        <f t="shared" si="134"/>
        <v>10.960000000000036</v>
      </c>
      <c r="Q268" s="132">
        <f t="shared" si="128"/>
        <v>1309654.4495999999</v>
      </c>
      <c r="R268" s="132">
        <f t="shared" si="157"/>
        <v>1313453.6239999998</v>
      </c>
      <c r="S268" s="132">
        <f t="shared" si="153"/>
        <v>3799.1743999999017</v>
      </c>
      <c r="T268" s="133" t="str">
        <f t="shared" si="137"/>
        <v>Monetizar</v>
      </c>
      <c r="U268" s="239"/>
      <c r="V268" s="210">
        <v>45946</v>
      </c>
      <c r="W268" s="393" t="s">
        <v>275</v>
      </c>
      <c r="X268" s="393" t="s">
        <v>275</v>
      </c>
      <c r="Y268" s="393" t="s">
        <v>276</v>
      </c>
      <c r="Z268" s="211">
        <f t="shared" si="136"/>
        <v>1313453.6239999998</v>
      </c>
      <c r="AA268" s="225">
        <f t="shared" si="139"/>
        <v>3799.1743999999017</v>
      </c>
      <c r="AF268" s="112"/>
    </row>
    <row r="269" spans="2:32" outlineLevel="1">
      <c r="B269" s="125">
        <v>238</v>
      </c>
      <c r="C269" s="120" t="s">
        <v>274</v>
      </c>
      <c r="D269" s="153" t="s">
        <v>369</v>
      </c>
      <c r="E269" s="126">
        <v>45947</v>
      </c>
      <c r="F269" s="126">
        <v>46007</v>
      </c>
      <c r="G269" s="126"/>
      <c r="H269" s="126"/>
      <c r="I269" s="126"/>
      <c r="J269" s="208">
        <f t="shared" ca="1" si="160"/>
        <v>0</v>
      </c>
      <c r="K269" s="134">
        <v>3151.34</v>
      </c>
      <c r="L269" s="134">
        <v>3151.34</v>
      </c>
      <c r="M269" s="129">
        <f t="shared" si="161"/>
        <v>0</v>
      </c>
      <c r="N269" s="130">
        <v>3778.14</v>
      </c>
      <c r="O269" s="130">
        <v>3789.1</v>
      </c>
      <c r="P269" s="168">
        <f t="shared" si="134"/>
        <v>10.960000000000036</v>
      </c>
      <c r="Q269" s="132">
        <f t="shared" si="128"/>
        <v>11906203.707599999</v>
      </c>
      <c r="R269" s="132">
        <f t="shared" si="157"/>
        <v>11940742.393999999</v>
      </c>
      <c r="S269" s="132">
        <f t="shared" si="153"/>
        <v>34538.686400000006</v>
      </c>
      <c r="T269" s="133" t="str">
        <f t="shared" si="137"/>
        <v>Monetizar</v>
      </c>
      <c r="U269" s="239"/>
      <c r="V269" s="210">
        <v>45946</v>
      </c>
      <c r="W269" s="393" t="s">
        <v>275</v>
      </c>
      <c r="X269" s="393" t="s">
        <v>275</v>
      </c>
      <c r="Y269" s="393" t="s">
        <v>276</v>
      </c>
      <c r="Z269" s="211">
        <f t="shared" si="136"/>
        <v>11940742.393999999</v>
      </c>
      <c r="AA269" s="225">
        <f t="shared" si="139"/>
        <v>34538.686400000006</v>
      </c>
      <c r="AF269" s="112"/>
    </row>
    <row r="270" spans="2:32" outlineLevel="1">
      <c r="B270" s="125">
        <v>239</v>
      </c>
      <c r="C270" s="120" t="s">
        <v>117</v>
      </c>
      <c r="D270" s="153" t="s">
        <v>370</v>
      </c>
      <c r="E270" s="126">
        <v>45947</v>
      </c>
      <c r="F270" s="126">
        <v>46007</v>
      </c>
      <c r="G270" s="126"/>
      <c r="H270" s="126"/>
      <c r="I270" s="126"/>
      <c r="J270" s="208">
        <f t="shared" ca="1" si="160"/>
        <v>0</v>
      </c>
      <c r="K270" s="134">
        <v>777.24</v>
      </c>
      <c r="L270" s="134">
        <v>772.24</v>
      </c>
      <c r="M270" s="129">
        <f t="shared" si="161"/>
        <v>5</v>
      </c>
      <c r="N270" s="130">
        <v>3795.84</v>
      </c>
      <c r="O270" s="130">
        <v>3805</v>
      </c>
      <c r="P270" s="168">
        <f t="shared" si="134"/>
        <v>9.1599999999998545</v>
      </c>
      <c r="Q270" s="132">
        <f t="shared" si="128"/>
        <v>2950278.6816000002</v>
      </c>
      <c r="R270" s="132">
        <f t="shared" si="157"/>
        <v>2938373.2</v>
      </c>
      <c r="S270" s="132">
        <f t="shared" si="153"/>
        <v>-11905.481600000057</v>
      </c>
      <c r="T270" s="133" t="str">
        <f t="shared" si="137"/>
        <v>No Monetizar</v>
      </c>
      <c r="U270" s="209"/>
      <c r="V270" s="210">
        <v>45946</v>
      </c>
      <c r="W270" s="393" t="s">
        <v>275</v>
      </c>
      <c r="X270" s="393" t="s">
        <v>275</v>
      </c>
      <c r="Y270" s="393" t="s">
        <v>371</v>
      </c>
      <c r="Z270" s="211">
        <f t="shared" si="136"/>
        <v>2957398.2</v>
      </c>
      <c r="AA270" s="225">
        <f t="shared" si="139"/>
        <v>7119.5183999999426</v>
      </c>
      <c r="AF270" s="112"/>
    </row>
    <row r="271" spans="2:32" ht="30" outlineLevel="1">
      <c r="B271" s="125">
        <v>240</v>
      </c>
      <c r="C271" s="120" t="s">
        <v>284</v>
      </c>
      <c r="D271" s="153">
        <v>6362</v>
      </c>
      <c r="E271" s="126">
        <v>45952</v>
      </c>
      <c r="F271" s="126">
        <v>46012</v>
      </c>
      <c r="G271" s="126"/>
      <c r="H271" s="126"/>
      <c r="I271" s="126"/>
      <c r="J271" s="208">
        <f t="shared" ca="1" si="160"/>
        <v>0</v>
      </c>
      <c r="K271" s="134">
        <v>749.7</v>
      </c>
      <c r="L271" s="134">
        <v>749.7</v>
      </c>
      <c r="M271" s="129">
        <f t="shared" si="161"/>
        <v>0</v>
      </c>
      <c r="N271" s="130">
        <v>3834.98</v>
      </c>
      <c r="O271" s="130">
        <v>3865.5</v>
      </c>
      <c r="P271" s="168">
        <f t="shared" si="134"/>
        <v>30.519999999999982</v>
      </c>
      <c r="Q271" s="132">
        <f t="shared" ref="Q271:Q324" si="163">K271*N271</f>
        <v>2875084.5060000001</v>
      </c>
      <c r="R271" s="132">
        <f t="shared" si="157"/>
        <v>2897965.35</v>
      </c>
      <c r="S271" s="132">
        <f t="shared" si="153"/>
        <v>22880.844000000041</v>
      </c>
      <c r="T271" s="133" t="str">
        <f t="shared" si="137"/>
        <v>Monetizar</v>
      </c>
      <c r="U271" s="239"/>
      <c r="V271" s="210">
        <v>45952</v>
      </c>
      <c r="W271" s="393" t="s">
        <v>275</v>
      </c>
      <c r="X271" s="393" t="s">
        <v>275</v>
      </c>
      <c r="Y271" s="393" t="s">
        <v>276</v>
      </c>
      <c r="Z271" s="211">
        <f t="shared" si="136"/>
        <v>2897965.35</v>
      </c>
      <c r="AA271" s="225">
        <f t="shared" si="139"/>
        <v>22880.844000000041</v>
      </c>
      <c r="AF271" s="112"/>
    </row>
    <row r="272" spans="2:32" ht="30" outlineLevel="1">
      <c r="B272" s="125">
        <v>241</v>
      </c>
      <c r="C272" s="120" t="s">
        <v>284</v>
      </c>
      <c r="D272" s="153" t="s">
        <v>372</v>
      </c>
      <c r="E272" s="126">
        <v>45952</v>
      </c>
      <c r="F272" s="126">
        <v>46012</v>
      </c>
      <c r="G272" s="126"/>
      <c r="H272" s="126"/>
      <c r="I272" s="126"/>
      <c r="J272" s="208">
        <f t="shared" ca="1" si="160"/>
        <v>0</v>
      </c>
      <c r="K272" s="134">
        <v>13317.57</v>
      </c>
      <c r="L272" s="134">
        <v>13317.57</v>
      </c>
      <c r="M272" s="129">
        <f t="shared" si="161"/>
        <v>0</v>
      </c>
      <c r="N272" s="130">
        <v>3834.98</v>
      </c>
      <c r="O272" s="130">
        <v>3865.5</v>
      </c>
      <c r="P272" s="168">
        <f t="shared" si="134"/>
        <v>30.519999999999982</v>
      </c>
      <c r="Q272" s="132">
        <f t="shared" si="163"/>
        <v>51072614.5986</v>
      </c>
      <c r="R272" s="132">
        <f t="shared" si="157"/>
        <v>51479066.835000001</v>
      </c>
      <c r="S272" s="132">
        <f t="shared" si="153"/>
        <v>406452.23640000075</v>
      </c>
      <c r="T272" s="133" t="str">
        <f t="shared" si="137"/>
        <v>Monetizar</v>
      </c>
      <c r="U272" s="239"/>
      <c r="V272" s="210">
        <v>45952</v>
      </c>
      <c r="W272" s="393" t="s">
        <v>275</v>
      </c>
      <c r="X272" s="393" t="s">
        <v>275</v>
      </c>
      <c r="Y272" s="393" t="s">
        <v>276</v>
      </c>
      <c r="Z272" s="211">
        <f t="shared" si="136"/>
        <v>51479066.835000001</v>
      </c>
      <c r="AA272" s="225">
        <f t="shared" si="139"/>
        <v>406452.23640000075</v>
      </c>
      <c r="AF272" s="112"/>
    </row>
    <row r="273" spans="2:32" outlineLevel="1">
      <c r="B273" s="125">
        <v>242</v>
      </c>
      <c r="C273" s="120" t="s">
        <v>264</v>
      </c>
      <c r="D273" s="153">
        <v>5985</v>
      </c>
      <c r="E273" s="126">
        <v>45896</v>
      </c>
      <c r="F273" s="126">
        <v>45956</v>
      </c>
      <c r="G273" s="126"/>
      <c r="H273" s="126"/>
      <c r="I273" s="126"/>
      <c r="J273" s="208">
        <f t="shared" ref="J273:J281" ca="1" si="164">IFERROR(IF(TODAY()&gt;=E273,(TODAY()-E273)/I273,0),0)</f>
        <v>0</v>
      </c>
      <c r="K273" s="134">
        <v>650</v>
      </c>
      <c r="L273" s="134">
        <v>647.9819618435555</v>
      </c>
      <c r="M273" s="129">
        <f t="shared" si="161"/>
        <v>2.0180381564445042</v>
      </c>
      <c r="N273" s="130">
        <v>4165.41</v>
      </c>
      <c r="O273" s="130">
        <v>3889.4</v>
      </c>
      <c r="P273" s="168">
        <f t="shared" si="134"/>
        <v>-276.00999999999976</v>
      </c>
      <c r="Q273" s="132">
        <f t="shared" si="163"/>
        <v>2707516.5</v>
      </c>
      <c r="R273" s="132">
        <f t="shared" si="157"/>
        <v>2520261.0423943247</v>
      </c>
      <c r="S273" s="132">
        <f t="shared" si="153"/>
        <v>-187255.45760567533</v>
      </c>
      <c r="T273" s="133" t="str">
        <f t="shared" si="137"/>
        <v>No Monetizar</v>
      </c>
      <c r="U273" s="209"/>
      <c r="V273" s="210">
        <v>45952</v>
      </c>
      <c r="W273" s="393" t="s">
        <v>275</v>
      </c>
      <c r="X273" s="393" t="s">
        <v>285</v>
      </c>
      <c r="Y273" s="393" t="s">
        <v>373</v>
      </c>
      <c r="Z273" s="211">
        <f t="shared" si="136"/>
        <v>2528110</v>
      </c>
      <c r="AA273" s="225">
        <f t="shared" si="139"/>
        <v>-179406.5</v>
      </c>
      <c r="AF273" s="112"/>
    </row>
    <row r="274" spans="2:32" outlineLevel="1">
      <c r="B274" s="125">
        <v>243</v>
      </c>
      <c r="C274" s="120" t="s">
        <v>264</v>
      </c>
      <c r="D274" s="153">
        <v>6056</v>
      </c>
      <c r="E274" s="126">
        <v>45896</v>
      </c>
      <c r="F274" s="126">
        <v>45956</v>
      </c>
      <c r="G274" s="126"/>
      <c r="H274" s="126"/>
      <c r="I274" s="126"/>
      <c r="J274" s="208">
        <f t="shared" ca="1" si="164"/>
        <v>0</v>
      </c>
      <c r="K274" s="134">
        <v>1041.5999999999999</v>
      </c>
      <c r="L274" s="134">
        <v>1038.3661714711498</v>
      </c>
      <c r="M274" s="129">
        <f t="shared" si="161"/>
        <v>3.2338285288501538</v>
      </c>
      <c r="N274" s="130">
        <v>4076.32</v>
      </c>
      <c r="O274" s="130">
        <v>3889.4</v>
      </c>
      <c r="P274" s="168">
        <f t="shared" si="134"/>
        <v>-186.92000000000007</v>
      </c>
      <c r="Q274" s="132">
        <f t="shared" si="163"/>
        <v>4245894.9119999995</v>
      </c>
      <c r="R274" s="132">
        <f t="shared" si="157"/>
        <v>4038621.3873198899</v>
      </c>
      <c r="S274" s="132">
        <f t="shared" si="153"/>
        <v>-207273.52468010969</v>
      </c>
      <c r="T274" s="133" t="str">
        <f t="shared" si="137"/>
        <v>No Monetizar</v>
      </c>
      <c r="U274" s="209"/>
      <c r="V274" s="210">
        <v>45952</v>
      </c>
      <c r="W274" s="393" t="s">
        <v>275</v>
      </c>
      <c r="X274" s="393" t="s">
        <v>285</v>
      </c>
      <c r="Y274" s="393" t="s">
        <v>373</v>
      </c>
      <c r="Z274" s="211">
        <f t="shared" si="136"/>
        <v>4051199.0399999996</v>
      </c>
      <c r="AA274" s="225">
        <f t="shared" si="139"/>
        <v>-194695.87199999997</v>
      </c>
      <c r="AF274" s="112"/>
    </row>
    <row r="275" spans="2:32" outlineLevel="1">
      <c r="B275" s="125">
        <v>244</v>
      </c>
      <c r="C275" s="120" t="s">
        <v>264</v>
      </c>
      <c r="D275" s="153">
        <v>6074</v>
      </c>
      <c r="E275" s="126">
        <v>45896</v>
      </c>
      <c r="F275" s="126">
        <v>45956</v>
      </c>
      <c r="G275" s="126"/>
      <c r="H275" s="126"/>
      <c r="I275" s="126"/>
      <c r="J275" s="208">
        <f t="shared" ca="1" si="164"/>
        <v>0</v>
      </c>
      <c r="K275" s="134">
        <v>650</v>
      </c>
      <c r="L275" s="134">
        <v>647.9819618435555</v>
      </c>
      <c r="M275" s="129">
        <f t="shared" si="161"/>
        <v>2.0180381564445042</v>
      </c>
      <c r="N275" s="130">
        <v>4042.87</v>
      </c>
      <c r="O275" s="130">
        <v>3889.4</v>
      </c>
      <c r="P275" s="168">
        <f t="shared" si="134"/>
        <v>-153.4699999999998</v>
      </c>
      <c r="Q275" s="132">
        <f t="shared" si="163"/>
        <v>2627865.5</v>
      </c>
      <c r="R275" s="132">
        <f t="shared" si="157"/>
        <v>2520261.0423943247</v>
      </c>
      <c r="S275" s="132">
        <f t="shared" si="153"/>
        <v>-107604.45760567533</v>
      </c>
      <c r="T275" s="133" t="str">
        <f t="shared" si="137"/>
        <v>No Monetizar</v>
      </c>
      <c r="U275" s="209"/>
      <c r="V275" s="210">
        <v>45952</v>
      </c>
      <c r="W275" s="393" t="s">
        <v>275</v>
      </c>
      <c r="X275" s="393" t="s">
        <v>285</v>
      </c>
      <c r="Y275" s="393" t="s">
        <v>373</v>
      </c>
      <c r="Z275" s="211">
        <f t="shared" si="136"/>
        <v>2528110</v>
      </c>
      <c r="AA275" s="225">
        <f t="shared" si="139"/>
        <v>-99755.5</v>
      </c>
      <c r="AF275" s="112"/>
    </row>
    <row r="276" spans="2:32" outlineLevel="1">
      <c r="B276" s="125">
        <v>245</v>
      </c>
      <c r="C276" s="120" t="s">
        <v>264</v>
      </c>
      <c r="D276" s="153">
        <v>6124</v>
      </c>
      <c r="E276" s="126">
        <v>45896</v>
      </c>
      <c r="F276" s="126">
        <v>45956</v>
      </c>
      <c r="G276" s="126"/>
      <c r="H276" s="126"/>
      <c r="I276" s="126"/>
      <c r="J276" s="208">
        <f t="shared" ca="1" si="164"/>
        <v>0</v>
      </c>
      <c r="K276" s="134">
        <v>879.35</v>
      </c>
      <c r="L276" s="134">
        <v>876.6199048417393</v>
      </c>
      <c r="M276" s="129">
        <f t="shared" si="161"/>
        <v>2.730095158260724</v>
      </c>
      <c r="N276" s="130">
        <v>4003.9</v>
      </c>
      <c r="O276" s="130">
        <v>3889.4</v>
      </c>
      <c r="P276" s="168">
        <f t="shared" si="134"/>
        <v>-114.5</v>
      </c>
      <c r="Q276" s="132">
        <f t="shared" si="163"/>
        <v>3520829.4650000003</v>
      </c>
      <c r="R276" s="132">
        <f t="shared" si="157"/>
        <v>3409525.457891461</v>
      </c>
      <c r="S276" s="132">
        <f t="shared" si="153"/>
        <v>-111304.00710853934</v>
      </c>
      <c r="T276" s="133" t="str">
        <f t="shared" si="137"/>
        <v>No Monetizar</v>
      </c>
      <c r="U276" s="209"/>
      <c r="V276" s="210">
        <v>45952</v>
      </c>
      <c r="W276" s="393" t="s">
        <v>275</v>
      </c>
      <c r="X276" s="393" t="s">
        <v>285</v>
      </c>
      <c r="Y276" s="393" t="s">
        <v>373</v>
      </c>
      <c r="Z276" s="211">
        <f t="shared" si="136"/>
        <v>3420143.89</v>
      </c>
      <c r="AA276" s="225">
        <f t="shared" si="139"/>
        <v>-100685.57500000019</v>
      </c>
      <c r="AF276" s="112"/>
    </row>
    <row r="277" spans="2:32" outlineLevel="1">
      <c r="B277" s="125">
        <v>246</v>
      </c>
      <c r="C277" s="120" t="s">
        <v>122</v>
      </c>
      <c r="D277" s="153">
        <v>6347</v>
      </c>
      <c r="E277" s="126">
        <v>45952</v>
      </c>
      <c r="F277" s="126">
        <v>46012</v>
      </c>
      <c r="G277" s="126"/>
      <c r="H277" s="126"/>
      <c r="I277" s="126"/>
      <c r="J277" s="208">
        <f t="shared" ca="1" si="164"/>
        <v>0</v>
      </c>
      <c r="K277" s="134">
        <v>150</v>
      </c>
      <c r="L277" s="134">
        <v>150</v>
      </c>
      <c r="M277" s="332">
        <f t="shared" si="161"/>
        <v>0</v>
      </c>
      <c r="N277" s="219">
        <f>4373.79</f>
        <v>4373.79</v>
      </c>
      <c r="O277" s="219">
        <v>3898</v>
      </c>
      <c r="P277" s="168">
        <f t="shared" si="134"/>
        <v>-475.78999999999996</v>
      </c>
      <c r="Q277" s="132">
        <f t="shared" si="163"/>
        <v>656068.5</v>
      </c>
      <c r="R277" s="132">
        <f t="shared" si="157"/>
        <v>584700</v>
      </c>
      <c r="S277" s="132">
        <f t="shared" si="153"/>
        <v>-71368.5</v>
      </c>
      <c r="T277" s="133" t="str">
        <f t="shared" si="137"/>
        <v>No Monetizar</v>
      </c>
      <c r="U277" s="293"/>
      <c r="V277" s="394">
        <v>45952</v>
      </c>
      <c r="W277" s="393" t="s">
        <v>275</v>
      </c>
      <c r="X277" s="393" t="s">
        <v>275</v>
      </c>
      <c r="Y277" s="393" t="s">
        <v>276</v>
      </c>
      <c r="Z277" s="397">
        <f t="shared" si="136"/>
        <v>584700</v>
      </c>
      <c r="AA277" s="225">
        <f t="shared" si="139"/>
        <v>-71368.5</v>
      </c>
      <c r="AF277" s="112"/>
    </row>
    <row r="278" spans="2:32" outlineLevel="1">
      <c r="B278" s="125">
        <v>247</v>
      </c>
      <c r="C278" s="120" t="s">
        <v>122</v>
      </c>
      <c r="D278" s="153" t="s">
        <v>374</v>
      </c>
      <c r="E278" s="126">
        <v>45952</v>
      </c>
      <c r="F278" s="126">
        <v>46012</v>
      </c>
      <c r="G278" s="126"/>
      <c r="H278" s="126"/>
      <c r="I278" s="126"/>
      <c r="J278" s="208">
        <f t="shared" ca="1" si="164"/>
        <v>0</v>
      </c>
      <c r="K278" s="134">
        <v>16346.38</v>
      </c>
      <c r="L278" s="134">
        <v>16346.38</v>
      </c>
      <c r="M278" s="332">
        <f t="shared" si="161"/>
        <v>0</v>
      </c>
      <c r="N278" s="219">
        <f>4373.79</f>
        <v>4373.79</v>
      </c>
      <c r="O278" s="219">
        <v>3898</v>
      </c>
      <c r="P278" s="168">
        <f t="shared" si="134"/>
        <v>-475.78999999999996</v>
      </c>
      <c r="Q278" s="132">
        <f t="shared" si="163"/>
        <v>71495633.380199999</v>
      </c>
      <c r="R278" s="132">
        <f t="shared" si="157"/>
        <v>63718189.239999995</v>
      </c>
      <c r="S278" s="132">
        <f t="shared" si="153"/>
        <v>-7777444.140200004</v>
      </c>
      <c r="T278" s="133" t="str">
        <f t="shared" si="137"/>
        <v>No Monetizar</v>
      </c>
      <c r="U278" s="293"/>
      <c r="V278" s="394">
        <v>45952</v>
      </c>
      <c r="W278" s="393" t="s">
        <v>275</v>
      </c>
      <c r="X278" s="393" t="s">
        <v>275</v>
      </c>
      <c r="Y278" s="393" t="s">
        <v>276</v>
      </c>
      <c r="Z278" s="211">
        <f t="shared" si="136"/>
        <v>63718189.239999995</v>
      </c>
      <c r="AA278" s="225">
        <f t="shared" si="139"/>
        <v>-7777444.140200004</v>
      </c>
      <c r="AF278" s="112"/>
    </row>
    <row r="279" spans="2:32" outlineLevel="1">
      <c r="B279" s="125">
        <v>248</v>
      </c>
      <c r="C279" s="120" t="s">
        <v>122</v>
      </c>
      <c r="D279" s="153">
        <v>6359</v>
      </c>
      <c r="E279" s="126">
        <v>45952</v>
      </c>
      <c r="F279" s="126">
        <v>46012</v>
      </c>
      <c r="G279" s="126"/>
      <c r="H279" s="126"/>
      <c r="I279" s="126"/>
      <c r="J279" s="208">
        <f t="shared" ca="1" si="164"/>
        <v>0</v>
      </c>
      <c r="K279" s="134">
        <v>150</v>
      </c>
      <c r="L279" s="134">
        <v>150</v>
      </c>
      <c r="M279" s="332">
        <f t="shared" si="161"/>
        <v>0</v>
      </c>
      <c r="N279" s="219">
        <f>4373.79</f>
        <v>4373.79</v>
      </c>
      <c r="O279" s="219">
        <v>3898</v>
      </c>
      <c r="P279" s="168">
        <f t="shared" si="134"/>
        <v>-475.78999999999996</v>
      </c>
      <c r="Q279" s="132">
        <f t="shared" si="163"/>
        <v>656068.5</v>
      </c>
      <c r="R279" s="132">
        <f t="shared" si="157"/>
        <v>584700</v>
      </c>
      <c r="S279" s="132">
        <f t="shared" si="153"/>
        <v>-71368.5</v>
      </c>
      <c r="T279" s="133" t="str">
        <f t="shared" si="137"/>
        <v>No Monetizar</v>
      </c>
      <c r="U279" s="293"/>
      <c r="V279" s="394">
        <v>45952</v>
      </c>
      <c r="W279" s="393" t="s">
        <v>275</v>
      </c>
      <c r="X279" s="393" t="s">
        <v>275</v>
      </c>
      <c r="Y279" s="393" t="s">
        <v>276</v>
      </c>
      <c r="Z279" s="211">
        <f t="shared" si="136"/>
        <v>584700</v>
      </c>
      <c r="AA279" s="225">
        <f t="shared" si="139"/>
        <v>-71368.5</v>
      </c>
      <c r="AF279" s="112"/>
    </row>
    <row r="280" spans="2:32" outlineLevel="1">
      <c r="B280" s="125">
        <v>249</v>
      </c>
      <c r="C280" s="120" t="s">
        <v>277</v>
      </c>
      <c r="D280" s="153">
        <v>6350</v>
      </c>
      <c r="E280" s="126">
        <v>45952</v>
      </c>
      <c r="F280" s="126">
        <v>46012</v>
      </c>
      <c r="G280" s="126"/>
      <c r="H280" s="126"/>
      <c r="I280" s="126"/>
      <c r="J280" s="208">
        <f t="shared" ca="1" si="164"/>
        <v>0</v>
      </c>
      <c r="K280" s="134">
        <v>11424</v>
      </c>
      <c r="L280" s="134">
        <v>11424</v>
      </c>
      <c r="M280" s="129">
        <f t="shared" si="161"/>
        <v>0</v>
      </c>
      <c r="N280" s="130">
        <v>3751.51</v>
      </c>
      <c r="O280" s="219">
        <v>3880.5</v>
      </c>
      <c r="P280" s="168">
        <f t="shared" si="134"/>
        <v>128.98999999999978</v>
      </c>
      <c r="Q280" s="132">
        <f t="shared" si="163"/>
        <v>42857250.240000002</v>
      </c>
      <c r="R280" s="132">
        <f t="shared" si="157"/>
        <v>44330832</v>
      </c>
      <c r="S280" s="132">
        <f t="shared" si="153"/>
        <v>1473581.7599999979</v>
      </c>
      <c r="T280" s="133" t="str">
        <f t="shared" si="137"/>
        <v>Monetizar</v>
      </c>
      <c r="U280" s="293"/>
      <c r="V280" s="394">
        <v>45953</v>
      </c>
      <c r="W280" s="393" t="s">
        <v>275</v>
      </c>
      <c r="X280" s="393" t="s">
        <v>275</v>
      </c>
      <c r="Y280" s="393" t="s">
        <v>276</v>
      </c>
      <c r="Z280" s="211">
        <f t="shared" ref="Z280:Z283" si="165">K280*O280</f>
        <v>44330832</v>
      </c>
      <c r="AA280" s="225">
        <f t="shared" si="139"/>
        <v>1473581.7599999979</v>
      </c>
      <c r="AF280" s="112"/>
    </row>
    <row r="281" spans="2:32" outlineLevel="1">
      <c r="B281" s="125">
        <v>250</v>
      </c>
      <c r="C281" s="120" t="s">
        <v>277</v>
      </c>
      <c r="D281" s="153" t="s">
        <v>375</v>
      </c>
      <c r="E281" s="126">
        <v>45952</v>
      </c>
      <c r="F281" s="126">
        <v>46012</v>
      </c>
      <c r="G281" s="126"/>
      <c r="H281" s="126"/>
      <c r="I281" s="126"/>
      <c r="J281" s="208">
        <f t="shared" ca="1" si="164"/>
        <v>0</v>
      </c>
      <c r="K281" s="134">
        <v>257058.08</v>
      </c>
      <c r="L281" s="134">
        <v>257058.08</v>
      </c>
      <c r="M281" s="129">
        <f t="shared" si="161"/>
        <v>0</v>
      </c>
      <c r="N281" s="130">
        <v>3751.51</v>
      </c>
      <c r="O281" s="219">
        <v>3880.5</v>
      </c>
      <c r="P281" s="168">
        <f t="shared" si="134"/>
        <v>128.98999999999978</v>
      </c>
      <c r="Q281" s="132">
        <f t="shared" si="163"/>
        <v>964355957.70080006</v>
      </c>
      <c r="R281" s="132">
        <f t="shared" si="157"/>
        <v>997513879.43999994</v>
      </c>
      <c r="S281" s="132">
        <f t="shared" si="153"/>
        <v>33157921.739199877</v>
      </c>
      <c r="T281" s="133" t="str">
        <f t="shared" si="137"/>
        <v>Monetizar</v>
      </c>
      <c r="U281" s="293"/>
      <c r="V281" s="394">
        <v>45953</v>
      </c>
      <c r="W281" s="393" t="s">
        <v>275</v>
      </c>
      <c r="X281" s="393" t="s">
        <v>275</v>
      </c>
      <c r="Y281" s="393" t="s">
        <v>276</v>
      </c>
      <c r="Z281" s="211">
        <f t="shared" si="165"/>
        <v>997513879.43999994</v>
      </c>
      <c r="AA281" s="225">
        <f t="shared" si="139"/>
        <v>33157921.739199877</v>
      </c>
      <c r="AF281" s="112"/>
    </row>
    <row r="282" spans="2:32" outlineLevel="1">
      <c r="B282" s="125">
        <v>251</v>
      </c>
      <c r="C282" s="120" t="s">
        <v>277</v>
      </c>
      <c r="D282" s="153">
        <v>6360</v>
      </c>
      <c r="E282" s="126">
        <v>45952</v>
      </c>
      <c r="F282" s="126">
        <v>46012</v>
      </c>
      <c r="G282" s="126"/>
      <c r="H282" s="126"/>
      <c r="I282" s="126"/>
      <c r="J282" s="208">
        <f t="shared" ref="J282:J303" ca="1" si="166">IFERROR(IF(TODAY()&gt;=E282,(TODAY()-E282)/I282,0),0)</f>
        <v>0</v>
      </c>
      <c r="K282" s="134">
        <v>428.4</v>
      </c>
      <c r="L282" s="134">
        <v>428.4</v>
      </c>
      <c r="M282" s="129">
        <f t="shared" si="161"/>
        <v>0</v>
      </c>
      <c r="N282" s="130">
        <v>3751.51</v>
      </c>
      <c r="O282" s="219">
        <v>3880.5</v>
      </c>
      <c r="P282" s="168">
        <f t="shared" si="134"/>
        <v>128.98999999999978</v>
      </c>
      <c r="Q282" s="132">
        <f t="shared" si="163"/>
        <v>1607146.8840000001</v>
      </c>
      <c r="R282" s="132">
        <f t="shared" si="157"/>
        <v>1662406.2</v>
      </c>
      <c r="S282" s="132">
        <f t="shared" si="153"/>
        <v>55259.315999999875</v>
      </c>
      <c r="T282" s="133" t="str">
        <f t="shared" si="137"/>
        <v>Monetizar</v>
      </c>
      <c r="U282" s="293"/>
      <c r="V282" s="394">
        <v>45953</v>
      </c>
      <c r="W282" s="393" t="s">
        <v>275</v>
      </c>
      <c r="X282" s="393" t="s">
        <v>275</v>
      </c>
      <c r="Y282" s="393" t="s">
        <v>276</v>
      </c>
      <c r="Z282" s="211">
        <f t="shared" si="165"/>
        <v>1662406.2</v>
      </c>
      <c r="AA282" s="225">
        <f t="shared" si="139"/>
        <v>55259.315999999875</v>
      </c>
      <c r="AF282" s="112"/>
    </row>
    <row r="283" spans="2:32" outlineLevel="1">
      <c r="B283" s="125">
        <v>252</v>
      </c>
      <c r="C283" s="120" t="s">
        <v>277</v>
      </c>
      <c r="D283" s="153" t="s">
        <v>376</v>
      </c>
      <c r="E283" s="126">
        <v>45952</v>
      </c>
      <c r="F283" s="126">
        <v>46012</v>
      </c>
      <c r="G283" s="126"/>
      <c r="H283" s="126"/>
      <c r="I283" s="126"/>
      <c r="J283" s="208">
        <f t="shared" ca="1" si="166"/>
        <v>0</v>
      </c>
      <c r="K283" s="134">
        <v>15102.83</v>
      </c>
      <c r="L283" s="134">
        <v>15102.83</v>
      </c>
      <c r="M283" s="129">
        <f t="shared" si="161"/>
        <v>0</v>
      </c>
      <c r="N283" s="130">
        <v>3751.51</v>
      </c>
      <c r="O283" s="219">
        <v>3880.5</v>
      </c>
      <c r="P283" s="168">
        <f t="shared" si="134"/>
        <v>128.98999999999978</v>
      </c>
      <c r="Q283" s="132">
        <f t="shared" si="163"/>
        <v>56658417.7733</v>
      </c>
      <c r="R283" s="132">
        <f t="shared" si="157"/>
        <v>58606531.814999998</v>
      </c>
      <c r="S283" s="132">
        <f t="shared" si="153"/>
        <v>1948114.0416999981</v>
      </c>
      <c r="T283" s="133" t="str">
        <f t="shared" si="137"/>
        <v>Monetizar</v>
      </c>
      <c r="U283" s="293"/>
      <c r="V283" s="394">
        <v>45953</v>
      </c>
      <c r="W283" s="393" t="s">
        <v>275</v>
      </c>
      <c r="X283" s="393" t="s">
        <v>275</v>
      </c>
      <c r="Y283" s="393" t="s">
        <v>276</v>
      </c>
      <c r="Z283" s="211">
        <f t="shared" si="165"/>
        <v>58606531.814999998</v>
      </c>
      <c r="AA283" s="225">
        <f t="shared" si="139"/>
        <v>1948114.0416999981</v>
      </c>
      <c r="AF283" s="112"/>
    </row>
    <row r="284" spans="2:32" outlineLevel="1">
      <c r="B284" s="125">
        <v>253</v>
      </c>
      <c r="C284" s="120" t="s">
        <v>288</v>
      </c>
      <c r="D284" s="153">
        <v>6340</v>
      </c>
      <c r="E284" s="126">
        <v>45954</v>
      </c>
      <c r="F284" s="126">
        <v>46014</v>
      </c>
      <c r="G284" s="126"/>
      <c r="H284" s="126"/>
      <c r="I284" s="126"/>
      <c r="J284" s="208">
        <f t="shared" ca="1" si="166"/>
        <v>0</v>
      </c>
      <c r="K284" s="134">
        <v>1789.86</v>
      </c>
      <c r="L284" s="134">
        <v>1785.3414459510684</v>
      </c>
      <c r="M284" s="129">
        <f t="shared" si="161"/>
        <v>4.5185540489314917</v>
      </c>
      <c r="N284" s="130">
        <v>3763.41</v>
      </c>
      <c r="O284" s="219">
        <v>3815</v>
      </c>
      <c r="P284" s="168">
        <f t="shared" ref="P284:P325" si="167">O284-N284</f>
        <v>51.590000000000146</v>
      </c>
      <c r="Q284" s="132">
        <f t="shared" si="163"/>
        <v>6735977.0225999998</v>
      </c>
      <c r="R284" s="132">
        <f t="shared" ref="R284:R305" si="168">L284*O284</f>
        <v>6811077.6163033256</v>
      </c>
      <c r="S284" s="132">
        <f t="shared" si="153"/>
        <v>75100.593703325838</v>
      </c>
      <c r="T284" s="133" t="str">
        <f t="shared" si="137"/>
        <v>Monetizar</v>
      </c>
      <c r="U284" s="293"/>
      <c r="V284" s="394">
        <v>45957</v>
      </c>
      <c r="W284" s="393" t="s">
        <v>275</v>
      </c>
      <c r="X284" s="393" t="s">
        <v>275</v>
      </c>
      <c r="Y284" s="393" t="s">
        <v>276</v>
      </c>
      <c r="Z284" s="211">
        <f t="shared" ref="Z284:Z285" si="169">K284*O284</f>
        <v>6828315.8999999994</v>
      </c>
      <c r="AA284" s="225">
        <f t="shared" si="139"/>
        <v>92338.877399999648</v>
      </c>
      <c r="AF284" s="112"/>
    </row>
    <row r="285" spans="2:32" outlineLevel="1">
      <c r="B285" s="125">
        <v>254</v>
      </c>
      <c r="C285" s="120" t="s">
        <v>288</v>
      </c>
      <c r="D285" s="153" t="s">
        <v>377</v>
      </c>
      <c r="E285" s="126">
        <v>45954</v>
      </c>
      <c r="F285" s="126">
        <v>46014</v>
      </c>
      <c r="G285" s="126"/>
      <c r="H285" s="126"/>
      <c r="I285" s="126"/>
      <c r="J285" s="208">
        <f t="shared" ca="1" si="166"/>
        <v>0</v>
      </c>
      <c r="K285" s="134">
        <v>22373.06</v>
      </c>
      <c r="L285" s="134">
        <v>22316.578554048927</v>
      </c>
      <c r="M285" s="129">
        <f t="shared" si="161"/>
        <v>56.48144595107442</v>
      </c>
      <c r="N285" s="130">
        <v>3763.41</v>
      </c>
      <c r="O285" s="219">
        <v>3815</v>
      </c>
      <c r="P285" s="168">
        <f t="shared" si="167"/>
        <v>51.590000000000146</v>
      </c>
      <c r="Q285" s="132">
        <f t="shared" si="163"/>
        <v>84198997.734600008</v>
      </c>
      <c r="R285" s="132">
        <f t="shared" si="168"/>
        <v>85137747.183696657</v>
      </c>
      <c r="S285" s="132">
        <f t="shared" si="153"/>
        <v>938749.44909664989</v>
      </c>
      <c r="T285" s="133" t="str">
        <f t="shared" ref="T285:T332" si="170">IF(R285&lt;= Q285,"No Monetizar","Monetizar")</f>
        <v>Monetizar</v>
      </c>
      <c r="U285" s="293"/>
      <c r="V285" s="394">
        <v>45957</v>
      </c>
      <c r="W285" s="393" t="s">
        <v>275</v>
      </c>
      <c r="X285" s="393" t="s">
        <v>275</v>
      </c>
      <c r="Y285" s="393" t="s">
        <v>276</v>
      </c>
      <c r="Z285" s="211">
        <f t="shared" si="169"/>
        <v>85353223.900000006</v>
      </c>
      <c r="AA285" s="225">
        <f t="shared" si="139"/>
        <v>1154226.1653999984</v>
      </c>
      <c r="AF285" s="112"/>
    </row>
    <row r="286" spans="2:32" outlineLevel="1">
      <c r="B286" s="125">
        <v>255</v>
      </c>
      <c r="C286" s="120" t="s">
        <v>116</v>
      </c>
      <c r="D286" s="153">
        <v>6344</v>
      </c>
      <c r="E286" s="126">
        <v>45957</v>
      </c>
      <c r="F286" s="126">
        <v>45956</v>
      </c>
      <c r="G286" s="126"/>
      <c r="H286" s="126"/>
      <c r="I286" s="126"/>
      <c r="J286" s="208">
        <f t="shared" ca="1" si="166"/>
        <v>0</v>
      </c>
      <c r="K286" s="134">
        <v>2329.66</v>
      </c>
      <c r="L286" s="134">
        <v>2328.4214660852681</v>
      </c>
      <c r="M286" s="129">
        <f t="shared" ref="M286:M307" si="171">K286-L286</f>
        <v>1.2385339147317609</v>
      </c>
      <c r="N286" s="130">
        <v>3763.41</v>
      </c>
      <c r="O286" s="130">
        <v>3825.55</v>
      </c>
      <c r="P286" s="168">
        <f t="shared" ref="P286:P292" si="172">O286-N286</f>
        <v>62.140000000000327</v>
      </c>
      <c r="Q286" s="132">
        <f t="shared" ref="Q286:Q292" si="173">K286*N286</f>
        <v>8767465.7405999992</v>
      </c>
      <c r="R286" s="132">
        <f t="shared" ref="R286:R292" si="174">L286*O286</f>
        <v>8907492.7395824976</v>
      </c>
      <c r="S286" s="132">
        <f t="shared" ref="S286:S292" si="175">R286-Q286</f>
        <v>140026.99898249842</v>
      </c>
      <c r="T286" s="133" t="str">
        <f t="shared" ref="T286:T292" si="176">IF(R286&lt;= Q286,"No Monetizar","Monetizar")</f>
        <v>Monetizar</v>
      </c>
      <c r="U286" s="293"/>
      <c r="V286" s="394">
        <v>45957</v>
      </c>
      <c r="W286" s="393" t="s">
        <v>275</v>
      </c>
      <c r="X286" s="393" t="s">
        <v>275</v>
      </c>
      <c r="Y286" s="393" t="s">
        <v>276</v>
      </c>
      <c r="Z286" s="211">
        <f t="shared" ref="Z286:Z290" si="177">K286*O286</f>
        <v>8912230.8129999992</v>
      </c>
      <c r="AA286" s="225">
        <f t="shared" si="139"/>
        <v>144765.07239999995</v>
      </c>
      <c r="AF286" s="112"/>
    </row>
    <row r="287" spans="2:32" outlineLevel="1">
      <c r="B287" s="125">
        <v>256</v>
      </c>
      <c r="C287" s="120" t="s">
        <v>116</v>
      </c>
      <c r="D287" s="153" t="s">
        <v>378</v>
      </c>
      <c r="E287" s="126">
        <v>45957</v>
      </c>
      <c r="F287" s="126">
        <v>45956</v>
      </c>
      <c r="G287" s="126"/>
      <c r="H287" s="126"/>
      <c r="I287" s="126"/>
      <c r="J287" s="208">
        <f t="shared" ca="1" si="166"/>
        <v>0</v>
      </c>
      <c r="K287" s="134">
        <v>25885.07</v>
      </c>
      <c r="L287" s="134">
        <v>25871.308533914733</v>
      </c>
      <c r="M287" s="129">
        <f t="shared" si="171"/>
        <v>13.761466085266875</v>
      </c>
      <c r="N287" s="130">
        <v>3763.41</v>
      </c>
      <c r="O287" s="130">
        <v>3825.55</v>
      </c>
      <c r="P287" s="168">
        <f t="shared" si="172"/>
        <v>62.140000000000327</v>
      </c>
      <c r="Q287" s="132">
        <f t="shared" si="173"/>
        <v>97416131.288699999</v>
      </c>
      <c r="R287" s="132">
        <f t="shared" si="174"/>
        <v>98971984.361917511</v>
      </c>
      <c r="S287" s="132">
        <f t="shared" si="175"/>
        <v>1555853.0732175112</v>
      </c>
      <c r="T287" s="133" t="str">
        <f t="shared" si="176"/>
        <v>Monetizar</v>
      </c>
      <c r="U287" s="293"/>
      <c r="V287" s="394">
        <v>45957</v>
      </c>
      <c r="W287" s="393" t="s">
        <v>275</v>
      </c>
      <c r="X287" s="393" t="s">
        <v>275</v>
      </c>
      <c r="Y287" s="393" t="s">
        <v>276</v>
      </c>
      <c r="Z287" s="211">
        <f t="shared" si="177"/>
        <v>99024629.538500011</v>
      </c>
      <c r="AA287" s="225">
        <f t="shared" si="139"/>
        <v>1608498.2498000115</v>
      </c>
      <c r="AF287" s="112"/>
    </row>
    <row r="288" spans="2:32" outlineLevel="1">
      <c r="B288" s="125">
        <v>257</v>
      </c>
      <c r="C288" s="120" t="s">
        <v>120</v>
      </c>
      <c r="D288" s="153">
        <v>6361</v>
      </c>
      <c r="E288" s="126">
        <v>45954</v>
      </c>
      <c r="F288" s="126">
        <v>46014</v>
      </c>
      <c r="G288" s="126"/>
      <c r="H288" s="126"/>
      <c r="I288" s="126"/>
      <c r="J288" s="208">
        <f t="shared" ca="1" si="166"/>
        <v>0</v>
      </c>
      <c r="K288" s="134">
        <v>285.60000000000002</v>
      </c>
      <c r="L288" s="134">
        <v>283.89453337035678</v>
      </c>
      <c r="M288" s="129">
        <f t="shared" si="171"/>
        <v>1.7054666296432401</v>
      </c>
      <c r="N288" s="130">
        <v>3856.19</v>
      </c>
      <c r="O288" s="130">
        <v>3866.93</v>
      </c>
      <c r="P288" s="168">
        <f t="shared" si="172"/>
        <v>10.739999999999782</v>
      </c>
      <c r="Q288" s="132">
        <f t="shared" si="173"/>
        <v>1101327.8640000001</v>
      </c>
      <c r="R288" s="132">
        <f t="shared" si="174"/>
        <v>1097800.2879258336</v>
      </c>
      <c r="S288" s="132">
        <f t="shared" si="175"/>
        <v>-3527.5760741664562</v>
      </c>
      <c r="T288" s="133" t="str">
        <f t="shared" si="176"/>
        <v>No Monetizar</v>
      </c>
      <c r="U288" s="209"/>
      <c r="V288" s="394">
        <v>45958</v>
      </c>
      <c r="W288" s="393" t="s">
        <v>275</v>
      </c>
      <c r="X288" s="393" t="s">
        <v>275</v>
      </c>
      <c r="Y288" s="393" t="s">
        <v>379</v>
      </c>
      <c r="Z288" s="211">
        <f t="shared" si="177"/>
        <v>1104395.2080000001</v>
      </c>
      <c r="AA288" s="225">
        <f t="shared" ref="AA288:AA340" si="178">Z288-Q288</f>
        <v>3067.344000000041</v>
      </c>
      <c r="AF288" s="112"/>
    </row>
    <row r="289" spans="2:32" outlineLevel="1">
      <c r="B289" s="125">
        <v>258</v>
      </c>
      <c r="C289" s="120" t="s">
        <v>120</v>
      </c>
      <c r="D289" s="153" t="s">
        <v>380</v>
      </c>
      <c r="E289" s="126">
        <v>45954</v>
      </c>
      <c r="F289" s="126">
        <v>46014</v>
      </c>
      <c r="G289" s="126"/>
      <c r="H289" s="126"/>
      <c r="I289" s="126"/>
      <c r="J289" s="208">
        <f t="shared" ca="1" si="166"/>
        <v>0</v>
      </c>
      <c r="K289" s="134">
        <v>3043.53</v>
      </c>
      <c r="L289" s="134">
        <v>3025.355494218074</v>
      </c>
      <c r="M289" s="129">
        <f t="shared" si="171"/>
        <v>18.1745057819262</v>
      </c>
      <c r="N289" s="130">
        <v>3856.19</v>
      </c>
      <c r="O289" s="130">
        <v>3866.3</v>
      </c>
      <c r="P289" s="168">
        <f t="shared" si="172"/>
        <v>10.110000000000127</v>
      </c>
      <c r="Q289" s="132">
        <f t="shared" si="173"/>
        <v>11736429.950700002</v>
      </c>
      <c r="R289" s="132">
        <f t="shared" si="174"/>
        <v>11696931.94729534</v>
      </c>
      <c r="S289" s="132">
        <f t="shared" si="175"/>
        <v>-39498.003404662013</v>
      </c>
      <c r="T289" s="133" t="str">
        <f t="shared" si="176"/>
        <v>No Monetizar</v>
      </c>
      <c r="U289" s="209"/>
      <c r="V289" s="394">
        <v>45958</v>
      </c>
      <c r="W289" s="393" t="s">
        <v>275</v>
      </c>
      <c r="X289" s="393" t="s">
        <v>275</v>
      </c>
      <c r="Y289" s="393" t="s">
        <v>379</v>
      </c>
      <c r="Z289" s="211">
        <f t="shared" si="177"/>
        <v>11767200.039000001</v>
      </c>
      <c r="AA289" s="225">
        <f t="shared" si="178"/>
        <v>30770.088299999014</v>
      </c>
      <c r="AF289" s="112"/>
    </row>
    <row r="290" spans="2:32" outlineLevel="1">
      <c r="B290" s="125">
        <v>259</v>
      </c>
      <c r="C290" s="120" t="s">
        <v>120</v>
      </c>
      <c r="D290" s="153" t="s">
        <v>381</v>
      </c>
      <c r="E290" s="126">
        <v>45954</v>
      </c>
      <c r="F290" s="126">
        <v>46014</v>
      </c>
      <c r="G290" s="126"/>
      <c r="H290" s="126"/>
      <c r="I290" s="126"/>
      <c r="J290" s="208">
        <f t="shared" ca="1" si="166"/>
        <v>0</v>
      </c>
      <c r="K290" s="134">
        <v>20.100000000000001</v>
      </c>
      <c r="L290" s="134">
        <v>19.979972411569229</v>
      </c>
      <c r="M290" s="129">
        <f t="shared" si="171"/>
        <v>0.12002758843077288</v>
      </c>
      <c r="N290" s="130">
        <v>3856.19</v>
      </c>
      <c r="O290" s="130">
        <v>3866.3</v>
      </c>
      <c r="P290" s="168">
        <f t="shared" si="172"/>
        <v>10.110000000000127</v>
      </c>
      <c r="Q290" s="132">
        <f t="shared" si="173"/>
        <v>77509.419000000009</v>
      </c>
      <c r="R290" s="132">
        <f t="shared" si="174"/>
        <v>77248.567334850115</v>
      </c>
      <c r="S290" s="132">
        <f t="shared" si="175"/>
        <v>-260.85166514989396</v>
      </c>
      <c r="T290" s="133" t="str">
        <f t="shared" si="176"/>
        <v>No Monetizar</v>
      </c>
      <c r="U290" s="209"/>
      <c r="V290" s="394">
        <v>45958</v>
      </c>
      <c r="W290" s="393" t="s">
        <v>275</v>
      </c>
      <c r="X290" s="393" t="s">
        <v>275</v>
      </c>
      <c r="Y290" s="393" t="s">
        <v>379</v>
      </c>
      <c r="Z290" s="211">
        <f t="shared" si="177"/>
        <v>77712.63</v>
      </c>
      <c r="AA290" s="225">
        <f t="shared" si="178"/>
        <v>203.21099999999569</v>
      </c>
      <c r="AF290" s="112"/>
    </row>
    <row r="291" spans="2:32" outlineLevel="1">
      <c r="B291" s="125">
        <v>260</v>
      </c>
      <c r="C291" s="120" t="s">
        <v>312</v>
      </c>
      <c r="D291" s="153">
        <v>6341</v>
      </c>
      <c r="E291" s="126">
        <v>45957</v>
      </c>
      <c r="F291" s="126">
        <v>45956</v>
      </c>
      <c r="G291" s="126"/>
      <c r="H291" s="126"/>
      <c r="I291" s="126"/>
      <c r="J291" s="208">
        <f t="shared" ca="1" si="166"/>
        <v>0</v>
      </c>
      <c r="K291" s="134">
        <v>118.13</v>
      </c>
      <c r="L291" s="134">
        <v>115.15705423430222</v>
      </c>
      <c r="M291" s="129">
        <f t="shared" si="171"/>
        <v>2.9729457656977729</v>
      </c>
      <c r="N291" s="130">
        <v>3763.41</v>
      </c>
      <c r="O291" s="130">
        <v>3839</v>
      </c>
      <c r="P291" s="168">
        <f t="shared" si="172"/>
        <v>75.590000000000146</v>
      </c>
      <c r="Q291" s="132">
        <f t="shared" si="173"/>
        <v>444571.62329999998</v>
      </c>
      <c r="R291" s="132">
        <f t="shared" si="174"/>
        <v>442087.93120548624</v>
      </c>
      <c r="S291" s="132">
        <f t="shared" si="175"/>
        <v>-2483.692094513739</v>
      </c>
      <c r="T291" s="133" t="str">
        <f t="shared" si="176"/>
        <v>No Monetizar</v>
      </c>
      <c r="U291" s="293"/>
      <c r="V291" s="394">
        <v>45958</v>
      </c>
      <c r="W291" s="393" t="s">
        <v>275</v>
      </c>
      <c r="X291" s="393" t="s">
        <v>275</v>
      </c>
      <c r="Y291" s="393" t="s">
        <v>276</v>
      </c>
      <c r="Z291" s="211">
        <f t="shared" ref="Z291:Z296" si="179">K291*O291</f>
        <v>453501.07</v>
      </c>
      <c r="AA291" s="225">
        <f t="shared" si="178"/>
        <v>8929.4467000000295</v>
      </c>
      <c r="AF291" s="112"/>
    </row>
    <row r="292" spans="2:32" outlineLevel="1">
      <c r="B292" s="125">
        <v>261</v>
      </c>
      <c r="C292" s="120" t="s">
        <v>312</v>
      </c>
      <c r="D292" s="153" t="s">
        <v>382</v>
      </c>
      <c r="E292" s="126">
        <v>45957</v>
      </c>
      <c r="F292" s="126">
        <v>45956</v>
      </c>
      <c r="G292" s="126"/>
      <c r="H292" s="126"/>
      <c r="I292" s="126"/>
      <c r="J292" s="208">
        <f t="shared" ca="1" si="166"/>
        <v>0</v>
      </c>
      <c r="K292" s="134">
        <v>1073.92</v>
      </c>
      <c r="L292" s="134">
        <v>1046.8929457656977</v>
      </c>
      <c r="M292" s="129">
        <f t="shared" si="171"/>
        <v>27.027054234302341</v>
      </c>
      <c r="N292" s="130">
        <v>3763.41</v>
      </c>
      <c r="O292" s="130">
        <v>3839</v>
      </c>
      <c r="P292" s="168">
        <f t="shared" si="172"/>
        <v>75.590000000000146</v>
      </c>
      <c r="Q292" s="132">
        <f t="shared" si="173"/>
        <v>4041601.2672000001</v>
      </c>
      <c r="R292" s="132">
        <f t="shared" si="174"/>
        <v>4019022.0187945138</v>
      </c>
      <c r="S292" s="132">
        <f t="shared" si="175"/>
        <v>-22579.248405486345</v>
      </c>
      <c r="T292" s="133" t="str">
        <f t="shared" si="176"/>
        <v>No Monetizar</v>
      </c>
      <c r="U292" s="293"/>
      <c r="V292" s="394">
        <v>45958</v>
      </c>
      <c r="W292" s="393" t="s">
        <v>275</v>
      </c>
      <c r="X292" s="393" t="s">
        <v>275</v>
      </c>
      <c r="Y292" s="393" t="s">
        <v>276</v>
      </c>
      <c r="Z292" s="211">
        <f t="shared" si="179"/>
        <v>4122778.8800000004</v>
      </c>
      <c r="AA292" s="225">
        <f t="shared" si="178"/>
        <v>81177.612800000235</v>
      </c>
      <c r="AF292" s="112"/>
    </row>
    <row r="293" spans="2:32" outlineLevel="1">
      <c r="B293" s="125">
        <v>262</v>
      </c>
      <c r="C293" s="214" t="s">
        <v>115</v>
      </c>
      <c r="D293" s="153">
        <v>6351</v>
      </c>
      <c r="E293" s="126">
        <v>45957</v>
      </c>
      <c r="F293" s="126">
        <v>45956</v>
      </c>
      <c r="G293" s="126"/>
      <c r="H293" s="126"/>
      <c r="I293" s="126"/>
      <c r="J293" s="208">
        <f t="shared" ca="1" si="166"/>
        <v>0</v>
      </c>
      <c r="K293" s="134">
        <v>476.02</v>
      </c>
      <c r="L293" s="134">
        <v>475.09804644827233</v>
      </c>
      <c r="M293" s="129">
        <f t="shared" si="171"/>
        <v>0.92195355172765403</v>
      </c>
      <c r="N293" s="130">
        <v>3778.14</v>
      </c>
      <c r="O293" s="130">
        <v>3839</v>
      </c>
      <c r="P293" s="168">
        <f t="shared" si="167"/>
        <v>60.860000000000127</v>
      </c>
      <c r="Q293" s="132">
        <f t="shared" si="163"/>
        <v>1798470.2027999999</v>
      </c>
      <c r="R293" s="132">
        <f t="shared" si="168"/>
        <v>1823901.4003149176</v>
      </c>
      <c r="S293" s="132">
        <f t="shared" si="153"/>
        <v>25431.197514917701</v>
      </c>
      <c r="T293" s="133" t="str">
        <f t="shared" si="170"/>
        <v>Monetizar</v>
      </c>
      <c r="U293" s="293"/>
      <c r="V293" s="394">
        <v>45958</v>
      </c>
      <c r="W293" s="393" t="s">
        <v>275</v>
      </c>
      <c r="X293" s="393" t="s">
        <v>275</v>
      </c>
      <c r="Y293" s="393" t="s">
        <v>276</v>
      </c>
      <c r="Z293" s="211">
        <f t="shared" si="179"/>
        <v>1827440.78</v>
      </c>
      <c r="AA293" s="225">
        <f t="shared" si="178"/>
        <v>28970.577200000174</v>
      </c>
      <c r="AF293" s="112"/>
    </row>
    <row r="294" spans="2:32" outlineLevel="1">
      <c r="B294" s="125">
        <v>263</v>
      </c>
      <c r="C294" s="214" t="s">
        <v>115</v>
      </c>
      <c r="D294" s="153" t="s">
        <v>383</v>
      </c>
      <c r="E294" s="126">
        <v>45957</v>
      </c>
      <c r="F294" s="126">
        <v>45956</v>
      </c>
      <c r="G294" s="126"/>
      <c r="H294" s="126"/>
      <c r="I294" s="126"/>
      <c r="J294" s="208">
        <f t="shared" ca="1" si="166"/>
        <v>0</v>
      </c>
      <c r="K294" s="134">
        <v>8684.5300000000007</v>
      </c>
      <c r="L294" s="134">
        <v>8667.7098384971541</v>
      </c>
      <c r="M294" s="129">
        <f t="shared" si="171"/>
        <v>16.820161502846531</v>
      </c>
      <c r="N294" s="130">
        <v>3778.14</v>
      </c>
      <c r="O294" s="130">
        <v>3839</v>
      </c>
      <c r="P294" s="168">
        <f t="shared" si="167"/>
        <v>60.860000000000127</v>
      </c>
      <c r="Q294" s="132">
        <f t="shared" si="163"/>
        <v>32811370.174200002</v>
      </c>
      <c r="R294" s="132">
        <f t="shared" si="168"/>
        <v>33275338.069990575</v>
      </c>
      <c r="S294" s="132">
        <f t="shared" si="153"/>
        <v>463967.89579057321</v>
      </c>
      <c r="T294" s="133" t="str">
        <f t="shared" si="170"/>
        <v>Monetizar</v>
      </c>
      <c r="U294" s="293"/>
      <c r="V294" s="394">
        <v>45958</v>
      </c>
      <c r="W294" s="393" t="s">
        <v>275</v>
      </c>
      <c r="X294" s="393" t="s">
        <v>275</v>
      </c>
      <c r="Y294" s="393" t="s">
        <v>276</v>
      </c>
      <c r="Z294" s="211">
        <f t="shared" si="179"/>
        <v>33339910.670000002</v>
      </c>
      <c r="AA294" s="225">
        <f t="shared" si="178"/>
        <v>528540.49579999968</v>
      </c>
      <c r="AF294" s="112"/>
    </row>
    <row r="295" spans="2:32" outlineLevel="1">
      <c r="B295" s="125">
        <v>264</v>
      </c>
      <c r="C295" s="214" t="s">
        <v>115</v>
      </c>
      <c r="D295" s="153" t="s">
        <v>384</v>
      </c>
      <c r="E295" s="126">
        <v>45957</v>
      </c>
      <c r="F295" s="126">
        <v>45956</v>
      </c>
      <c r="G295" s="126"/>
      <c r="H295" s="126"/>
      <c r="I295" s="126"/>
      <c r="J295" s="208">
        <f t="shared" ca="1" si="166"/>
        <v>0</v>
      </c>
      <c r="K295" s="134">
        <v>908.57</v>
      </c>
      <c r="L295" s="134">
        <v>906.81028541134162</v>
      </c>
      <c r="M295" s="129">
        <f t="shared" si="171"/>
        <v>1.7597145886584258</v>
      </c>
      <c r="N295" s="130">
        <v>3778.14</v>
      </c>
      <c r="O295" s="130">
        <v>3839</v>
      </c>
      <c r="P295" s="168">
        <f t="shared" si="167"/>
        <v>60.860000000000127</v>
      </c>
      <c r="Q295" s="132">
        <f t="shared" si="163"/>
        <v>3432704.6598</v>
      </c>
      <c r="R295" s="132">
        <f t="shared" si="168"/>
        <v>3481244.6856941404</v>
      </c>
      <c r="S295" s="132">
        <f t="shared" si="153"/>
        <v>48540.025894140359</v>
      </c>
      <c r="T295" s="133" t="str">
        <f t="shared" si="170"/>
        <v>Monetizar</v>
      </c>
      <c r="U295" s="293"/>
      <c r="V295" s="394">
        <v>45958</v>
      </c>
      <c r="W295" s="393" t="s">
        <v>275</v>
      </c>
      <c r="X295" s="393" t="s">
        <v>275</v>
      </c>
      <c r="Y295" s="393" t="s">
        <v>276</v>
      </c>
      <c r="Z295" s="211">
        <f t="shared" si="179"/>
        <v>3488000.23</v>
      </c>
      <c r="AA295" s="225">
        <f t="shared" si="178"/>
        <v>55295.570199999958</v>
      </c>
      <c r="AF295" s="112"/>
    </row>
    <row r="296" spans="2:32" outlineLevel="1">
      <c r="B296" s="125">
        <v>265</v>
      </c>
      <c r="C296" s="214" t="s">
        <v>115</v>
      </c>
      <c r="D296" s="153" t="s">
        <v>385</v>
      </c>
      <c r="E296" s="126">
        <v>45957</v>
      </c>
      <c r="F296" s="126">
        <v>45956</v>
      </c>
      <c r="G296" s="126"/>
      <c r="H296" s="126"/>
      <c r="I296" s="126"/>
      <c r="J296" s="208">
        <f t="shared" ca="1" si="166"/>
        <v>0</v>
      </c>
      <c r="K296" s="134">
        <v>267.54000000000002</v>
      </c>
      <c r="L296" s="134">
        <v>267.02182964323094</v>
      </c>
      <c r="M296" s="129">
        <f t="shared" si="171"/>
        <v>0.51817035676907608</v>
      </c>
      <c r="N296" s="130">
        <v>3778.14</v>
      </c>
      <c r="O296" s="130">
        <v>3839</v>
      </c>
      <c r="P296" s="168">
        <f t="shared" si="167"/>
        <v>60.860000000000127</v>
      </c>
      <c r="Q296" s="132">
        <f t="shared" si="163"/>
        <v>1010803.5756000001</v>
      </c>
      <c r="R296" s="132">
        <f t="shared" si="168"/>
        <v>1025096.8040003636</v>
      </c>
      <c r="S296" s="132">
        <f t="shared" si="153"/>
        <v>14293.22840036347</v>
      </c>
      <c r="T296" s="133" t="str">
        <f t="shared" si="170"/>
        <v>Monetizar</v>
      </c>
      <c r="U296" s="293"/>
      <c r="V296" s="394">
        <v>45958</v>
      </c>
      <c r="W296" s="393" t="s">
        <v>275</v>
      </c>
      <c r="X296" s="393" t="s">
        <v>275</v>
      </c>
      <c r="Y296" s="393" t="s">
        <v>276</v>
      </c>
      <c r="Z296" s="211">
        <f t="shared" si="179"/>
        <v>1027086.06</v>
      </c>
      <c r="AA296" s="225">
        <f t="shared" si="178"/>
        <v>16282.484399999958</v>
      </c>
      <c r="AF296" s="112"/>
    </row>
    <row r="297" spans="2:32" outlineLevel="1">
      <c r="B297" s="125">
        <v>266</v>
      </c>
      <c r="C297" s="120" t="s">
        <v>117</v>
      </c>
      <c r="D297" s="153">
        <v>6399</v>
      </c>
      <c r="E297" s="126">
        <v>45961</v>
      </c>
      <c r="F297" s="126">
        <v>46021</v>
      </c>
      <c r="G297" s="126"/>
      <c r="H297" s="126"/>
      <c r="I297" s="126"/>
      <c r="J297" s="208">
        <f t="shared" ca="1" si="166"/>
        <v>0</v>
      </c>
      <c r="K297" s="134">
        <v>5652.5</v>
      </c>
      <c r="L297" s="134">
        <v>5651.3515153872404</v>
      </c>
      <c r="M297" s="129">
        <f t="shared" si="171"/>
        <v>1.1484846127596029</v>
      </c>
      <c r="N297" s="130">
        <v>3777.97</v>
      </c>
      <c r="O297" s="130">
        <v>3851</v>
      </c>
      <c r="P297" s="168">
        <f t="shared" si="167"/>
        <v>73.0300000000002</v>
      </c>
      <c r="Q297" s="132">
        <f t="shared" si="163"/>
        <v>21354975.424999997</v>
      </c>
      <c r="R297" s="132">
        <f t="shared" si="168"/>
        <v>21763354.685756262</v>
      </c>
      <c r="S297" s="132">
        <f t="shared" si="153"/>
        <v>408379.26075626537</v>
      </c>
      <c r="T297" s="133" t="str">
        <f t="shared" si="170"/>
        <v>Monetizar</v>
      </c>
      <c r="U297" s="293"/>
      <c r="V297" s="394">
        <v>45961</v>
      </c>
      <c r="W297" s="393" t="s">
        <v>275</v>
      </c>
      <c r="X297" s="393" t="s">
        <v>275</v>
      </c>
      <c r="Y297" s="393" t="s">
        <v>276</v>
      </c>
      <c r="Z297" s="211">
        <f t="shared" ref="Z297:Z298" si="180">K297*O297</f>
        <v>21767777.5</v>
      </c>
      <c r="AA297" s="225">
        <f t="shared" si="178"/>
        <v>412802.07500000298</v>
      </c>
      <c r="AF297" s="112"/>
    </row>
    <row r="298" spans="2:32" outlineLevel="1">
      <c r="B298" s="125">
        <v>267</v>
      </c>
      <c r="C298" s="120" t="s">
        <v>117</v>
      </c>
      <c r="D298" s="153" t="s">
        <v>386</v>
      </c>
      <c r="E298" s="126">
        <v>45961</v>
      </c>
      <c r="F298" s="126">
        <v>46021</v>
      </c>
      <c r="G298" s="126"/>
      <c r="H298" s="126"/>
      <c r="I298" s="126"/>
      <c r="J298" s="208">
        <f t="shared" ca="1" si="166"/>
        <v>0</v>
      </c>
      <c r="K298" s="134">
        <v>166607.1</v>
      </c>
      <c r="L298" s="134">
        <v>166573.24848461276</v>
      </c>
      <c r="M298" s="129">
        <f t="shared" si="171"/>
        <v>33.851515387243126</v>
      </c>
      <c r="N298" s="130">
        <v>3777.97</v>
      </c>
      <c r="O298" s="130">
        <v>3851</v>
      </c>
      <c r="P298" s="168">
        <f t="shared" si="167"/>
        <v>73.0300000000002</v>
      </c>
      <c r="Q298" s="132">
        <f t="shared" si="163"/>
        <v>629436625.58700001</v>
      </c>
      <c r="R298" s="132">
        <f t="shared" si="168"/>
        <v>641473579.9142437</v>
      </c>
      <c r="S298" s="132">
        <f t="shared" si="153"/>
        <v>12036954.327243686</v>
      </c>
      <c r="T298" s="133" t="str">
        <f t="shared" si="170"/>
        <v>Monetizar</v>
      </c>
      <c r="U298" s="293"/>
      <c r="V298" s="394">
        <v>45961</v>
      </c>
      <c r="W298" s="393" t="s">
        <v>275</v>
      </c>
      <c r="X298" s="393" t="s">
        <v>275</v>
      </c>
      <c r="Y298" s="393" t="s">
        <v>276</v>
      </c>
      <c r="Z298" s="211">
        <f t="shared" si="180"/>
        <v>641603942.10000002</v>
      </c>
      <c r="AA298" s="225">
        <f t="shared" si="178"/>
        <v>12167316.513000011</v>
      </c>
      <c r="AF298" s="112"/>
    </row>
    <row r="299" spans="2:32" ht="15" customHeight="1" outlineLevel="1">
      <c r="B299" s="125">
        <v>268</v>
      </c>
      <c r="C299" s="120" t="s">
        <v>277</v>
      </c>
      <c r="D299" s="153" t="s">
        <v>387</v>
      </c>
      <c r="E299" s="126">
        <v>45960</v>
      </c>
      <c r="F299" s="126">
        <v>46020</v>
      </c>
      <c r="G299" s="126"/>
      <c r="H299" s="126"/>
      <c r="I299" s="126"/>
      <c r="J299" s="208">
        <f t="shared" ca="1" si="166"/>
        <v>0</v>
      </c>
      <c r="K299" s="134">
        <v>2981.05</v>
      </c>
      <c r="L299" s="134">
        <v>2981.05</v>
      </c>
      <c r="M299" s="129">
        <f t="shared" si="171"/>
        <v>0</v>
      </c>
      <c r="N299" s="130">
        <v>3751.51</v>
      </c>
      <c r="O299" s="130">
        <v>3850</v>
      </c>
      <c r="P299" s="168">
        <f t="shared" si="167"/>
        <v>98.489999999999782</v>
      </c>
      <c r="Q299" s="132">
        <f t="shared" si="163"/>
        <v>11183438.885500001</v>
      </c>
      <c r="R299" s="132">
        <f t="shared" si="168"/>
        <v>11477042.5</v>
      </c>
      <c r="S299" s="132">
        <f t="shared" ref="S299:S342" si="181">R299-Q299</f>
        <v>293603.61449999921</v>
      </c>
      <c r="T299" s="133" t="str">
        <f t="shared" si="170"/>
        <v>Monetizar</v>
      </c>
      <c r="U299" s="293"/>
      <c r="V299" s="394">
        <v>45961</v>
      </c>
      <c r="W299" s="393" t="s">
        <v>275</v>
      </c>
      <c r="X299" s="393" t="s">
        <v>275</v>
      </c>
      <c r="Y299" s="393" t="s">
        <v>276</v>
      </c>
      <c r="Z299" s="211">
        <f t="shared" ref="Z299" si="182">K299*O299</f>
        <v>11477042.5</v>
      </c>
      <c r="AA299" s="225">
        <f t="shared" si="178"/>
        <v>293603.61449999921</v>
      </c>
      <c r="AF299" s="112"/>
    </row>
    <row r="300" spans="2:32" ht="15" customHeight="1" outlineLevel="1">
      <c r="B300" s="125">
        <v>269</v>
      </c>
      <c r="C300" s="120" t="s">
        <v>306</v>
      </c>
      <c r="D300" s="153" t="s">
        <v>388</v>
      </c>
      <c r="E300" s="126">
        <v>45902</v>
      </c>
      <c r="F300" s="126">
        <v>45962</v>
      </c>
      <c r="G300" s="126"/>
      <c r="H300" s="126"/>
      <c r="I300" s="126"/>
      <c r="J300" s="208">
        <f t="shared" ca="1" si="166"/>
        <v>0</v>
      </c>
      <c r="K300" s="134">
        <v>10959.130000000001</v>
      </c>
      <c r="L300" s="134">
        <v>10959.130000000001</v>
      </c>
      <c r="M300" s="129">
        <f t="shared" si="171"/>
        <v>0</v>
      </c>
      <c r="N300" s="130">
        <v>4106.79</v>
      </c>
      <c r="O300" s="130">
        <v>3845</v>
      </c>
      <c r="P300" s="168">
        <f t="shared" si="167"/>
        <v>-261.78999999999996</v>
      </c>
      <c r="Q300" s="132">
        <f t="shared" si="163"/>
        <v>45006845.492700003</v>
      </c>
      <c r="R300" s="132">
        <f t="shared" si="168"/>
        <v>42137854.850000001</v>
      </c>
      <c r="S300" s="132">
        <f t="shared" si="181"/>
        <v>-2868990.6427000016</v>
      </c>
      <c r="T300" s="133" t="str">
        <f t="shared" si="170"/>
        <v>No Monetizar</v>
      </c>
      <c r="U300" s="209"/>
      <c r="V300" s="394">
        <v>45961</v>
      </c>
      <c r="W300" s="393" t="s">
        <v>275</v>
      </c>
      <c r="X300" s="393" t="s">
        <v>275</v>
      </c>
      <c r="Y300" s="399" t="s">
        <v>389</v>
      </c>
      <c r="Z300" s="211">
        <f t="shared" ref="Z300:Z331" si="183">K300*O300</f>
        <v>42137854.850000001</v>
      </c>
      <c r="AA300" s="225">
        <f t="shared" si="178"/>
        <v>-2868990.6427000016</v>
      </c>
      <c r="AF300" s="112"/>
    </row>
    <row r="301" spans="2:32" ht="15" customHeight="1" outlineLevel="1">
      <c r="B301" s="125">
        <v>270</v>
      </c>
      <c r="C301" s="120" t="s">
        <v>306</v>
      </c>
      <c r="D301" s="153" t="s">
        <v>390</v>
      </c>
      <c r="E301" s="126">
        <v>45902</v>
      </c>
      <c r="F301" s="126">
        <v>45962</v>
      </c>
      <c r="G301" s="126"/>
      <c r="H301" s="126"/>
      <c r="I301" s="126"/>
      <c r="J301" s="208">
        <f t="shared" ca="1" si="166"/>
        <v>0</v>
      </c>
      <c r="K301" s="134">
        <v>11156.37</v>
      </c>
      <c r="L301" s="134">
        <v>11156.37</v>
      </c>
      <c r="M301" s="129">
        <f t="shared" si="171"/>
        <v>0</v>
      </c>
      <c r="N301" s="130">
        <v>4042.87</v>
      </c>
      <c r="O301" s="130">
        <v>3845</v>
      </c>
      <c r="P301" s="168">
        <f t="shared" si="167"/>
        <v>-197.86999999999989</v>
      </c>
      <c r="Q301" s="132">
        <f t="shared" si="163"/>
        <v>45103753.581900001</v>
      </c>
      <c r="R301" s="132">
        <f t="shared" si="168"/>
        <v>42896242.650000006</v>
      </c>
      <c r="S301" s="132">
        <f t="shared" si="181"/>
        <v>-2207510.9318999946</v>
      </c>
      <c r="T301" s="133" t="str">
        <f t="shared" si="170"/>
        <v>No Monetizar</v>
      </c>
      <c r="U301" s="209"/>
      <c r="V301" s="394">
        <v>45961</v>
      </c>
      <c r="W301" s="393" t="s">
        <v>275</v>
      </c>
      <c r="X301" s="393" t="s">
        <v>275</v>
      </c>
      <c r="Y301" s="399" t="s">
        <v>389</v>
      </c>
      <c r="Z301" s="211">
        <f t="shared" si="183"/>
        <v>42896242.650000006</v>
      </c>
      <c r="AA301" s="225">
        <f t="shared" si="178"/>
        <v>-2207510.9318999946</v>
      </c>
      <c r="AF301" s="112"/>
    </row>
    <row r="302" spans="2:32" ht="15" customHeight="1" outlineLevel="1">
      <c r="B302" s="125">
        <v>271</v>
      </c>
      <c r="C302" s="120" t="s">
        <v>304</v>
      </c>
      <c r="D302" s="153" t="s">
        <v>391</v>
      </c>
      <c r="E302" s="126">
        <v>45902</v>
      </c>
      <c r="F302" s="126">
        <v>45962</v>
      </c>
      <c r="G302" s="126"/>
      <c r="H302" s="126"/>
      <c r="I302" s="126"/>
      <c r="J302" s="208">
        <f t="shared" ca="1" si="166"/>
        <v>0</v>
      </c>
      <c r="K302" s="134">
        <v>10274.27</v>
      </c>
      <c r="L302" s="134">
        <v>10266.27</v>
      </c>
      <c r="M302" s="129">
        <f t="shared" si="171"/>
        <v>8</v>
      </c>
      <c r="N302" s="130">
        <v>4106.79</v>
      </c>
      <c r="O302" s="130">
        <v>3845</v>
      </c>
      <c r="P302" s="168">
        <f t="shared" si="167"/>
        <v>-261.78999999999996</v>
      </c>
      <c r="Q302" s="132">
        <f t="shared" si="163"/>
        <v>42194269.293300003</v>
      </c>
      <c r="R302" s="132">
        <f t="shared" si="168"/>
        <v>39473808.149999999</v>
      </c>
      <c r="S302" s="132">
        <f t="shared" si="181"/>
        <v>-2720461.1433000043</v>
      </c>
      <c r="T302" s="133" t="str">
        <f t="shared" si="170"/>
        <v>No Monetizar</v>
      </c>
      <c r="U302" s="209"/>
      <c r="V302" s="394">
        <v>45961</v>
      </c>
      <c r="W302" s="393" t="s">
        <v>275</v>
      </c>
      <c r="X302" s="393" t="s">
        <v>275</v>
      </c>
      <c r="Y302" s="399" t="s">
        <v>392</v>
      </c>
      <c r="Z302" s="211">
        <f t="shared" si="183"/>
        <v>39504568.149999999</v>
      </c>
      <c r="AA302" s="225">
        <f t="shared" si="178"/>
        <v>-2689701.1433000043</v>
      </c>
      <c r="AF302" s="112"/>
    </row>
    <row r="303" spans="2:32" ht="15" customHeight="1" outlineLevel="1">
      <c r="B303" s="125">
        <v>272</v>
      </c>
      <c r="C303" s="120" t="s">
        <v>304</v>
      </c>
      <c r="D303" s="153" t="s">
        <v>393</v>
      </c>
      <c r="E303" s="126">
        <v>45902</v>
      </c>
      <c r="F303" s="126">
        <v>45962</v>
      </c>
      <c r="G303" s="126"/>
      <c r="H303" s="126"/>
      <c r="I303" s="126"/>
      <c r="J303" s="208">
        <f t="shared" ca="1" si="166"/>
        <v>0</v>
      </c>
      <c r="K303" s="134">
        <v>10655.230000000001</v>
      </c>
      <c r="L303" s="134">
        <v>10648.23</v>
      </c>
      <c r="M303" s="129">
        <f t="shared" si="171"/>
        <v>7.000000000001819</v>
      </c>
      <c r="N303" s="130">
        <v>4042.87</v>
      </c>
      <c r="O303" s="130">
        <v>3845</v>
      </c>
      <c r="P303" s="168">
        <f t="shared" si="167"/>
        <v>-197.86999999999989</v>
      </c>
      <c r="Q303" s="132">
        <f t="shared" si="163"/>
        <v>43077709.710100003</v>
      </c>
      <c r="R303" s="132">
        <f t="shared" si="168"/>
        <v>40942444.350000001</v>
      </c>
      <c r="S303" s="132">
        <f t="shared" si="181"/>
        <v>-2135265.3601000011</v>
      </c>
      <c r="T303" s="133" t="str">
        <f t="shared" si="170"/>
        <v>No Monetizar</v>
      </c>
      <c r="U303" s="209"/>
      <c r="V303" s="394">
        <v>45961</v>
      </c>
      <c r="W303" s="393" t="s">
        <v>275</v>
      </c>
      <c r="X303" s="393" t="s">
        <v>275</v>
      </c>
      <c r="Y303" s="399" t="s">
        <v>392</v>
      </c>
      <c r="Z303" s="211">
        <f t="shared" si="183"/>
        <v>40969359.350000009</v>
      </c>
      <c r="AA303" s="225">
        <f t="shared" si="178"/>
        <v>-2108350.3600999936</v>
      </c>
      <c r="AF303" s="112"/>
    </row>
    <row r="304" spans="2:32" ht="15" customHeight="1" outlineLevel="1">
      <c r="B304" s="125">
        <v>273</v>
      </c>
      <c r="C304" s="120" t="s">
        <v>265</v>
      </c>
      <c r="D304" s="153">
        <v>6363</v>
      </c>
      <c r="E304" s="126">
        <v>45960</v>
      </c>
      <c r="F304" s="126">
        <v>46020</v>
      </c>
      <c r="G304" s="126"/>
      <c r="H304" s="126"/>
      <c r="I304" s="126"/>
      <c r="J304" s="208">
        <f t="shared" ref="J304:J325" ca="1" si="184">IFERROR(IF(TODAY()&gt;=E304,(TODAY()-E304)/I304,0),0)</f>
        <v>0</v>
      </c>
      <c r="K304" s="134">
        <f>597.71-16.62</f>
        <v>581.09</v>
      </c>
      <c r="L304" s="134">
        <f>597.71-16.62</f>
        <v>581.09</v>
      </c>
      <c r="M304" s="129">
        <f t="shared" si="171"/>
        <v>0</v>
      </c>
      <c r="N304" s="130">
        <v>3834.98</v>
      </c>
      <c r="O304" s="130">
        <v>3785.58</v>
      </c>
      <c r="P304" s="168">
        <f t="shared" si="167"/>
        <v>-49.400000000000091</v>
      </c>
      <c r="Q304" s="132">
        <f t="shared" si="163"/>
        <v>2228468.5282000001</v>
      </c>
      <c r="R304" s="132">
        <f t="shared" si="168"/>
        <v>2199762.6822000002</v>
      </c>
      <c r="S304" s="132">
        <f t="shared" si="181"/>
        <v>-28705.845999999903</v>
      </c>
      <c r="T304" s="133" t="str">
        <f t="shared" si="170"/>
        <v>No Monetizar</v>
      </c>
      <c r="U304" s="209"/>
      <c r="V304" s="394">
        <v>45961</v>
      </c>
      <c r="W304" s="393" t="s">
        <v>275</v>
      </c>
      <c r="X304" s="393" t="s">
        <v>275</v>
      </c>
      <c r="Y304" s="399" t="s">
        <v>392</v>
      </c>
      <c r="Z304" s="211">
        <f t="shared" si="183"/>
        <v>2199762.6822000002</v>
      </c>
      <c r="AA304" s="225">
        <f t="shared" si="178"/>
        <v>-28705.845999999903</v>
      </c>
      <c r="AF304" s="112"/>
    </row>
    <row r="305" spans="2:32" ht="15" customHeight="1" outlineLevel="1">
      <c r="B305" s="125">
        <v>274</v>
      </c>
      <c r="C305" s="120" t="s">
        <v>265</v>
      </c>
      <c r="D305" s="153" t="s">
        <v>266</v>
      </c>
      <c r="E305" s="126">
        <v>45960</v>
      </c>
      <c r="F305" s="126">
        <v>46020</v>
      </c>
      <c r="G305" s="126"/>
      <c r="H305" s="126"/>
      <c r="I305" s="126"/>
      <c r="J305" s="208">
        <f t="shared" ca="1" si="184"/>
        <v>0</v>
      </c>
      <c r="K305" s="134">
        <v>10565.04</v>
      </c>
      <c r="L305" s="134">
        <v>10565.04</v>
      </c>
      <c r="M305" s="129">
        <f t="shared" si="171"/>
        <v>0</v>
      </c>
      <c r="N305" s="130">
        <v>3834.98</v>
      </c>
      <c r="O305" s="130">
        <v>3785.58</v>
      </c>
      <c r="P305" s="168">
        <f t="shared" si="167"/>
        <v>-49.400000000000091</v>
      </c>
      <c r="Q305" s="132">
        <f t="shared" si="163"/>
        <v>40516717.099200003</v>
      </c>
      <c r="R305" s="132">
        <f t="shared" si="168"/>
        <v>39994804.123199999</v>
      </c>
      <c r="S305" s="132">
        <f t="shared" si="181"/>
        <v>-521912.97600000352</v>
      </c>
      <c r="T305" s="133" t="str">
        <f t="shared" si="170"/>
        <v>No Monetizar</v>
      </c>
      <c r="U305" s="209"/>
      <c r="V305" s="394">
        <v>45961</v>
      </c>
      <c r="W305" s="393" t="s">
        <v>275</v>
      </c>
      <c r="X305" s="393" t="s">
        <v>275</v>
      </c>
      <c r="Y305" s="399" t="s">
        <v>392</v>
      </c>
      <c r="Z305" s="211">
        <f t="shared" si="183"/>
        <v>39994804.123199999</v>
      </c>
      <c r="AA305" s="225">
        <f t="shared" si="178"/>
        <v>-521912.97600000352</v>
      </c>
      <c r="AF305" s="112"/>
    </row>
    <row r="306" spans="2:32" outlineLevel="1">
      <c r="B306" s="125">
        <v>275</v>
      </c>
      <c r="C306" s="120" t="s">
        <v>116</v>
      </c>
      <c r="D306" s="153">
        <v>6445</v>
      </c>
      <c r="E306" s="126">
        <v>45979</v>
      </c>
      <c r="F306" s="311">
        <v>46039</v>
      </c>
      <c r="G306" s="126"/>
      <c r="H306" s="126"/>
      <c r="I306" s="127"/>
      <c r="J306" s="208">
        <f t="shared" ca="1" si="184"/>
        <v>0</v>
      </c>
      <c r="K306" s="134">
        <v>344.87</v>
      </c>
      <c r="L306" s="134">
        <v>344.04431807680061</v>
      </c>
      <c r="M306" s="129">
        <f t="shared" si="171"/>
        <v>0.82568192319939726</v>
      </c>
      <c r="N306" s="130">
        <v>3682.4</v>
      </c>
      <c r="O306" s="219">
        <v>3723.91</v>
      </c>
      <c r="P306" s="168">
        <f t="shared" si="167"/>
        <v>41.509999999999764</v>
      </c>
      <c r="Q306" s="168">
        <f t="shared" ref="Q306:R311" si="185">K306*N306</f>
        <v>1269949.2879999999</v>
      </c>
      <c r="R306" s="168">
        <f t="shared" si="185"/>
        <v>1281190.0765293785</v>
      </c>
      <c r="S306" s="168">
        <f t="shared" si="181"/>
        <v>11240.788529378595</v>
      </c>
      <c r="T306" s="216" t="str">
        <f t="shared" si="170"/>
        <v>Monetizar</v>
      </c>
      <c r="U306" s="293"/>
      <c r="V306" s="394">
        <v>45981</v>
      </c>
      <c r="W306" s="393" t="s">
        <v>275</v>
      </c>
      <c r="X306" s="393" t="s">
        <v>275</v>
      </c>
      <c r="Y306" s="393" t="s">
        <v>276</v>
      </c>
      <c r="Z306" s="211">
        <f t="shared" si="183"/>
        <v>1284264.8417</v>
      </c>
      <c r="AA306" s="225">
        <f t="shared" si="178"/>
        <v>14315.553700000048</v>
      </c>
      <c r="AF306" s="112"/>
    </row>
    <row r="307" spans="2:32" outlineLevel="1">
      <c r="B307" s="125">
        <v>276</v>
      </c>
      <c r="C307" s="120" t="s">
        <v>116</v>
      </c>
      <c r="D307" s="153" t="s">
        <v>394</v>
      </c>
      <c r="E307" s="126">
        <v>45979</v>
      </c>
      <c r="F307" s="311">
        <v>46039</v>
      </c>
      <c r="G307" s="126"/>
      <c r="H307" s="126"/>
      <c r="I307" s="127"/>
      <c r="J307" s="208">
        <f t="shared" ca="1" si="184"/>
        <v>0</v>
      </c>
      <c r="K307" s="134">
        <v>3831.92</v>
      </c>
      <c r="L307" s="134">
        <v>3822.7456819231993</v>
      </c>
      <c r="M307" s="129">
        <f t="shared" si="171"/>
        <v>9.1743180768007733</v>
      </c>
      <c r="N307" s="130">
        <v>3682.4</v>
      </c>
      <c r="O307" s="219">
        <v>3723.91</v>
      </c>
      <c r="P307" s="168">
        <f t="shared" si="167"/>
        <v>41.509999999999764</v>
      </c>
      <c r="Q307" s="168">
        <f t="shared" si="185"/>
        <v>14110662.208000001</v>
      </c>
      <c r="R307" s="168">
        <f t="shared" si="185"/>
        <v>14235560.872370621</v>
      </c>
      <c r="S307" s="168">
        <f t="shared" si="181"/>
        <v>124898.66437062062</v>
      </c>
      <c r="T307" s="216" t="str">
        <f t="shared" si="170"/>
        <v>Monetizar</v>
      </c>
      <c r="U307" s="293"/>
      <c r="V307" s="394">
        <v>45981</v>
      </c>
      <c r="W307" s="393" t="s">
        <v>275</v>
      </c>
      <c r="X307" s="393" t="s">
        <v>275</v>
      </c>
      <c r="Y307" s="393" t="s">
        <v>276</v>
      </c>
      <c r="Z307" s="211">
        <f t="shared" si="183"/>
        <v>14269725.2072</v>
      </c>
      <c r="AA307" s="225">
        <f t="shared" si="178"/>
        <v>159062.9991999995</v>
      </c>
      <c r="AF307" s="112"/>
    </row>
    <row r="308" spans="2:32" outlineLevel="1">
      <c r="B308" s="125">
        <v>277</v>
      </c>
      <c r="C308" s="120" t="s">
        <v>310</v>
      </c>
      <c r="D308" s="153">
        <v>6452</v>
      </c>
      <c r="E308" s="126">
        <v>45980</v>
      </c>
      <c r="F308" s="311">
        <v>46040</v>
      </c>
      <c r="G308" s="126"/>
      <c r="H308" s="126"/>
      <c r="I308" s="127"/>
      <c r="J308" s="208">
        <f t="shared" ca="1" si="184"/>
        <v>0</v>
      </c>
      <c r="K308" s="134">
        <v>178.5</v>
      </c>
      <c r="L308" s="134">
        <v>178.5</v>
      </c>
      <c r="M308" s="129">
        <f t="shared" ref="M308:M309" si="186">K308-L308</f>
        <v>0</v>
      </c>
      <c r="N308" s="130">
        <v>3663.81</v>
      </c>
      <c r="O308" s="219">
        <v>3723.91</v>
      </c>
      <c r="P308" s="168">
        <f t="shared" si="167"/>
        <v>60.099999999999909</v>
      </c>
      <c r="Q308" s="168">
        <f t="shared" si="185"/>
        <v>653990.08499999996</v>
      </c>
      <c r="R308" s="168">
        <f t="shared" si="185"/>
        <v>664717.93499999994</v>
      </c>
      <c r="S308" s="168">
        <f t="shared" ref="S308:S309" si="187">R308-Q308</f>
        <v>10727.849999999977</v>
      </c>
      <c r="T308" s="216" t="str">
        <f t="shared" ref="T308:T309" si="188">IF(R308&lt;= Q308,"No Monetizar","Monetizar")</f>
        <v>Monetizar</v>
      </c>
      <c r="U308" s="293"/>
      <c r="V308" s="394">
        <v>45981</v>
      </c>
      <c r="W308" s="393" t="s">
        <v>275</v>
      </c>
      <c r="X308" s="393" t="s">
        <v>275</v>
      </c>
      <c r="Y308" s="393" t="s">
        <v>276</v>
      </c>
      <c r="Z308" s="211">
        <f t="shared" si="183"/>
        <v>664717.93499999994</v>
      </c>
      <c r="AA308" s="225">
        <f t="shared" si="178"/>
        <v>10727.849999999977</v>
      </c>
      <c r="AF308" s="112"/>
    </row>
    <row r="309" spans="2:32" outlineLevel="1">
      <c r="B309" s="125">
        <v>278</v>
      </c>
      <c r="C309" s="120" t="s">
        <v>310</v>
      </c>
      <c r="D309" s="153" t="s">
        <v>395</v>
      </c>
      <c r="E309" s="126">
        <v>45980</v>
      </c>
      <c r="F309" s="311">
        <v>46040</v>
      </c>
      <c r="G309" s="126"/>
      <c r="H309" s="126"/>
      <c r="I309" s="127"/>
      <c r="J309" s="208">
        <f t="shared" ca="1" si="184"/>
        <v>0</v>
      </c>
      <c r="K309" s="134">
        <v>1408.82</v>
      </c>
      <c r="L309" s="134">
        <v>1408.82</v>
      </c>
      <c r="M309" s="129">
        <f t="shared" si="186"/>
        <v>0</v>
      </c>
      <c r="N309" s="130">
        <v>3663.81</v>
      </c>
      <c r="O309" s="219">
        <v>3723.91</v>
      </c>
      <c r="P309" s="168">
        <f t="shared" si="167"/>
        <v>60.099999999999909</v>
      </c>
      <c r="Q309" s="168">
        <f t="shared" si="185"/>
        <v>5161648.8042000001</v>
      </c>
      <c r="R309" s="168">
        <f t="shared" si="185"/>
        <v>5246318.8861999996</v>
      </c>
      <c r="S309" s="168">
        <f t="shared" si="187"/>
        <v>84670.081999999471</v>
      </c>
      <c r="T309" s="216" t="str">
        <f t="shared" si="188"/>
        <v>Monetizar</v>
      </c>
      <c r="U309" s="293"/>
      <c r="V309" s="394">
        <v>45981</v>
      </c>
      <c r="W309" s="393" t="s">
        <v>275</v>
      </c>
      <c r="X309" s="393" t="s">
        <v>275</v>
      </c>
      <c r="Y309" s="393" t="s">
        <v>276</v>
      </c>
      <c r="Z309" s="211">
        <f t="shared" si="183"/>
        <v>5246318.8861999996</v>
      </c>
      <c r="AA309" s="225">
        <f t="shared" si="178"/>
        <v>84670.081999999471</v>
      </c>
      <c r="AF309" s="112"/>
    </row>
    <row r="310" spans="2:32" outlineLevel="1">
      <c r="B310" s="125">
        <v>279</v>
      </c>
      <c r="C310" s="120" t="s">
        <v>279</v>
      </c>
      <c r="D310" s="153">
        <v>6446</v>
      </c>
      <c r="E310" s="126">
        <v>45981</v>
      </c>
      <c r="F310" s="311">
        <v>46041</v>
      </c>
      <c r="G310" s="126"/>
      <c r="H310" s="126"/>
      <c r="I310" s="127"/>
      <c r="J310" s="208">
        <f t="shared" ca="1" si="184"/>
        <v>0</v>
      </c>
      <c r="K310" s="134">
        <v>972.34</v>
      </c>
      <c r="L310" s="134">
        <v>971.49094454952046</v>
      </c>
      <c r="M310" s="129">
        <f t="shared" ref="M310:M313" si="189">K310-L310</f>
        <v>0.84905545047956821</v>
      </c>
      <c r="N310" s="130">
        <v>3682.4</v>
      </c>
      <c r="O310" s="219">
        <v>3723.91</v>
      </c>
      <c r="P310" s="168">
        <f t="shared" si="167"/>
        <v>41.509999999999764</v>
      </c>
      <c r="Q310" s="168">
        <f t="shared" si="185"/>
        <v>3580544.8160000001</v>
      </c>
      <c r="R310" s="168">
        <f t="shared" si="185"/>
        <v>3617744.8433174044</v>
      </c>
      <c r="S310" s="168">
        <f t="shared" ref="S310:S311" si="190">R310-Q310</f>
        <v>37200.027317404281</v>
      </c>
      <c r="T310" s="216" t="str">
        <f t="shared" ref="T310:T311" si="191">IF(R310&lt;= Q310,"No Monetizar","Monetizar")</f>
        <v>Monetizar</v>
      </c>
      <c r="U310" s="293"/>
      <c r="V310" s="394">
        <v>45981</v>
      </c>
      <c r="W310" s="393" t="s">
        <v>275</v>
      </c>
      <c r="X310" s="393" t="s">
        <v>275</v>
      </c>
      <c r="Y310" s="393" t="s">
        <v>276</v>
      </c>
      <c r="Z310" s="211">
        <f t="shared" si="183"/>
        <v>3620906.6494</v>
      </c>
      <c r="AA310" s="225">
        <f t="shared" si="178"/>
        <v>40361.833399999887</v>
      </c>
      <c r="AF310" s="112"/>
    </row>
    <row r="311" spans="2:32" outlineLevel="1">
      <c r="B311" s="125">
        <v>280</v>
      </c>
      <c r="C311" s="120" t="s">
        <v>279</v>
      </c>
      <c r="D311" s="153" t="s">
        <v>396</v>
      </c>
      <c r="E311" s="126">
        <v>45981</v>
      </c>
      <c r="F311" s="311">
        <v>46041</v>
      </c>
      <c r="G311" s="126"/>
      <c r="H311" s="126"/>
      <c r="I311" s="127"/>
      <c r="J311" s="208">
        <f t="shared" ca="1" si="184"/>
        <v>0</v>
      </c>
      <c r="K311" s="134">
        <v>16205.69</v>
      </c>
      <c r="L311" s="134">
        <v>16191.539055450479</v>
      </c>
      <c r="M311" s="129">
        <f t="shared" si="189"/>
        <v>14.150944549521228</v>
      </c>
      <c r="N311" s="130">
        <v>3682.4</v>
      </c>
      <c r="O311" s="219">
        <v>3723.91</v>
      </c>
      <c r="P311" s="168">
        <f t="shared" si="167"/>
        <v>41.509999999999764</v>
      </c>
      <c r="Q311" s="168">
        <f t="shared" si="185"/>
        <v>59675832.856000006</v>
      </c>
      <c r="R311" s="168">
        <f t="shared" si="185"/>
        <v>60295834.203982592</v>
      </c>
      <c r="S311" s="168">
        <f t="shared" si="190"/>
        <v>620001.34798258543</v>
      </c>
      <c r="T311" s="216" t="str">
        <f t="shared" si="191"/>
        <v>Monetizar</v>
      </c>
      <c r="U311" s="293"/>
      <c r="V311" s="394">
        <v>45981</v>
      </c>
      <c r="W311" s="393" t="s">
        <v>275</v>
      </c>
      <c r="X311" s="393" t="s">
        <v>275</v>
      </c>
      <c r="Y311" s="393" t="s">
        <v>276</v>
      </c>
      <c r="Z311" s="211">
        <f t="shared" si="183"/>
        <v>60348531.047899999</v>
      </c>
      <c r="AA311" s="225">
        <f t="shared" si="178"/>
        <v>672698.19189999253</v>
      </c>
      <c r="AF311" s="112"/>
    </row>
    <row r="312" spans="2:32" outlineLevel="1">
      <c r="B312" s="125">
        <v>281</v>
      </c>
      <c r="C312" s="120" t="s">
        <v>287</v>
      </c>
      <c r="D312" s="153">
        <v>6349</v>
      </c>
      <c r="E312" s="126">
        <v>45973</v>
      </c>
      <c r="F312" s="126">
        <v>46033</v>
      </c>
      <c r="G312" s="126"/>
      <c r="H312" s="126"/>
      <c r="I312" s="127"/>
      <c r="J312" s="208">
        <f t="shared" ca="1" si="184"/>
        <v>0</v>
      </c>
      <c r="K312" s="134">
        <v>113.59</v>
      </c>
      <c r="L312" s="134">
        <v>113.59</v>
      </c>
      <c r="M312" s="129">
        <f t="shared" si="189"/>
        <v>0</v>
      </c>
      <c r="N312" s="130">
        <v>3763.41</v>
      </c>
      <c r="O312" s="219">
        <v>3723.91</v>
      </c>
      <c r="P312" s="168">
        <f t="shared" si="167"/>
        <v>-39.5</v>
      </c>
      <c r="Q312" s="132">
        <f t="shared" si="163"/>
        <v>427485.74190000002</v>
      </c>
      <c r="R312" s="132">
        <f t="shared" ref="R312:R327" si="192">L312*O312</f>
        <v>422998.93689999997</v>
      </c>
      <c r="S312" s="132">
        <f t="shared" si="181"/>
        <v>-4486.8050000000512</v>
      </c>
      <c r="T312" s="133" t="str">
        <f t="shared" si="170"/>
        <v>No Monetizar</v>
      </c>
      <c r="U312" s="293"/>
      <c r="V312" s="394">
        <v>45982</v>
      </c>
      <c r="W312" s="393" t="s">
        <v>275</v>
      </c>
      <c r="X312" s="393" t="s">
        <v>275</v>
      </c>
      <c r="Y312" s="393" t="s">
        <v>276</v>
      </c>
      <c r="Z312" s="211">
        <f t="shared" ref="Z312:Z313" si="193">K312*O312</f>
        <v>422998.93689999997</v>
      </c>
      <c r="AA312" s="225">
        <f t="shared" si="178"/>
        <v>-4486.8050000000512</v>
      </c>
      <c r="AF312" s="112"/>
    </row>
    <row r="313" spans="2:32" outlineLevel="1">
      <c r="B313" s="125">
        <v>282</v>
      </c>
      <c r="C313" s="120" t="s">
        <v>287</v>
      </c>
      <c r="D313" s="153" t="s">
        <v>397</v>
      </c>
      <c r="E313" s="126">
        <v>45973</v>
      </c>
      <c r="F313" s="126">
        <v>46033</v>
      </c>
      <c r="G313" s="126"/>
      <c r="H313" s="126"/>
      <c r="I313" s="127"/>
      <c r="J313" s="208">
        <f t="shared" ca="1" si="184"/>
        <v>0</v>
      </c>
      <c r="K313" s="134">
        <v>1135.8599999999999</v>
      </c>
      <c r="L313" s="134">
        <v>1135.8599999999999</v>
      </c>
      <c r="M313" s="129">
        <f t="shared" si="189"/>
        <v>0</v>
      </c>
      <c r="N313" s="130">
        <v>3763.41</v>
      </c>
      <c r="O313" s="219">
        <v>3723.91</v>
      </c>
      <c r="P313" s="168">
        <f t="shared" si="167"/>
        <v>-39.5</v>
      </c>
      <c r="Q313" s="132">
        <f t="shared" si="163"/>
        <v>4274706.8825999992</v>
      </c>
      <c r="R313" s="132">
        <f t="shared" si="192"/>
        <v>4229840.4125999995</v>
      </c>
      <c r="S313" s="132">
        <f t="shared" si="181"/>
        <v>-44866.469999999739</v>
      </c>
      <c r="T313" s="133" t="str">
        <f t="shared" si="170"/>
        <v>No Monetizar</v>
      </c>
      <c r="U313" s="293"/>
      <c r="V313" s="394">
        <v>45982</v>
      </c>
      <c r="W313" s="393" t="s">
        <v>275</v>
      </c>
      <c r="X313" s="393" t="s">
        <v>275</v>
      </c>
      <c r="Y313" s="393" t="s">
        <v>276</v>
      </c>
      <c r="Z313" s="211">
        <f t="shared" si="193"/>
        <v>4229840.4125999995</v>
      </c>
      <c r="AA313" s="225">
        <f t="shared" si="178"/>
        <v>-44866.469999999739</v>
      </c>
      <c r="AF313" s="112"/>
    </row>
    <row r="314" spans="2:32" outlineLevel="1">
      <c r="B314" s="125">
        <v>283</v>
      </c>
      <c r="C314" s="120" t="s">
        <v>265</v>
      </c>
      <c r="D314" s="153">
        <v>6450</v>
      </c>
      <c r="E314" s="126">
        <v>45985</v>
      </c>
      <c r="F314" s="126">
        <v>46045</v>
      </c>
      <c r="G314" s="126"/>
      <c r="H314" s="126"/>
      <c r="I314" s="127"/>
      <c r="J314" s="208">
        <f t="shared" ca="1" si="184"/>
        <v>0</v>
      </c>
      <c r="K314" s="134">
        <v>622.19000000000005</v>
      </c>
      <c r="L314" s="134">
        <v>622.19000000000005</v>
      </c>
      <c r="M314" s="129">
        <f t="shared" ref="M314:M319" si="194">K314-L314</f>
        <v>0</v>
      </c>
      <c r="N314" s="130">
        <v>3763.41</v>
      </c>
      <c r="O314" s="219">
        <v>3785.7</v>
      </c>
      <c r="P314" s="168">
        <f t="shared" ref="P314:P315" si="195">O314-N314</f>
        <v>22.289999999999964</v>
      </c>
      <c r="Q314" s="132">
        <f t="shared" ref="Q314:Q315" si="196">K314*N314</f>
        <v>2341556.0679000001</v>
      </c>
      <c r="R314" s="132">
        <f t="shared" ref="R314:R315" si="197">L314*O314</f>
        <v>2355424.6830000002</v>
      </c>
      <c r="S314" s="132">
        <f t="shared" ref="S314:S315" si="198">R314-Q314</f>
        <v>13868.615100000054</v>
      </c>
      <c r="T314" s="133" t="str">
        <f t="shared" ref="T314:T315" si="199">IF(R314&lt;= Q314,"No Monetizar","Monetizar")</f>
        <v>Monetizar</v>
      </c>
      <c r="U314" s="293"/>
      <c r="V314" s="394">
        <v>45985</v>
      </c>
      <c r="W314" s="393" t="s">
        <v>275</v>
      </c>
      <c r="X314" s="393" t="s">
        <v>275</v>
      </c>
      <c r="Y314" s="393" t="s">
        <v>276</v>
      </c>
      <c r="Z314" s="211">
        <f t="shared" ref="Z314:Z315" si="200">K314*O314</f>
        <v>2355424.6830000002</v>
      </c>
      <c r="AA314" s="225">
        <f t="shared" si="178"/>
        <v>13868.615100000054</v>
      </c>
      <c r="AF314" s="112"/>
    </row>
    <row r="315" spans="2:32" outlineLevel="1">
      <c r="B315" s="125">
        <v>284</v>
      </c>
      <c r="C315" s="120" t="s">
        <v>265</v>
      </c>
      <c r="D315" s="153" t="s">
        <v>398</v>
      </c>
      <c r="E315" s="126">
        <v>45985</v>
      </c>
      <c r="F315" s="126">
        <v>46045</v>
      </c>
      <c r="G315" s="126"/>
      <c r="H315" s="126"/>
      <c r="I315" s="127"/>
      <c r="J315" s="208">
        <f t="shared" ca="1" si="184"/>
        <v>0</v>
      </c>
      <c r="K315" s="134">
        <v>11312.5</v>
      </c>
      <c r="L315" s="134">
        <v>11312.5</v>
      </c>
      <c r="M315" s="129">
        <f t="shared" si="194"/>
        <v>0</v>
      </c>
      <c r="N315" s="130">
        <v>3763.41</v>
      </c>
      <c r="O315" s="219">
        <v>3785.7</v>
      </c>
      <c r="P315" s="168">
        <f t="shared" si="195"/>
        <v>22.289999999999964</v>
      </c>
      <c r="Q315" s="132">
        <f t="shared" si="196"/>
        <v>42573575.625</v>
      </c>
      <c r="R315" s="132">
        <f t="shared" si="197"/>
        <v>42825731.25</v>
      </c>
      <c r="S315" s="132">
        <f t="shared" si="198"/>
        <v>252155.625</v>
      </c>
      <c r="T315" s="133" t="str">
        <f t="shared" si="199"/>
        <v>Monetizar</v>
      </c>
      <c r="U315" s="293"/>
      <c r="V315" s="394">
        <v>45985</v>
      </c>
      <c r="W315" s="393" t="s">
        <v>275</v>
      </c>
      <c r="X315" s="393" t="s">
        <v>275</v>
      </c>
      <c r="Y315" s="393" t="s">
        <v>276</v>
      </c>
      <c r="Z315" s="211">
        <f t="shared" si="200"/>
        <v>42825731.25</v>
      </c>
      <c r="AA315" s="225">
        <f t="shared" si="178"/>
        <v>252155.625</v>
      </c>
      <c r="AF315" s="112"/>
    </row>
    <row r="316" spans="2:32" outlineLevel="1">
      <c r="B316" s="125">
        <v>285</v>
      </c>
      <c r="C316" s="120" t="s">
        <v>278</v>
      </c>
      <c r="D316" s="153">
        <v>6457</v>
      </c>
      <c r="E316" s="126">
        <v>45985</v>
      </c>
      <c r="F316" s="126">
        <v>46045</v>
      </c>
      <c r="G316" s="126"/>
      <c r="H316" s="126"/>
      <c r="I316" s="127"/>
      <c r="J316" s="208">
        <f t="shared" ca="1" si="184"/>
        <v>0</v>
      </c>
      <c r="K316" s="134">
        <v>173.07</v>
      </c>
      <c r="L316" s="134">
        <v>173.07</v>
      </c>
      <c r="M316" s="129">
        <f t="shared" si="194"/>
        <v>0</v>
      </c>
      <c r="N316" s="130">
        <v>3700.17</v>
      </c>
      <c r="O316" s="219">
        <v>3789.1</v>
      </c>
      <c r="P316" s="168">
        <f t="shared" si="167"/>
        <v>88.929999999999836</v>
      </c>
      <c r="Q316" s="132">
        <f t="shared" si="163"/>
        <v>640388.42189999996</v>
      </c>
      <c r="R316" s="132">
        <f t="shared" si="192"/>
        <v>655779.53700000001</v>
      </c>
      <c r="S316" s="132">
        <f t="shared" si="181"/>
        <v>15391.115100000054</v>
      </c>
      <c r="T316" s="133" t="str">
        <f t="shared" si="170"/>
        <v>Monetizar</v>
      </c>
      <c r="U316" s="239"/>
      <c r="V316" s="394">
        <v>45985</v>
      </c>
      <c r="W316" s="393" t="s">
        <v>275</v>
      </c>
      <c r="X316" s="393" t="s">
        <v>275</v>
      </c>
      <c r="Y316" s="393" t="s">
        <v>276</v>
      </c>
      <c r="Z316" s="211">
        <f t="shared" ref="Z316:Z317" si="201">K316*O316</f>
        <v>655779.53700000001</v>
      </c>
      <c r="AA316" s="225">
        <f t="shared" si="178"/>
        <v>15391.115100000054</v>
      </c>
      <c r="AF316" s="112"/>
    </row>
    <row r="317" spans="2:32" outlineLevel="1">
      <c r="B317" s="125">
        <v>286</v>
      </c>
      <c r="C317" s="120" t="s">
        <v>278</v>
      </c>
      <c r="D317" s="153" t="s">
        <v>399</v>
      </c>
      <c r="E317" s="126">
        <v>45985</v>
      </c>
      <c r="F317" s="126">
        <v>46045</v>
      </c>
      <c r="G317" s="126"/>
      <c r="H317" s="126"/>
      <c r="I317" s="127"/>
      <c r="J317" s="208">
        <f t="shared" ca="1" si="184"/>
        <v>0</v>
      </c>
      <c r="K317" s="134">
        <v>1573.37</v>
      </c>
      <c r="L317" s="134">
        <v>1573.37</v>
      </c>
      <c r="M317" s="129">
        <f t="shared" si="194"/>
        <v>0</v>
      </c>
      <c r="N317" s="130">
        <v>3700.17</v>
      </c>
      <c r="O317" s="219">
        <v>3789.1</v>
      </c>
      <c r="P317" s="168">
        <f t="shared" si="167"/>
        <v>88.929999999999836</v>
      </c>
      <c r="Q317" s="132">
        <f t="shared" si="163"/>
        <v>5821736.4728999995</v>
      </c>
      <c r="R317" s="132">
        <f t="shared" si="192"/>
        <v>5961656.2669999991</v>
      </c>
      <c r="S317" s="132">
        <f t="shared" si="181"/>
        <v>139919.79409999959</v>
      </c>
      <c r="T317" s="133" t="str">
        <f t="shared" si="170"/>
        <v>Monetizar</v>
      </c>
      <c r="U317" s="239"/>
      <c r="V317" s="394">
        <v>45985</v>
      </c>
      <c r="W317" s="393" t="s">
        <v>275</v>
      </c>
      <c r="X317" s="393" t="s">
        <v>275</v>
      </c>
      <c r="Y317" s="393" t="s">
        <v>276</v>
      </c>
      <c r="Z317" s="211">
        <f t="shared" si="201"/>
        <v>5961656.2669999991</v>
      </c>
      <c r="AA317" s="225">
        <f t="shared" si="178"/>
        <v>139919.79409999959</v>
      </c>
      <c r="AF317" s="112"/>
    </row>
    <row r="318" spans="2:32" outlineLevel="1">
      <c r="B318" s="125">
        <v>287</v>
      </c>
      <c r="C318" s="120" t="s">
        <v>400</v>
      </c>
      <c r="D318" s="153">
        <v>6457</v>
      </c>
      <c r="E318" s="126">
        <v>45986</v>
      </c>
      <c r="F318" s="126">
        <v>46046</v>
      </c>
      <c r="G318" s="126"/>
      <c r="H318" s="126"/>
      <c r="I318" s="126"/>
      <c r="J318" s="208">
        <f t="shared" ca="1" si="184"/>
        <v>0</v>
      </c>
      <c r="K318" s="134">
        <v>360.17</v>
      </c>
      <c r="L318" s="134">
        <v>360.17</v>
      </c>
      <c r="M318" s="129">
        <f t="shared" si="194"/>
        <v>0</v>
      </c>
      <c r="N318" s="130">
        <v>3700.17</v>
      </c>
      <c r="O318" s="219">
        <v>3789.1</v>
      </c>
      <c r="P318" s="168">
        <f t="shared" si="167"/>
        <v>88.929999999999836</v>
      </c>
      <c r="Q318" s="132">
        <f t="shared" si="163"/>
        <v>1332690.2289</v>
      </c>
      <c r="R318" s="132">
        <f t="shared" si="192"/>
        <v>1364720.1470000001</v>
      </c>
      <c r="S318" s="132">
        <f t="shared" si="181"/>
        <v>32029.918100000126</v>
      </c>
      <c r="T318" s="133" t="str">
        <f t="shared" si="170"/>
        <v>Monetizar</v>
      </c>
      <c r="U318" s="239"/>
      <c r="V318" s="394">
        <v>45986</v>
      </c>
      <c r="W318" s="393" t="s">
        <v>275</v>
      </c>
      <c r="X318" s="393" t="s">
        <v>275</v>
      </c>
      <c r="Y318" s="393" t="s">
        <v>276</v>
      </c>
      <c r="Z318" s="211">
        <f t="shared" si="183"/>
        <v>1364720.1470000001</v>
      </c>
      <c r="AA318" s="225">
        <f t="shared" si="178"/>
        <v>32029.918100000126</v>
      </c>
      <c r="AF318" s="112"/>
    </row>
    <row r="319" spans="2:32" outlineLevel="1">
      <c r="B319" s="125">
        <v>288</v>
      </c>
      <c r="C319" s="120" t="s">
        <v>303</v>
      </c>
      <c r="D319" s="153" t="s">
        <v>399</v>
      </c>
      <c r="E319" s="126">
        <v>45986</v>
      </c>
      <c r="F319" s="126">
        <v>46046</v>
      </c>
      <c r="G319" s="126"/>
      <c r="H319" s="126"/>
      <c r="I319" s="126"/>
      <c r="J319" s="208">
        <f t="shared" ca="1" si="184"/>
        <v>0</v>
      </c>
      <c r="K319" s="134">
        <v>3274.24</v>
      </c>
      <c r="L319" s="134">
        <v>3274.24</v>
      </c>
      <c r="M319" s="129">
        <f t="shared" si="194"/>
        <v>0</v>
      </c>
      <c r="N319" s="130">
        <v>3700.17</v>
      </c>
      <c r="O319" s="219">
        <v>3789.1</v>
      </c>
      <c r="P319" s="168">
        <f t="shared" si="167"/>
        <v>88.929999999999836</v>
      </c>
      <c r="Q319" s="132">
        <f t="shared" si="163"/>
        <v>12115244.6208</v>
      </c>
      <c r="R319" s="132">
        <f t="shared" si="192"/>
        <v>12406422.783999998</v>
      </c>
      <c r="S319" s="132">
        <f t="shared" si="181"/>
        <v>291178.16319999844</v>
      </c>
      <c r="T319" s="133" t="str">
        <f t="shared" si="170"/>
        <v>Monetizar</v>
      </c>
      <c r="U319" s="239"/>
      <c r="V319" s="394">
        <v>45986</v>
      </c>
      <c r="W319" s="393" t="s">
        <v>275</v>
      </c>
      <c r="X319" s="393" t="s">
        <v>275</v>
      </c>
      <c r="Y319" s="393" t="s">
        <v>276</v>
      </c>
      <c r="Z319" s="211">
        <f t="shared" si="183"/>
        <v>12406422.783999998</v>
      </c>
      <c r="AA319" s="225">
        <f t="shared" si="178"/>
        <v>291178.16319999844</v>
      </c>
      <c r="AF319" s="112"/>
    </row>
    <row r="320" spans="2:32" outlineLevel="1">
      <c r="B320" s="125">
        <v>289</v>
      </c>
      <c r="C320" s="120" t="s">
        <v>120</v>
      </c>
      <c r="D320" s="153">
        <v>6457</v>
      </c>
      <c r="E320" s="126">
        <v>45986</v>
      </c>
      <c r="F320" s="126">
        <v>46046</v>
      </c>
      <c r="G320" s="126"/>
      <c r="H320" s="126"/>
      <c r="I320" s="126"/>
      <c r="J320" s="208">
        <f t="shared" ca="1" si="184"/>
        <v>0</v>
      </c>
      <c r="K320" s="134">
        <v>285.60000000000002</v>
      </c>
      <c r="L320" s="134">
        <v>283.96166197231577</v>
      </c>
      <c r="M320" s="129">
        <v>1.6383380276842558</v>
      </c>
      <c r="N320" s="130">
        <v>3667.91</v>
      </c>
      <c r="O320" s="130">
        <v>3789.1</v>
      </c>
      <c r="P320" s="168">
        <f t="shared" si="167"/>
        <v>121.19000000000005</v>
      </c>
      <c r="Q320" s="132">
        <f t="shared" si="163"/>
        <v>1047555.096</v>
      </c>
      <c r="R320" s="132">
        <f t="shared" si="192"/>
        <v>1075959.1333793018</v>
      </c>
      <c r="S320" s="132">
        <f t="shared" si="181"/>
        <v>28404.037379301735</v>
      </c>
      <c r="T320" s="133" t="str">
        <f t="shared" si="170"/>
        <v>Monetizar</v>
      </c>
      <c r="U320" s="239"/>
      <c r="V320" s="394">
        <v>45986</v>
      </c>
      <c r="W320" s="393" t="s">
        <v>275</v>
      </c>
      <c r="X320" s="393" t="s">
        <v>275</v>
      </c>
      <c r="Y320" s="393" t="s">
        <v>276</v>
      </c>
      <c r="Z320" s="211">
        <f t="shared" ref="Z320:Z321" si="202">K320*O320</f>
        <v>1082166.96</v>
      </c>
      <c r="AA320" s="225">
        <f t="shared" si="178"/>
        <v>34611.863999999943</v>
      </c>
      <c r="AF320" s="112"/>
    </row>
    <row r="321" spans="2:32" outlineLevel="1">
      <c r="B321" s="125">
        <v>290</v>
      </c>
      <c r="C321" s="120" t="s">
        <v>120</v>
      </c>
      <c r="D321" s="153" t="s">
        <v>399</v>
      </c>
      <c r="E321" s="126">
        <v>45986</v>
      </c>
      <c r="F321" s="126">
        <v>46046</v>
      </c>
      <c r="G321" s="126"/>
      <c r="H321" s="126"/>
      <c r="I321" s="126"/>
      <c r="J321" s="208">
        <f t="shared" ca="1" si="184"/>
        <v>0</v>
      </c>
      <c r="K321" s="134">
        <v>3200.86</v>
      </c>
      <c r="L321" s="134">
        <v>3182.4983380276844</v>
      </c>
      <c r="M321" s="129">
        <v>18.361661972315687</v>
      </c>
      <c r="N321" s="130">
        <v>3667.91</v>
      </c>
      <c r="O321" s="130">
        <v>3789.1</v>
      </c>
      <c r="P321" s="168">
        <f t="shared" si="167"/>
        <v>121.19000000000005</v>
      </c>
      <c r="Q321" s="132">
        <f t="shared" si="163"/>
        <v>11740466.4026</v>
      </c>
      <c r="R321" s="132">
        <f t="shared" si="192"/>
        <v>12058804.452620698</v>
      </c>
      <c r="S321" s="132">
        <f t="shared" si="181"/>
        <v>318338.05002069846</v>
      </c>
      <c r="T321" s="133" t="str">
        <f t="shared" si="170"/>
        <v>Monetizar</v>
      </c>
      <c r="U321" s="239"/>
      <c r="V321" s="394">
        <v>45986</v>
      </c>
      <c r="W321" s="393" t="s">
        <v>275</v>
      </c>
      <c r="X321" s="393" t="s">
        <v>275</v>
      </c>
      <c r="Y321" s="393" t="s">
        <v>276</v>
      </c>
      <c r="Z321" s="211">
        <f t="shared" si="202"/>
        <v>12128378.626</v>
      </c>
      <c r="AA321" s="225">
        <f t="shared" si="178"/>
        <v>387912.22340000048</v>
      </c>
      <c r="AF321" s="112"/>
    </row>
    <row r="322" spans="2:32" outlineLevel="1">
      <c r="B322" s="125">
        <v>291</v>
      </c>
      <c r="C322" s="120" t="s">
        <v>277</v>
      </c>
      <c r="D322" s="153">
        <v>6442</v>
      </c>
      <c r="E322" s="126">
        <v>45986</v>
      </c>
      <c r="F322" s="126">
        <v>46046</v>
      </c>
      <c r="G322" s="126"/>
      <c r="H322" s="126"/>
      <c r="I322" s="126"/>
      <c r="J322" s="208">
        <f t="shared" ca="1" si="184"/>
        <v>0</v>
      </c>
      <c r="K322" s="134">
        <v>11852.4</v>
      </c>
      <c r="L322" s="134">
        <v>11852.4</v>
      </c>
      <c r="M322" s="129">
        <f t="shared" ref="M322:M327" si="203">K322-L322</f>
        <v>0</v>
      </c>
      <c r="N322" s="130">
        <v>3698.32</v>
      </c>
      <c r="O322" s="130">
        <v>3801.3</v>
      </c>
      <c r="P322" s="168">
        <f t="shared" si="167"/>
        <v>102.98000000000002</v>
      </c>
      <c r="Q322" s="132">
        <f t="shared" si="163"/>
        <v>43833967.968000002</v>
      </c>
      <c r="R322" s="132">
        <f t="shared" si="192"/>
        <v>45054528.119999997</v>
      </c>
      <c r="S322" s="132">
        <f t="shared" si="181"/>
        <v>1220560.1519999951</v>
      </c>
      <c r="T322" s="133" t="str">
        <f t="shared" si="170"/>
        <v>Monetizar</v>
      </c>
      <c r="U322" s="239"/>
      <c r="V322" s="394">
        <v>45986</v>
      </c>
      <c r="W322" s="393" t="s">
        <v>275</v>
      </c>
      <c r="X322" s="393" t="s">
        <v>275</v>
      </c>
      <c r="Y322" s="393" t="s">
        <v>276</v>
      </c>
      <c r="Z322" s="211">
        <f t="shared" ref="Z322:Z323" si="204">K322*O322</f>
        <v>45054528.119999997</v>
      </c>
      <c r="AA322" s="225">
        <f t="shared" si="178"/>
        <v>1220560.1519999951</v>
      </c>
      <c r="AF322" s="112"/>
    </row>
    <row r="323" spans="2:32" outlineLevel="1">
      <c r="B323" s="125">
        <v>292</v>
      </c>
      <c r="C323" s="120" t="s">
        <v>277</v>
      </c>
      <c r="D323" s="153" t="s">
        <v>401</v>
      </c>
      <c r="E323" s="126">
        <v>45986</v>
      </c>
      <c r="F323" s="126">
        <v>46046</v>
      </c>
      <c r="G323" s="126"/>
      <c r="H323" s="126"/>
      <c r="I323" s="126"/>
      <c r="J323" s="208">
        <f t="shared" ca="1" si="184"/>
        <v>0</v>
      </c>
      <c r="K323" s="134">
        <v>295914.48</v>
      </c>
      <c r="L323" s="134">
        <v>295914.48</v>
      </c>
      <c r="M323" s="129">
        <f t="shared" si="203"/>
        <v>0</v>
      </c>
      <c r="N323" s="130">
        <v>3698.32</v>
      </c>
      <c r="O323" s="130">
        <v>3801.3</v>
      </c>
      <c r="P323" s="168">
        <f t="shared" si="167"/>
        <v>102.98000000000002</v>
      </c>
      <c r="Q323" s="132">
        <f t="shared" si="163"/>
        <v>1094386439.6736</v>
      </c>
      <c r="R323" s="132">
        <f t="shared" si="192"/>
        <v>1124859712.8239999</v>
      </c>
      <c r="S323" s="132">
        <f t="shared" si="181"/>
        <v>30473273.150399923</v>
      </c>
      <c r="T323" s="133" t="str">
        <f t="shared" si="170"/>
        <v>Monetizar</v>
      </c>
      <c r="U323" s="239"/>
      <c r="V323" s="394">
        <v>45986</v>
      </c>
      <c r="W323" s="393" t="s">
        <v>275</v>
      </c>
      <c r="X323" s="393" t="s">
        <v>275</v>
      </c>
      <c r="Y323" s="393" t="s">
        <v>276</v>
      </c>
      <c r="Z323" s="211">
        <f t="shared" si="204"/>
        <v>1124859712.8239999</v>
      </c>
      <c r="AA323" s="225">
        <f t="shared" si="178"/>
        <v>30473273.150399923</v>
      </c>
      <c r="AF323" s="112"/>
    </row>
    <row r="324" spans="2:32" outlineLevel="1">
      <c r="B324" s="125">
        <v>293</v>
      </c>
      <c r="C324" s="120" t="s">
        <v>288</v>
      </c>
      <c r="D324" s="153">
        <v>6457</v>
      </c>
      <c r="E324" s="126">
        <v>45987</v>
      </c>
      <c r="F324" s="126">
        <v>46047</v>
      </c>
      <c r="G324" s="126"/>
      <c r="H324" s="126"/>
      <c r="I324" s="126"/>
      <c r="J324" s="208">
        <f t="shared" ca="1" si="184"/>
        <v>0</v>
      </c>
      <c r="K324" s="134">
        <v>1486.17</v>
      </c>
      <c r="L324" s="134">
        <v>1481.651487111804</v>
      </c>
      <c r="M324" s="129">
        <f t="shared" si="203"/>
        <v>4.5185128881960281</v>
      </c>
      <c r="N324" s="130">
        <v>3727.02</v>
      </c>
      <c r="O324" s="219">
        <v>3788</v>
      </c>
      <c r="P324" s="168">
        <f t="shared" si="167"/>
        <v>60.980000000000018</v>
      </c>
      <c r="Q324" s="132">
        <f t="shared" si="163"/>
        <v>5538985.3134000003</v>
      </c>
      <c r="R324" s="132">
        <f t="shared" si="192"/>
        <v>5612495.8331795139</v>
      </c>
      <c r="S324" s="132">
        <f t="shared" si="181"/>
        <v>73510.51977951359</v>
      </c>
      <c r="T324" s="133" t="str">
        <f t="shared" si="170"/>
        <v>Monetizar</v>
      </c>
      <c r="U324" s="239"/>
      <c r="V324" s="394">
        <v>45987</v>
      </c>
      <c r="W324" s="393" t="s">
        <v>275</v>
      </c>
      <c r="X324" s="393" t="s">
        <v>275</v>
      </c>
      <c r="Y324" s="393" t="s">
        <v>276</v>
      </c>
      <c r="Z324" s="211">
        <f t="shared" ref="Z324:Z325" si="205">K324*O324</f>
        <v>5629611.96</v>
      </c>
      <c r="AA324" s="225">
        <f t="shared" si="178"/>
        <v>90626.646599999629</v>
      </c>
      <c r="AF324" s="112"/>
    </row>
    <row r="325" spans="2:32" outlineLevel="1">
      <c r="B325" s="125">
        <v>294</v>
      </c>
      <c r="C325" s="120" t="s">
        <v>288</v>
      </c>
      <c r="D325" s="153" t="s">
        <v>399</v>
      </c>
      <c r="E325" s="126">
        <v>45987</v>
      </c>
      <c r="F325" s="126">
        <v>46047</v>
      </c>
      <c r="G325" s="126"/>
      <c r="H325" s="126"/>
      <c r="I325" s="126"/>
      <c r="J325" s="208">
        <f t="shared" ca="1" si="184"/>
        <v>0</v>
      </c>
      <c r="K325" s="134">
        <v>18577.150000000001</v>
      </c>
      <c r="L325" s="134">
        <v>18520.668512888198</v>
      </c>
      <c r="M325" s="129">
        <f t="shared" si="203"/>
        <v>56.48148711180329</v>
      </c>
      <c r="N325" s="130">
        <v>3727.02</v>
      </c>
      <c r="O325" s="219">
        <v>3788</v>
      </c>
      <c r="P325" s="168">
        <f t="shared" si="167"/>
        <v>60.980000000000018</v>
      </c>
      <c r="Q325" s="132">
        <f t="shared" ref="Q325:Q342" si="206">K325*N325</f>
        <v>69237409.59300001</v>
      </c>
      <c r="R325" s="132">
        <f t="shared" si="192"/>
        <v>70156292.326820493</v>
      </c>
      <c r="S325" s="132">
        <f t="shared" si="181"/>
        <v>918882.73382048309</v>
      </c>
      <c r="T325" s="133" t="str">
        <f t="shared" si="170"/>
        <v>Monetizar</v>
      </c>
      <c r="U325" s="239"/>
      <c r="V325" s="394">
        <v>45987</v>
      </c>
      <c r="W325" s="393" t="s">
        <v>275</v>
      </c>
      <c r="X325" s="393" t="s">
        <v>275</v>
      </c>
      <c r="Y325" s="393" t="s">
        <v>276</v>
      </c>
      <c r="Z325" s="211">
        <f t="shared" si="205"/>
        <v>70370244.200000003</v>
      </c>
      <c r="AA325" s="225">
        <f t="shared" si="178"/>
        <v>1132834.6069999933</v>
      </c>
      <c r="AF325" s="112"/>
    </row>
    <row r="326" spans="2:32" outlineLevel="1">
      <c r="B326" s="125">
        <v>295</v>
      </c>
      <c r="C326" s="120" t="s">
        <v>117</v>
      </c>
      <c r="D326" s="153">
        <v>6485</v>
      </c>
      <c r="E326" s="126">
        <v>45685</v>
      </c>
      <c r="F326" s="126">
        <v>46047</v>
      </c>
      <c r="G326" s="126"/>
      <c r="H326" s="126"/>
      <c r="I326" s="126"/>
      <c r="J326" s="208">
        <f t="shared" ref="J326:J331" ca="1" si="207">IFERROR(IF(TODAY()&gt;=E326,(TODAY()-E326)/I326,0),0)</f>
        <v>0</v>
      </c>
      <c r="K326" s="134">
        <v>5878.6</v>
      </c>
      <c r="L326" s="134">
        <f>K326-5</f>
        <v>5873.6</v>
      </c>
      <c r="M326" s="129">
        <f t="shared" si="203"/>
        <v>5</v>
      </c>
      <c r="N326" s="130">
        <v>3735.86</v>
      </c>
      <c r="O326" s="130">
        <v>3743</v>
      </c>
      <c r="P326" s="168">
        <f t="shared" ref="P326:P331" si="208">O326-N326</f>
        <v>7.1399999999998727</v>
      </c>
      <c r="Q326" s="132">
        <f t="shared" si="206"/>
        <v>21961626.596000001</v>
      </c>
      <c r="R326" s="132">
        <f t="shared" si="192"/>
        <v>21984884.800000001</v>
      </c>
      <c r="S326" s="132">
        <f t="shared" si="181"/>
        <v>23258.203999999911</v>
      </c>
      <c r="T326" s="133" t="str">
        <f t="shared" ref="T326:T327" si="209">IF(R326&lt;= Q326,"No Monetizar","Monetizar")</f>
        <v>Monetizar</v>
      </c>
      <c r="U326" s="293"/>
      <c r="V326" s="394">
        <v>45989</v>
      </c>
      <c r="W326" s="393" t="s">
        <v>275</v>
      </c>
      <c r="X326" s="393" t="s">
        <v>275</v>
      </c>
      <c r="Y326" s="393" t="s">
        <v>276</v>
      </c>
      <c r="Z326" s="211">
        <f t="shared" si="183"/>
        <v>22003599.800000001</v>
      </c>
      <c r="AA326" s="225">
        <f t="shared" si="178"/>
        <v>41973.203999999911</v>
      </c>
      <c r="AF326" s="112"/>
    </row>
    <row r="327" spans="2:32" outlineLevel="1">
      <c r="B327" s="125">
        <v>296</v>
      </c>
      <c r="C327" s="120" t="s">
        <v>117</v>
      </c>
      <c r="D327" s="153" t="s">
        <v>405</v>
      </c>
      <c r="E327" s="126">
        <v>45685</v>
      </c>
      <c r="F327" s="126">
        <v>46047</v>
      </c>
      <c r="G327" s="126"/>
      <c r="H327" s="126"/>
      <c r="I327" s="126"/>
      <c r="J327" s="208">
        <f t="shared" ca="1" si="207"/>
        <v>0</v>
      </c>
      <c r="K327" s="134">
        <v>137983.74</v>
      </c>
      <c r="L327" s="134">
        <f>K327-10</f>
        <v>137973.74</v>
      </c>
      <c r="M327" s="129">
        <f t="shared" si="203"/>
        <v>10</v>
      </c>
      <c r="N327" s="130">
        <v>3735.86</v>
      </c>
      <c r="O327" s="130">
        <v>3743</v>
      </c>
      <c r="P327" s="168">
        <f t="shared" si="208"/>
        <v>7.1399999999998727</v>
      </c>
      <c r="Q327" s="132">
        <f t="shared" si="206"/>
        <v>515487934.91639996</v>
      </c>
      <c r="R327" s="132">
        <f t="shared" si="192"/>
        <v>516435708.81999999</v>
      </c>
      <c r="S327" s="132">
        <f t="shared" si="181"/>
        <v>947773.9036000371</v>
      </c>
      <c r="T327" s="133" t="str">
        <f t="shared" si="209"/>
        <v>Monetizar</v>
      </c>
      <c r="U327" s="293"/>
      <c r="V327" s="394">
        <v>45989</v>
      </c>
      <c r="W327" s="393" t="s">
        <v>275</v>
      </c>
      <c r="X327" s="393" t="s">
        <v>275</v>
      </c>
      <c r="Y327" s="393" t="s">
        <v>276</v>
      </c>
      <c r="Z327" s="211">
        <f t="shared" si="183"/>
        <v>516473138.81999999</v>
      </c>
      <c r="AA327" s="225">
        <f t="shared" si="178"/>
        <v>985203.9036000371</v>
      </c>
      <c r="AF327" s="112"/>
    </row>
    <row r="328" spans="2:32" outlineLevel="1">
      <c r="B328" s="125">
        <v>297</v>
      </c>
      <c r="C328" s="214" t="s">
        <v>115</v>
      </c>
      <c r="D328" s="153">
        <v>6453</v>
      </c>
      <c r="E328" s="126">
        <v>45987</v>
      </c>
      <c r="F328" s="126">
        <v>46047</v>
      </c>
      <c r="G328" s="126"/>
      <c r="H328" s="126"/>
      <c r="I328" s="127"/>
      <c r="J328" s="208">
        <f t="shared" ca="1" si="207"/>
        <v>0</v>
      </c>
      <c r="K328" s="134">
        <v>283.41000000000003</v>
      </c>
      <c r="L328" s="134">
        <v>282.89827819089959</v>
      </c>
      <c r="M328" s="129">
        <f>K328-L328</f>
        <v>0.51172180910043608</v>
      </c>
      <c r="N328" s="130">
        <v>3663.81</v>
      </c>
      <c r="O328" s="130">
        <v>3797</v>
      </c>
      <c r="P328" s="168">
        <f t="shared" si="208"/>
        <v>133.19000000000005</v>
      </c>
      <c r="Q328" s="168">
        <f>K328*N328</f>
        <v>1038360.3921000001</v>
      </c>
      <c r="R328" s="168">
        <f>L328*O328</f>
        <v>1074164.7622908456</v>
      </c>
      <c r="S328" s="132">
        <f t="shared" si="181"/>
        <v>35804.37019084557</v>
      </c>
      <c r="T328" s="133" t="str">
        <f t="shared" si="170"/>
        <v>Monetizar</v>
      </c>
      <c r="U328" s="293"/>
      <c r="V328" s="394">
        <v>45993</v>
      </c>
      <c r="W328" s="393" t="s">
        <v>275</v>
      </c>
      <c r="X328" s="393" t="s">
        <v>275</v>
      </c>
      <c r="Y328" s="393" t="s">
        <v>276</v>
      </c>
      <c r="Z328" s="211">
        <f t="shared" ref="Z328" si="210">K328*O328</f>
        <v>1076107.77</v>
      </c>
      <c r="AA328" s="225">
        <f t="shared" si="178"/>
        <v>37747.377899999963</v>
      </c>
      <c r="AF328" s="112"/>
    </row>
    <row r="329" spans="2:32" outlineLevel="1">
      <c r="B329" s="125">
        <v>298</v>
      </c>
      <c r="C329" s="214" t="s">
        <v>115</v>
      </c>
      <c r="D329" s="153" t="s">
        <v>402</v>
      </c>
      <c r="E329" s="126">
        <v>45987</v>
      </c>
      <c r="F329" s="126">
        <v>46047</v>
      </c>
      <c r="G329" s="126"/>
      <c r="H329" s="126"/>
      <c r="I329" s="127"/>
      <c r="J329" s="208">
        <f t="shared" ca="1" si="207"/>
        <v>0</v>
      </c>
      <c r="K329" s="134">
        <v>5766.14</v>
      </c>
      <c r="L329" s="134">
        <v>5755.7287244898689</v>
      </c>
      <c r="M329" s="129">
        <f t="shared" ref="M329:M347" si="211">K329-L329</f>
        <v>10.411275510131418</v>
      </c>
      <c r="N329" s="130">
        <v>3663.81</v>
      </c>
      <c r="O329" s="130">
        <v>3797</v>
      </c>
      <c r="P329" s="168">
        <f t="shared" si="208"/>
        <v>133.19000000000005</v>
      </c>
      <c r="Q329" s="168">
        <f>K329*N329</f>
        <v>21126041.393400002</v>
      </c>
      <c r="R329" s="168">
        <f>L329*O329</f>
        <v>21854501.966888033</v>
      </c>
      <c r="S329" s="132">
        <f t="shared" si="181"/>
        <v>728460.57348803058</v>
      </c>
      <c r="T329" s="133" t="str">
        <f t="shared" si="170"/>
        <v>Monetizar</v>
      </c>
      <c r="U329" s="293"/>
      <c r="V329" s="394">
        <v>45993</v>
      </c>
      <c r="W329" s="393" t="s">
        <v>275</v>
      </c>
      <c r="X329" s="393" t="s">
        <v>275</v>
      </c>
      <c r="Y329" s="393" t="s">
        <v>276</v>
      </c>
      <c r="Z329" s="211">
        <f t="shared" si="183"/>
        <v>21894033.580000002</v>
      </c>
      <c r="AA329" s="225">
        <f t="shared" si="178"/>
        <v>767992.18659999967</v>
      </c>
      <c r="AF329" s="112"/>
    </row>
    <row r="330" spans="2:32" outlineLevel="1">
      <c r="B330" s="125">
        <v>299</v>
      </c>
      <c r="C330" s="214" t="s">
        <v>115</v>
      </c>
      <c r="D330" s="153">
        <v>6463</v>
      </c>
      <c r="E330" s="126">
        <v>45987</v>
      </c>
      <c r="F330" s="126">
        <v>46047</v>
      </c>
      <c r="G330" s="126"/>
      <c r="H330" s="126"/>
      <c r="I330" s="127"/>
      <c r="J330" s="208">
        <f t="shared" ca="1" si="207"/>
        <v>0</v>
      </c>
      <c r="K330" s="134">
        <v>714</v>
      </c>
      <c r="L330" s="134">
        <v>712.71080988074618</v>
      </c>
      <c r="M330" s="129">
        <f t="shared" si="211"/>
        <v>1.2891901192538171</v>
      </c>
      <c r="N330" s="130">
        <v>3663.81</v>
      </c>
      <c r="O330" s="130">
        <v>3797</v>
      </c>
      <c r="P330" s="168">
        <f t="shared" si="208"/>
        <v>133.19000000000005</v>
      </c>
      <c r="Q330" s="168">
        <f t="shared" ref="Q330:Q331" si="212">K330*N330</f>
        <v>2615960.34</v>
      </c>
      <c r="R330" s="168">
        <f t="shared" ref="R330:R331" si="213">L330*O330</f>
        <v>2706162.9451171933</v>
      </c>
      <c r="S330" s="132">
        <f t="shared" si="181"/>
        <v>90202.605117193423</v>
      </c>
      <c r="T330" s="133" t="str">
        <f t="shared" si="170"/>
        <v>Monetizar</v>
      </c>
      <c r="U330" s="293"/>
      <c r="V330" s="394">
        <v>45993</v>
      </c>
      <c r="W330" s="393" t="s">
        <v>275</v>
      </c>
      <c r="X330" s="393" t="s">
        <v>275</v>
      </c>
      <c r="Y330" s="393" t="s">
        <v>276</v>
      </c>
      <c r="Z330" s="211">
        <f t="shared" si="183"/>
        <v>2711058</v>
      </c>
      <c r="AA330" s="225">
        <f t="shared" si="178"/>
        <v>95097.660000000149</v>
      </c>
      <c r="AF330" s="112"/>
    </row>
    <row r="331" spans="2:32" outlineLevel="1">
      <c r="B331" s="125">
        <v>300</v>
      </c>
      <c r="C331" s="214" t="s">
        <v>115</v>
      </c>
      <c r="D331" s="153" t="s">
        <v>403</v>
      </c>
      <c r="E331" s="126">
        <v>45987</v>
      </c>
      <c r="F331" s="126">
        <v>46047</v>
      </c>
      <c r="G331" s="126"/>
      <c r="H331" s="126"/>
      <c r="I331" s="127"/>
      <c r="J331" s="208">
        <f t="shared" ca="1" si="207"/>
        <v>0</v>
      </c>
      <c r="K331" s="134">
        <v>7359.27</v>
      </c>
      <c r="L331" s="134">
        <v>7345.982187438487</v>
      </c>
      <c r="M331" s="129">
        <f t="shared" si="211"/>
        <v>13.287812561513419</v>
      </c>
      <c r="N331" s="130">
        <v>3663.81</v>
      </c>
      <c r="O331" s="130">
        <v>3797</v>
      </c>
      <c r="P331" s="168">
        <f t="shared" si="208"/>
        <v>133.19000000000005</v>
      </c>
      <c r="Q331" s="168">
        <f t="shared" si="212"/>
        <v>26962967.0187</v>
      </c>
      <c r="R331" s="168">
        <f t="shared" si="213"/>
        <v>27892694.365703937</v>
      </c>
      <c r="S331" s="132">
        <f t="shared" si="181"/>
        <v>929727.34700393677</v>
      </c>
      <c r="T331" s="133" t="str">
        <f t="shared" si="170"/>
        <v>Monetizar</v>
      </c>
      <c r="U331" s="293"/>
      <c r="V331" s="394">
        <v>45993</v>
      </c>
      <c r="W331" s="393" t="s">
        <v>275</v>
      </c>
      <c r="X331" s="393" t="s">
        <v>275</v>
      </c>
      <c r="Y331" s="393" t="s">
        <v>276</v>
      </c>
      <c r="Z331" s="211">
        <f t="shared" si="183"/>
        <v>27943148.190000001</v>
      </c>
      <c r="AA331" s="225">
        <f t="shared" si="178"/>
        <v>980181.17130000144</v>
      </c>
      <c r="AF331" s="112"/>
    </row>
    <row r="332" spans="2:32" outlineLevel="1">
      <c r="B332" s="125">
        <v>301</v>
      </c>
      <c r="C332" s="120" t="s">
        <v>287</v>
      </c>
      <c r="D332" s="153">
        <v>6348</v>
      </c>
      <c r="E332" s="126">
        <v>45987</v>
      </c>
      <c r="F332" s="126">
        <v>46047</v>
      </c>
      <c r="G332" s="126"/>
      <c r="H332" s="126"/>
      <c r="I332" s="127"/>
      <c r="J332" s="208">
        <f t="shared" ref="J332:J333" ca="1" si="214">IFERROR(IF(TODAY()&gt;=E332,(TODAY()-E332)/I332,0),0)</f>
        <v>0</v>
      </c>
      <c r="K332" s="134">
        <v>212.82</v>
      </c>
      <c r="L332" s="134">
        <v>212.82</v>
      </c>
      <c r="M332" s="129">
        <f t="shared" si="211"/>
        <v>0</v>
      </c>
      <c r="N332" s="130">
        <v>3763.41</v>
      </c>
      <c r="O332" s="130">
        <v>3797</v>
      </c>
      <c r="P332" s="168">
        <f t="shared" ref="P332:P547" si="215">O332-N332</f>
        <v>33.590000000000146</v>
      </c>
      <c r="Q332" s="132">
        <f t="shared" si="206"/>
        <v>800928.91619999998</v>
      </c>
      <c r="R332" s="132">
        <f t="shared" ref="R332:R342" si="216">L332*O332</f>
        <v>808077.53999999992</v>
      </c>
      <c r="S332" s="132">
        <f t="shared" si="181"/>
        <v>7148.623799999943</v>
      </c>
      <c r="T332" s="133" t="str">
        <f t="shared" si="170"/>
        <v>Monetizar</v>
      </c>
      <c r="U332" s="293"/>
      <c r="V332" s="394">
        <v>45993</v>
      </c>
      <c r="W332" s="393" t="s">
        <v>275</v>
      </c>
      <c r="X332" s="393" t="s">
        <v>275</v>
      </c>
      <c r="Y332" s="393" t="s">
        <v>276</v>
      </c>
      <c r="Z332" s="211">
        <f t="shared" ref="Z332:Z333" si="217">K332*O332</f>
        <v>808077.53999999992</v>
      </c>
      <c r="AA332" s="225">
        <f t="shared" si="178"/>
        <v>7148.623799999943</v>
      </c>
      <c r="AF332" s="112"/>
    </row>
    <row r="333" spans="2:32" outlineLevel="1">
      <c r="B333" s="125">
        <v>302</v>
      </c>
      <c r="C333" s="120" t="s">
        <v>287</v>
      </c>
      <c r="D333" s="153" t="s">
        <v>404</v>
      </c>
      <c r="E333" s="126">
        <v>45987</v>
      </c>
      <c r="F333" s="126">
        <v>46047</v>
      </c>
      <c r="G333" s="126"/>
      <c r="H333" s="126"/>
      <c r="I333" s="127"/>
      <c r="J333" s="208">
        <f t="shared" ca="1" si="214"/>
        <v>0</v>
      </c>
      <c r="K333" s="134">
        <v>2128.1999999999998</v>
      </c>
      <c r="L333" s="134">
        <v>2128.1999999999998</v>
      </c>
      <c r="M333" s="129">
        <f t="shared" si="211"/>
        <v>0</v>
      </c>
      <c r="N333" s="130">
        <v>3763.41</v>
      </c>
      <c r="O333" s="130">
        <v>3797</v>
      </c>
      <c r="P333" s="168">
        <f t="shared" si="215"/>
        <v>33.590000000000146</v>
      </c>
      <c r="Q333" s="132">
        <f t="shared" si="206"/>
        <v>8009289.1619999986</v>
      </c>
      <c r="R333" s="132">
        <f t="shared" si="216"/>
        <v>8080775.3999999994</v>
      </c>
      <c r="S333" s="132">
        <f t="shared" si="181"/>
        <v>71486.238000000827</v>
      </c>
      <c r="T333" s="133" t="str">
        <f t="shared" ref="T333:T343" si="218">IF(R333&lt;= Q333,"No Monetizar","Monetizar")</f>
        <v>Monetizar</v>
      </c>
      <c r="U333" s="293"/>
      <c r="V333" s="394">
        <v>45993</v>
      </c>
      <c r="W333" s="393" t="s">
        <v>275</v>
      </c>
      <c r="X333" s="393" t="s">
        <v>275</v>
      </c>
      <c r="Y333" s="393" t="s">
        <v>276</v>
      </c>
      <c r="Z333" s="211">
        <f t="shared" si="217"/>
        <v>8080775.3999999994</v>
      </c>
      <c r="AA333" s="225">
        <f t="shared" si="178"/>
        <v>71486.238000000827</v>
      </c>
      <c r="AF333" s="112"/>
    </row>
    <row r="334" spans="2:32" ht="30" outlineLevel="1">
      <c r="B334" s="125">
        <v>303</v>
      </c>
      <c r="C334" s="120" t="s">
        <v>284</v>
      </c>
      <c r="D334" s="153">
        <v>6449</v>
      </c>
      <c r="E334" s="126">
        <v>45989</v>
      </c>
      <c r="F334" s="126">
        <v>46047</v>
      </c>
      <c r="G334" s="126"/>
      <c r="H334" s="126"/>
      <c r="I334" s="127"/>
      <c r="J334" s="208">
        <f t="shared" ref="J334:J335" ca="1" si="219">IFERROR(IF(TODAY()&gt;=E334,(TODAY()-E334)/I334,0),0)</f>
        <v>0</v>
      </c>
      <c r="K334" s="134">
        <v>749.7</v>
      </c>
      <c r="L334" s="134">
        <v>749.8</v>
      </c>
      <c r="M334" s="129">
        <f t="shared" si="211"/>
        <v>-9.9999999999909051E-2</v>
      </c>
      <c r="N334" s="130">
        <v>3682.4</v>
      </c>
      <c r="O334" s="130">
        <v>3797</v>
      </c>
      <c r="P334" s="168">
        <f t="shared" si="215"/>
        <v>114.59999999999991</v>
      </c>
      <c r="Q334" s="132">
        <f t="shared" si="206"/>
        <v>2760695.2800000003</v>
      </c>
      <c r="R334" s="132">
        <f t="shared" si="216"/>
        <v>2846990.5999999996</v>
      </c>
      <c r="S334" s="132">
        <f t="shared" si="181"/>
        <v>86295.319999999367</v>
      </c>
      <c r="T334" s="133" t="str">
        <f t="shared" ref="T334:T335" si="220">IF(R334&lt;= Q334,"No Monetizar","Monetizar")</f>
        <v>Monetizar</v>
      </c>
      <c r="U334" s="293"/>
      <c r="V334" s="394">
        <v>45993</v>
      </c>
      <c r="W334" s="393" t="s">
        <v>275</v>
      </c>
      <c r="X334" s="393" t="s">
        <v>275</v>
      </c>
      <c r="Y334" s="393" t="s">
        <v>276</v>
      </c>
      <c r="Z334" s="211">
        <f t="shared" ref="Z334:Z335" si="221">K334*O334</f>
        <v>2846610.9000000004</v>
      </c>
      <c r="AA334" s="225">
        <f t="shared" si="178"/>
        <v>85915.620000000112</v>
      </c>
      <c r="AF334" s="112"/>
    </row>
    <row r="335" spans="2:32" ht="30" outlineLevel="1">
      <c r="B335" s="125">
        <v>304</v>
      </c>
      <c r="C335" s="120" t="s">
        <v>284</v>
      </c>
      <c r="D335" s="153" t="s">
        <v>496</v>
      </c>
      <c r="E335" s="126">
        <v>45989</v>
      </c>
      <c r="F335" s="126">
        <v>46047</v>
      </c>
      <c r="G335" s="126"/>
      <c r="H335" s="126"/>
      <c r="I335" s="127"/>
      <c r="J335" s="208">
        <f t="shared" ca="1" si="219"/>
        <v>0</v>
      </c>
      <c r="K335" s="134">
        <v>16075.42</v>
      </c>
      <c r="L335" s="134">
        <v>16075.42</v>
      </c>
      <c r="M335" s="129">
        <f t="shared" si="211"/>
        <v>0</v>
      </c>
      <c r="N335" s="130">
        <v>3682.4</v>
      </c>
      <c r="O335" s="130">
        <v>3797</v>
      </c>
      <c r="P335" s="168">
        <f t="shared" si="215"/>
        <v>114.59999999999991</v>
      </c>
      <c r="Q335" s="132">
        <f t="shared" si="206"/>
        <v>59196126.608000003</v>
      </c>
      <c r="R335" s="132">
        <f t="shared" si="216"/>
        <v>61038369.740000002</v>
      </c>
      <c r="S335" s="168">
        <f t="shared" si="181"/>
        <v>1842243.1319999993</v>
      </c>
      <c r="T335" s="133" t="str">
        <f t="shared" si="220"/>
        <v>Monetizar</v>
      </c>
      <c r="U335" s="293"/>
      <c r="V335" s="394">
        <v>45993</v>
      </c>
      <c r="W335" s="393" t="s">
        <v>275</v>
      </c>
      <c r="X335" s="393" t="s">
        <v>275</v>
      </c>
      <c r="Y335" s="393" t="s">
        <v>276</v>
      </c>
      <c r="Z335" s="211">
        <f t="shared" si="221"/>
        <v>61038369.740000002</v>
      </c>
      <c r="AA335" s="225">
        <f t="shared" si="178"/>
        <v>1842243.1319999993</v>
      </c>
      <c r="AF335" s="112"/>
    </row>
    <row r="336" spans="2:32" outlineLevel="1">
      <c r="B336" s="125">
        <v>305</v>
      </c>
      <c r="C336" s="120" t="s">
        <v>312</v>
      </c>
      <c r="D336" s="153">
        <v>6451</v>
      </c>
      <c r="E336" s="126">
        <v>45989</v>
      </c>
      <c r="F336" s="126">
        <v>46049</v>
      </c>
      <c r="G336" s="126"/>
      <c r="H336" s="126"/>
      <c r="I336" s="127"/>
      <c r="J336" s="208">
        <f t="shared" ref="J336:J357" ca="1" si="222">IFERROR(IF(TODAY()&gt;=E336,(TODAY()-E336)/I336,0),0)</f>
        <v>0</v>
      </c>
      <c r="K336" s="134">
        <v>120.34</v>
      </c>
      <c r="L336" s="134">
        <v>117.36692909495183</v>
      </c>
      <c r="M336" s="129">
        <f t="shared" si="211"/>
        <v>2.973070905048175</v>
      </c>
      <c r="N336" s="130">
        <v>3663.81</v>
      </c>
      <c r="O336" s="130">
        <v>3797</v>
      </c>
      <c r="P336" s="168">
        <f t="shared" si="215"/>
        <v>133.19000000000005</v>
      </c>
      <c r="Q336" s="132">
        <f t="shared" si="206"/>
        <v>440902.89539999998</v>
      </c>
      <c r="R336" s="132">
        <f t="shared" si="216"/>
        <v>445642.22977353208</v>
      </c>
      <c r="S336" s="168">
        <f t="shared" si="181"/>
        <v>4739.3343735320959</v>
      </c>
      <c r="T336" s="133" t="str">
        <f t="shared" si="218"/>
        <v>Monetizar</v>
      </c>
      <c r="U336" s="293"/>
      <c r="V336" s="394">
        <v>45993</v>
      </c>
      <c r="W336" s="393" t="s">
        <v>275</v>
      </c>
      <c r="X336" s="393" t="s">
        <v>275</v>
      </c>
      <c r="Y336" s="393" t="s">
        <v>276</v>
      </c>
      <c r="Z336" s="211">
        <f t="shared" ref="Z336:Z337" si="223">K336*O336</f>
        <v>456930.98000000004</v>
      </c>
      <c r="AA336" s="225">
        <f t="shared" si="178"/>
        <v>16028.08460000006</v>
      </c>
      <c r="AF336" s="112"/>
    </row>
    <row r="337" spans="2:32" outlineLevel="1">
      <c r="B337" s="125">
        <v>306</v>
      </c>
      <c r="C337" s="120" t="s">
        <v>312</v>
      </c>
      <c r="D337" s="153" t="s">
        <v>496</v>
      </c>
      <c r="E337" s="126">
        <v>45989</v>
      </c>
      <c r="F337" s="126">
        <v>46049</v>
      </c>
      <c r="G337" s="126"/>
      <c r="H337" s="126"/>
      <c r="I337" s="127"/>
      <c r="J337" s="208">
        <f t="shared" ca="1" si="222"/>
        <v>0</v>
      </c>
      <c r="K337" s="134">
        <v>1093.96</v>
      </c>
      <c r="L337" s="134">
        <v>1066.9330709050482</v>
      </c>
      <c r="M337" s="129">
        <f t="shared" si="211"/>
        <v>27.026929094951811</v>
      </c>
      <c r="N337" s="130">
        <v>3663.81</v>
      </c>
      <c r="O337" s="130">
        <v>3797</v>
      </c>
      <c r="P337" s="168">
        <f t="shared" si="215"/>
        <v>133.19000000000005</v>
      </c>
      <c r="Q337" s="132">
        <f t="shared" si="206"/>
        <v>4008061.5876000002</v>
      </c>
      <c r="R337" s="132">
        <f t="shared" si="216"/>
        <v>4051144.870226468</v>
      </c>
      <c r="S337" s="168">
        <f t="shared" si="181"/>
        <v>43083.282626467757</v>
      </c>
      <c r="T337" s="133" t="str">
        <f t="shared" si="218"/>
        <v>Monetizar</v>
      </c>
      <c r="U337" s="293"/>
      <c r="V337" s="394">
        <v>45993</v>
      </c>
      <c r="W337" s="393" t="s">
        <v>275</v>
      </c>
      <c r="X337" s="393" t="s">
        <v>275</v>
      </c>
      <c r="Y337" s="393" t="s">
        <v>276</v>
      </c>
      <c r="Z337" s="211">
        <f t="shared" si="223"/>
        <v>4153766.12</v>
      </c>
      <c r="AA337" s="225">
        <f t="shared" si="178"/>
        <v>145704.53239999991</v>
      </c>
      <c r="AF337" s="112"/>
    </row>
    <row r="338" spans="2:32" outlineLevel="1">
      <c r="B338" s="125">
        <v>307</v>
      </c>
      <c r="C338" s="120" t="s">
        <v>121</v>
      </c>
      <c r="D338" s="153" t="s">
        <v>497</v>
      </c>
      <c r="E338" s="126">
        <v>45989</v>
      </c>
      <c r="F338" s="126">
        <v>46049</v>
      </c>
      <c r="G338" s="126"/>
      <c r="H338" s="126"/>
      <c r="I338" s="126"/>
      <c r="J338" s="208">
        <f t="shared" ca="1" si="222"/>
        <v>0</v>
      </c>
      <c r="K338" s="134">
        <v>428.4</v>
      </c>
      <c r="L338" s="134">
        <v>428.4</v>
      </c>
      <c r="M338" s="129">
        <f t="shared" si="211"/>
        <v>0</v>
      </c>
      <c r="N338" s="130">
        <v>3751.51</v>
      </c>
      <c r="O338" s="130">
        <v>3797</v>
      </c>
      <c r="P338" s="168">
        <f t="shared" si="215"/>
        <v>45.489999999999782</v>
      </c>
      <c r="Q338" s="132">
        <f t="shared" si="206"/>
        <v>1607146.8840000001</v>
      </c>
      <c r="R338" s="132">
        <f t="shared" si="216"/>
        <v>1626634.7999999998</v>
      </c>
      <c r="S338" s="168">
        <f t="shared" si="181"/>
        <v>19487.915999999736</v>
      </c>
      <c r="T338" s="133" t="str">
        <f t="shared" si="218"/>
        <v>Monetizar</v>
      </c>
      <c r="U338" s="293"/>
      <c r="V338" s="394">
        <v>45993</v>
      </c>
      <c r="W338" s="393" t="s">
        <v>275</v>
      </c>
      <c r="X338" s="393" t="s">
        <v>275</v>
      </c>
      <c r="Y338" s="393" t="s">
        <v>276</v>
      </c>
      <c r="Z338" s="211">
        <f t="shared" ref="Z338:Z339" si="224">K338*O338</f>
        <v>1626634.7999999998</v>
      </c>
      <c r="AA338" s="225">
        <f t="shared" si="178"/>
        <v>19487.915999999736</v>
      </c>
      <c r="AF338" s="112"/>
    </row>
    <row r="339" spans="2:32" outlineLevel="1">
      <c r="B339" s="125">
        <v>308</v>
      </c>
      <c r="C339" s="120" t="s">
        <v>121</v>
      </c>
      <c r="D339" s="153" t="s">
        <v>498</v>
      </c>
      <c r="E339" s="126">
        <v>45989</v>
      </c>
      <c r="F339" s="126">
        <v>46049</v>
      </c>
      <c r="G339" s="126"/>
      <c r="H339" s="126"/>
      <c r="I339" s="126"/>
      <c r="J339" s="208">
        <f t="shared" ca="1" si="222"/>
        <v>0</v>
      </c>
      <c r="K339" s="134">
        <v>3154.02</v>
      </c>
      <c r="L339" s="134">
        <v>3154.02</v>
      </c>
      <c r="M339" s="129">
        <f t="shared" si="211"/>
        <v>0</v>
      </c>
      <c r="N339" s="130">
        <v>3751.51</v>
      </c>
      <c r="O339" s="130">
        <v>3797</v>
      </c>
      <c r="P339" s="168">
        <f t="shared" si="215"/>
        <v>45.489999999999782</v>
      </c>
      <c r="Q339" s="132">
        <f t="shared" si="206"/>
        <v>11832337.5702</v>
      </c>
      <c r="R339" s="132">
        <f t="shared" si="216"/>
        <v>11975813.939999999</v>
      </c>
      <c r="S339" s="168">
        <f t="shared" si="181"/>
        <v>143476.36979999952</v>
      </c>
      <c r="T339" s="133" t="str">
        <f t="shared" si="218"/>
        <v>Monetizar</v>
      </c>
      <c r="U339" s="293"/>
      <c r="V339" s="394">
        <v>45993</v>
      </c>
      <c r="W339" s="393" t="s">
        <v>275</v>
      </c>
      <c r="X339" s="393" t="s">
        <v>275</v>
      </c>
      <c r="Y339" s="393" t="s">
        <v>276</v>
      </c>
      <c r="Z339" s="211">
        <f t="shared" si="224"/>
        <v>11975813.939999999</v>
      </c>
      <c r="AA339" s="225">
        <f t="shared" si="178"/>
        <v>143476.36979999952</v>
      </c>
      <c r="AF339" s="112"/>
    </row>
    <row r="340" spans="2:32" ht="30" outlineLevel="1">
      <c r="B340" s="125">
        <v>309</v>
      </c>
      <c r="C340" s="120" t="s">
        <v>262</v>
      </c>
      <c r="D340" s="153">
        <v>6158</v>
      </c>
      <c r="E340" s="126">
        <v>45936</v>
      </c>
      <c r="F340" s="126">
        <v>45996</v>
      </c>
      <c r="G340" s="126"/>
      <c r="H340" s="126"/>
      <c r="I340" s="126"/>
      <c r="J340" s="208">
        <f t="shared" ca="1" si="222"/>
        <v>0</v>
      </c>
      <c r="K340" s="218">
        <v>2280</v>
      </c>
      <c r="L340" s="218">
        <v>2280</v>
      </c>
      <c r="M340" s="129">
        <f t="shared" si="211"/>
        <v>0</v>
      </c>
      <c r="N340" s="129">
        <v>4061.36</v>
      </c>
      <c r="O340" s="130">
        <v>3776</v>
      </c>
      <c r="P340" s="168">
        <f>O340-N340</f>
        <v>-285.36000000000013</v>
      </c>
      <c r="Q340" s="132">
        <f t="shared" si="206"/>
        <v>9259900.8000000007</v>
      </c>
      <c r="R340" s="132">
        <f t="shared" si="216"/>
        <v>8609280</v>
      </c>
      <c r="S340" s="168">
        <f t="shared" si="181"/>
        <v>-650620.80000000075</v>
      </c>
      <c r="T340" s="133" t="str">
        <f t="shared" si="218"/>
        <v>No Monetizar</v>
      </c>
      <c r="U340" s="290"/>
      <c r="V340" s="210">
        <v>45994</v>
      </c>
      <c r="W340" s="393" t="s">
        <v>275</v>
      </c>
      <c r="X340" s="393" t="s">
        <v>275</v>
      </c>
      <c r="Y340" s="393" t="s">
        <v>506</v>
      </c>
      <c r="Z340" s="211">
        <f t="shared" ref="Z340:Z342" si="225">K340*O340</f>
        <v>8609280</v>
      </c>
      <c r="AA340" s="225">
        <f t="shared" si="178"/>
        <v>-650620.80000000075</v>
      </c>
      <c r="AF340" s="112"/>
    </row>
    <row r="341" spans="2:32" ht="34.5" customHeight="1" outlineLevel="1">
      <c r="B341" s="125">
        <v>310</v>
      </c>
      <c r="C341" s="120" t="s">
        <v>265</v>
      </c>
      <c r="D341" s="153">
        <v>6363</v>
      </c>
      <c r="E341" s="126">
        <v>45960</v>
      </c>
      <c r="F341" s="126">
        <v>46020</v>
      </c>
      <c r="G341" s="126"/>
      <c r="H341" s="126"/>
      <c r="I341" s="127"/>
      <c r="J341" s="208">
        <f t="shared" ca="1" si="222"/>
        <v>0</v>
      </c>
      <c r="K341" s="134">
        <f>597.71-16.62</f>
        <v>581.09</v>
      </c>
      <c r="L341" s="134">
        <f>597.71-16.62</f>
        <v>581.09</v>
      </c>
      <c r="M341" s="129">
        <f t="shared" si="211"/>
        <v>0</v>
      </c>
      <c r="N341" s="130">
        <v>3834.98</v>
      </c>
      <c r="O341" s="219">
        <v>3847.06</v>
      </c>
      <c r="P341" s="168">
        <f t="shared" si="215"/>
        <v>12.079999999999927</v>
      </c>
      <c r="Q341" s="132">
        <f t="shared" si="206"/>
        <v>2228468.5282000001</v>
      </c>
      <c r="R341" s="132">
        <f t="shared" si="216"/>
        <v>2235488.0954</v>
      </c>
      <c r="S341" s="395">
        <f t="shared" si="181"/>
        <v>7019.5671999999322</v>
      </c>
      <c r="T341" s="133" t="str">
        <f t="shared" si="218"/>
        <v>Monetizar</v>
      </c>
      <c r="U341" s="293"/>
      <c r="V341" s="394">
        <v>46000</v>
      </c>
      <c r="W341" s="393" t="s">
        <v>275</v>
      </c>
      <c r="X341" s="393" t="s">
        <v>275</v>
      </c>
      <c r="Y341" s="393" t="s">
        <v>276</v>
      </c>
      <c r="Z341" s="211">
        <f t="shared" si="225"/>
        <v>2235488.0954</v>
      </c>
      <c r="AA341" s="225">
        <f t="shared" ref="AA341:AA345" si="226">Z341-Q341</f>
        <v>7019.5671999999322</v>
      </c>
      <c r="AF341" s="112"/>
    </row>
    <row r="342" spans="2:32" outlineLevel="1">
      <c r="B342" s="125">
        <v>311</v>
      </c>
      <c r="C342" s="120" t="s">
        <v>265</v>
      </c>
      <c r="D342" s="153" t="s">
        <v>266</v>
      </c>
      <c r="E342" s="126">
        <v>45960</v>
      </c>
      <c r="F342" s="126">
        <v>46020</v>
      </c>
      <c r="G342" s="126"/>
      <c r="H342" s="126"/>
      <c r="I342" s="127"/>
      <c r="J342" s="208">
        <f t="shared" ca="1" si="222"/>
        <v>0</v>
      </c>
      <c r="K342" s="134">
        <v>10565.04</v>
      </c>
      <c r="L342" s="134">
        <v>10565.04</v>
      </c>
      <c r="M342" s="129">
        <f t="shared" si="211"/>
        <v>0</v>
      </c>
      <c r="N342" s="130">
        <v>3834.98</v>
      </c>
      <c r="O342" s="219">
        <v>3847.06</v>
      </c>
      <c r="P342" s="168">
        <f t="shared" si="215"/>
        <v>12.079999999999927</v>
      </c>
      <c r="Q342" s="132">
        <f t="shared" si="206"/>
        <v>40516717.099200003</v>
      </c>
      <c r="R342" s="132">
        <f t="shared" si="216"/>
        <v>40644342.782400005</v>
      </c>
      <c r="S342" s="168">
        <f t="shared" si="181"/>
        <v>127625.68320000172</v>
      </c>
      <c r="T342" s="133" t="str">
        <f t="shared" si="218"/>
        <v>Monetizar</v>
      </c>
      <c r="U342" s="293"/>
      <c r="V342" s="394">
        <v>46000</v>
      </c>
      <c r="W342" s="393" t="s">
        <v>275</v>
      </c>
      <c r="X342" s="393" t="s">
        <v>275</v>
      </c>
      <c r="Y342" s="393" t="s">
        <v>276</v>
      </c>
      <c r="Z342" s="211">
        <f t="shared" si="225"/>
        <v>40644342.782400005</v>
      </c>
      <c r="AA342" s="225">
        <f t="shared" si="226"/>
        <v>127625.68320000172</v>
      </c>
      <c r="AF342" s="112"/>
    </row>
    <row r="343" spans="2:32" ht="30" outlineLevel="1">
      <c r="B343" s="125">
        <v>312</v>
      </c>
      <c r="C343" s="446" t="s">
        <v>263</v>
      </c>
      <c r="D343" s="447" t="s">
        <v>572</v>
      </c>
      <c r="E343" s="445">
        <v>45947</v>
      </c>
      <c r="F343" s="126">
        <v>46007</v>
      </c>
      <c r="G343" s="126"/>
      <c r="H343" s="126"/>
      <c r="I343" s="127"/>
      <c r="J343" s="208">
        <f t="shared" ca="1" si="222"/>
        <v>0</v>
      </c>
      <c r="K343" s="448">
        <v>900</v>
      </c>
      <c r="L343" s="449">
        <v>900</v>
      </c>
      <c r="M343" s="450">
        <f t="shared" si="211"/>
        <v>0</v>
      </c>
      <c r="N343" s="451">
        <v>3847</v>
      </c>
      <c r="O343" s="451">
        <v>3847</v>
      </c>
      <c r="P343" s="168">
        <f t="shared" si="215"/>
        <v>0</v>
      </c>
      <c r="Q343" s="453">
        <f t="shared" ref="Q343:Q345" si="227">K343*N343</f>
        <v>3462300</v>
      </c>
      <c r="R343" s="453">
        <f t="shared" ref="R343:R345" si="228">L343*O343</f>
        <v>3462300</v>
      </c>
      <c r="S343" s="452">
        <f t="shared" ref="S343:S345" si="229">R343-Q343</f>
        <v>0</v>
      </c>
      <c r="T343" s="454" t="str">
        <f t="shared" si="218"/>
        <v>No Monetizar</v>
      </c>
      <c r="U343" s="290"/>
      <c r="V343" s="210">
        <v>46000</v>
      </c>
      <c r="W343" s="393" t="s">
        <v>275</v>
      </c>
      <c r="X343" s="393" t="s">
        <v>275</v>
      </c>
      <c r="Y343" s="393" t="s">
        <v>573</v>
      </c>
      <c r="Z343" s="211">
        <f t="shared" ref="Z343:Z345" si="230">K343*O343</f>
        <v>3462300</v>
      </c>
      <c r="AA343" s="225">
        <f t="shared" si="226"/>
        <v>0</v>
      </c>
      <c r="AF343" s="112"/>
    </row>
    <row r="344" spans="2:32" outlineLevel="1">
      <c r="B344" s="125">
        <v>313</v>
      </c>
      <c r="C344" s="120" t="s">
        <v>120</v>
      </c>
      <c r="D344" s="153" t="s">
        <v>583</v>
      </c>
      <c r="E344" s="126">
        <v>46002</v>
      </c>
      <c r="F344" s="126">
        <v>46062</v>
      </c>
      <c r="G344" s="126"/>
      <c r="H344" s="126"/>
      <c r="I344" s="127"/>
      <c r="J344" s="144">
        <f t="shared" ca="1" si="222"/>
        <v>0</v>
      </c>
      <c r="K344" s="134">
        <v>1341.98</v>
      </c>
      <c r="L344" s="218">
        <v>1321.98</v>
      </c>
      <c r="M344" s="129">
        <f t="shared" si="211"/>
        <v>20</v>
      </c>
      <c r="N344" s="130">
        <v>3754.92</v>
      </c>
      <c r="O344" s="219">
        <v>3804</v>
      </c>
      <c r="P344" s="168">
        <f t="shared" si="215"/>
        <v>49.079999999999927</v>
      </c>
      <c r="Q344" s="132">
        <f t="shared" si="227"/>
        <v>5039027.5416000001</v>
      </c>
      <c r="R344" s="132">
        <f t="shared" si="228"/>
        <v>5028811.92</v>
      </c>
      <c r="S344" s="168">
        <f t="shared" si="229"/>
        <v>-10215.621600000188</v>
      </c>
      <c r="T344" s="133" t="str">
        <f t="shared" ref="T344:T346" si="231">IF(R344&lt;= Q344,"No Monetizar","Monetizar")</f>
        <v>No Monetizar</v>
      </c>
      <c r="U344" s="290"/>
      <c r="V344" s="394">
        <v>46006</v>
      </c>
      <c r="W344" s="393" t="s">
        <v>275</v>
      </c>
      <c r="X344" s="393" t="s">
        <v>275</v>
      </c>
      <c r="Y344" s="393" t="s">
        <v>589</v>
      </c>
      <c r="Z344" s="211">
        <f t="shared" si="230"/>
        <v>5104891.92</v>
      </c>
      <c r="AA344" s="213">
        <f t="shared" si="226"/>
        <v>65864.378399999812</v>
      </c>
      <c r="AF344" s="112"/>
    </row>
    <row r="345" spans="2:32" outlineLevel="1">
      <c r="B345" s="125">
        <v>314</v>
      </c>
      <c r="C345" s="120" t="s">
        <v>278</v>
      </c>
      <c r="D345" s="153">
        <v>6521</v>
      </c>
      <c r="E345" s="126">
        <v>46006</v>
      </c>
      <c r="F345" s="126">
        <v>46067</v>
      </c>
      <c r="G345" s="126"/>
      <c r="H345" s="126"/>
      <c r="I345" s="127"/>
      <c r="J345" s="144">
        <f t="shared" ca="1" si="222"/>
        <v>0</v>
      </c>
      <c r="K345" s="134">
        <v>169.74</v>
      </c>
      <c r="L345" s="134">
        <v>169.74</v>
      </c>
      <c r="M345" s="129">
        <f t="shared" si="211"/>
        <v>0</v>
      </c>
      <c r="N345" s="130">
        <v>3772.88</v>
      </c>
      <c r="O345" s="219">
        <v>3804.45</v>
      </c>
      <c r="P345" s="168">
        <f t="shared" si="215"/>
        <v>31.569999999999709</v>
      </c>
      <c r="Q345" s="132">
        <f t="shared" si="227"/>
        <v>640408.65120000008</v>
      </c>
      <c r="R345" s="132">
        <f t="shared" si="228"/>
        <v>645767.34299999999</v>
      </c>
      <c r="S345" s="168">
        <f t="shared" si="229"/>
        <v>5358.6917999999132</v>
      </c>
      <c r="T345" s="133" t="str">
        <f t="shared" si="231"/>
        <v>Monetizar</v>
      </c>
      <c r="U345" s="293"/>
      <c r="V345" s="394">
        <v>46006</v>
      </c>
      <c r="W345" s="393" t="s">
        <v>275</v>
      </c>
      <c r="X345" s="393" t="s">
        <v>275</v>
      </c>
      <c r="Y345" s="393" t="s">
        <v>276</v>
      </c>
      <c r="Z345" s="211">
        <f t="shared" si="230"/>
        <v>645767.34299999999</v>
      </c>
      <c r="AA345" s="213">
        <f t="shared" si="226"/>
        <v>5358.6917999999132</v>
      </c>
      <c r="AF345" s="112"/>
    </row>
    <row r="346" spans="2:32" outlineLevel="1">
      <c r="B346" s="125">
        <v>315</v>
      </c>
      <c r="C346" s="120" t="s">
        <v>278</v>
      </c>
      <c r="D346" s="153" t="s">
        <v>588</v>
      </c>
      <c r="E346" s="126">
        <v>46006</v>
      </c>
      <c r="F346" s="126">
        <v>46067</v>
      </c>
      <c r="G346" s="126"/>
      <c r="H346" s="126"/>
      <c r="I346" s="127"/>
      <c r="J346" s="144">
        <f t="shared" ca="1" si="222"/>
        <v>0</v>
      </c>
      <c r="K346" s="134">
        <v>1543.05</v>
      </c>
      <c r="L346" s="134">
        <v>1543.05</v>
      </c>
      <c r="M346" s="129">
        <f t="shared" si="211"/>
        <v>0</v>
      </c>
      <c r="N346" s="130">
        <v>3772.88</v>
      </c>
      <c r="O346" s="219">
        <v>3804.45</v>
      </c>
      <c r="P346" s="168">
        <f t="shared" si="215"/>
        <v>31.569999999999709</v>
      </c>
      <c r="Q346" s="132">
        <f t="shared" ref="Q346" si="232">K346*N346</f>
        <v>5821742.4840000002</v>
      </c>
      <c r="R346" s="132">
        <f t="shared" ref="R346:R352" si="233">L346*O346</f>
        <v>5870456.5724999998</v>
      </c>
      <c r="S346" s="168">
        <f t="shared" ref="S346:S352" si="234">R346-Q346</f>
        <v>48714.088499999605</v>
      </c>
      <c r="T346" s="133" t="str">
        <f t="shared" si="231"/>
        <v>Monetizar</v>
      </c>
      <c r="U346" s="293"/>
      <c r="V346" s="394">
        <v>46006</v>
      </c>
      <c r="W346" s="393" t="s">
        <v>275</v>
      </c>
      <c r="X346" s="393" t="s">
        <v>275</v>
      </c>
      <c r="Y346" s="393" t="s">
        <v>276</v>
      </c>
      <c r="Z346" s="211">
        <f t="shared" ref="Z346:Z347" si="235">K346*O346</f>
        <v>5870456.5724999998</v>
      </c>
      <c r="AA346" s="213">
        <f t="shared" ref="AA346:AA347" si="236">Z346-Q346</f>
        <v>48714.088499999605</v>
      </c>
      <c r="AF346" s="112"/>
    </row>
    <row r="347" spans="2:32" outlineLevel="1">
      <c r="B347" s="125">
        <v>316</v>
      </c>
      <c r="C347" s="120" t="s">
        <v>264</v>
      </c>
      <c r="D347" s="153">
        <v>6268</v>
      </c>
      <c r="E347" s="126">
        <v>45952</v>
      </c>
      <c r="F347" s="126">
        <v>46012</v>
      </c>
      <c r="G347" s="126"/>
      <c r="H347" s="126"/>
      <c r="I347" s="127"/>
      <c r="J347" s="144">
        <f t="shared" ca="1" si="222"/>
        <v>0</v>
      </c>
      <c r="K347" s="134">
        <v>650</v>
      </c>
      <c r="L347" s="134">
        <v>645</v>
      </c>
      <c r="M347" s="215">
        <f t="shared" si="211"/>
        <v>5</v>
      </c>
      <c r="N347" s="130">
        <v>4116.9399999999996</v>
      </c>
      <c r="O347" s="130">
        <v>3806.41</v>
      </c>
      <c r="P347" s="168">
        <f t="shared" si="215"/>
        <v>-310.52999999999975</v>
      </c>
      <c r="Q347" s="168">
        <f>K347*N347</f>
        <v>2676010.9999999995</v>
      </c>
      <c r="R347" s="168">
        <f t="shared" si="233"/>
        <v>2455134.4499999997</v>
      </c>
      <c r="S347" s="168">
        <f t="shared" si="234"/>
        <v>-220876.54999999981</v>
      </c>
      <c r="T347" s="216" t="str">
        <f t="shared" ref="T347" si="237">IF(R347&lt;= Q347,"No Monetizar","Monetizar")</f>
        <v>No Monetizar</v>
      </c>
      <c r="U347" s="290"/>
      <c r="V347" s="394">
        <v>46006</v>
      </c>
      <c r="W347" s="393" t="s">
        <v>275</v>
      </c>
      <c r="X347" s="393" t="s">
        <v>275</v>
      </c>
      <c r="Y347" s="393" t="s">
        <v>593</v>
      </c>
      <c r="Z347" s="211">
        <f t="shared" si="235"/>
        <v>2474166.5</v>
      </c>
      <c r="AA347" s="213">
        <f t="shared" si="236"/>
        <v>-201844.49999999953</v>
      </c>
      <c r="AF347" s="112"/>
    </row>
    <row r="348" spans="2:32" outlineLevel="1">
      <c r="B348" s="125">
        <v>317</v>
      </c>
      <c r="C348" s="120" t="s">
        <v>888</v>
      </c>
      <c r="D348" s="153" t="s">
        <v>902</v>
      </c>
      <c r="E348" s="126">
        <v>45989</v>
      </c>
      <c r="F348" s="126">
        <v>46048</v>
      </c>
      <c r="G348" s="126"/>
      <c r="H348" s="126"/>
      <c r="I348" s="127"/>
      <c r="J348" s="144">
        <f t="shared" ca="1" si="222"/>
        <v>0</v>
      </c>
      <c r="K348" s="134">
        <v>8982.49</v>
      </c>
      <c r="L348" s="134">
        <v>8982.49</v>
      </c>
      <c r="M348" s="215">
        <f t="shared" ref="M348:M361" si="238">K348-L348</f>
        <v>0</v>
      </c>
      <c r="N348" s="130">
        <v>3901.29</v>
      </c>
      <c r="O348" s="130">
        <v>3806.41</v>
      </c>
      <c r="P348" s="168">
        <f t="shared" si="215"/>
        <v>-94.880000000000109</v>
      </c>
      <c r="Q348" s="168">
        <f t="shared" ref="Q348:Q352" si="239">K348*N348</f>
        <v>35043298.412100002</v>
      </c>
      <c r="R348" s="168">
        <f t="shared" si="233"/>
        <v>34191039.760899998</v>
      </c>
      <c r="S348" s="168">
        <f t="shared" si="234"/>
        <v>-852258.65120000392</v>
      </c>
      <c r="T348" s="216" t="str">
        <f t="shared" ref="T348:T352" si="240">IF(R348&lt;= Q348,"No Monetizar","Monetizar")</f>
        <v>No Monetizar</v>
      </c>
      <c r="U348" s="209"/>
      <c r="V348" s="210">
        <v>46006</v>
      </c>
      <c r="W348" s="393" t="s">
        <v>275</v>
      </c>
      <c r="X348" s="393" t="s">
        <v>275</v>
      </c>
      <c r="Y348" s="393" t="s">
        <v>595</v>
      </c>
      <c r="Z348" s="211">
        <f t="shared" ref="Z348:Z354" si="241">K348*O348</f>
        <v>34191039.760899998</v>
      </c>
      <c r="AA348" s="213">
        <f t="shared" ref="AA348:AA352" si="242">Z348-Q348</f>
        <v>-852258.65120000392</v>
      </c>
      <c r="AF348" s="112"/>
    </row>
    <row r="349" spans="2:32" outlineLevel="1">
      <c r="B349" s="125">
        <v>318</v>
      </c>
      <c r="C349" s="120" t="s">
        <v>888</v>
      </c>
      <c r="D349" s="153" t="s">
        <v>901</v>
      </c>
      <c r="E349" s="126">
        <v>45989</v>
      </c>
      <c r="F349" s="126">
        <v>46048</v>
      </c>
      <c r="G349" s="126"/>
      <c r="H349" s="126"/>
      <c r="I349" s="127"/>
      <c r="J349" s="144">
        <f t="shared" ca="1" si="222"/>
        <v>0</v>
      </c>
      <c r="K349" s="134">
        <v>8576.2000000000007</v>
      </c>
      <c r="L349" s="134">
        <v>8586.2000000000007</v>
      </c>
      <c r="M349" s="215">
        <f>L349-K349</f>
        <v>10</v>
      </c>
      <c r="N349" s="130">
        <v>3901.29</v>
      </c>
      <c r="O349" s="130">
        <v>3806.41</v>
      </c>
      <c r="P349" s="168">
        <f t="shared" si="215"/>
        <v>-94.880000000000109</v>
      </c>
      <c r="Q349" s="168">
        <f t="shared" si="239"/>
        <v>33458243.298000004</v>
      </c>
      <c r="R349" s="168">
        <f t="shared" si="233"/>
        <v>32682597.542000003</v>
      </c>
      <c r="S349" s="168">
        <f t="shared" si="234"/>
        <v>-775645.75600000098</v>
      </c>
      <c r="T349" s="216" t="str">
        <f t="shared" si="240"/>
        <v>No Monetizar</v>
      </c>
      <c r="U349" s="209"/>
      <c r="V349" s="210">
        <v>46006</v>
      </c>
      <c r="W349" s="393" t="s">
        <v>275</v>
      </c>
      <c r="X349" s="393" t="s">
        <v>275</v>
      </c>
      <c r="Y349" s="393" t="s">
        <v>595</v>
      </c>
      <c r="Z349" s="211">
        <f t="shared" si="241"/>
        <v>32644533.442000002</v>
      </c>
      <c r="AA349" s="213">
        <f t="shared" si="242"/>
        <v>-813709.85600000247</v>
      </c>
      <c r="AF349" s="112"/>
    </row>
    <row r="350" spans="2:32" outlineLevel="1">
      <c r="B350" s="125">
        <v>319</v>
      </c>
      <c r="C350" s="120" t="s">
        <v>888</v>
      </c>
      <c r="D350" s="153" t="s">
        <v>903</v>
      </c>
      <c r="E350" s="126">
        <v>45989</v>
      </c>
      <c r="F350" s="126">
        <v>46048</v>
      </c>
      <c r="G350" s="126"/>
      <c r="H350" s="126"/>
      <c r="I350" s="127"/>
      <c r="J350" s="144">
        <f t="shared" ca="1" si="222"/>
        <v>0</v>
      </c>
      <c r="K350" s="134">
        <v>4116.28</v>
      </c>
      <c r="L350" s="134">
        <v>4106.28</v>
      </c>
      <c r="M350" s="215">
        <f t="shared" si="238"/>
        <v>10</v>
      </c>
      <c r="N350" s="130">
        <v>3870.42</v>
      </c>
      <c r="O350" s="130">
        <v>3806.41</v>
      </c>
      <c r="P350" s="168">
        <f t="shared" si="215"/>
        <v>-64.010000000000218</v>
      </c>
      <c r="Q350" s="168">
        <f t="shared" si="239"/>
        <v>15931732.4376</v>
      </c>
      <c r="R350" s="168">
        <f t="shared" si="233"/>
        <v>15630185.254799999</v>
      </c>
      <c r="S350" s="168">
        <f t="shared" si="234"/>
        <v>-301547.18280000053</v>
      </c>
      <c r="T350" s="216" t="str">
        <f t="shared" si="240"/>
        <v>No Monetizar</v>
      </c>
      <c r="U350" s="209"/>
      <c r="V350" s="210">
        <v>46006</v>
      </c>
      <c r="W350" s="393" t="s">
        <v>275</v>
      </c>
      <c r="X350" s="393" t="s">
        <v>275</v>
      </c>
      <c r="Y350" s="393" t="s">
        <v>595</v>
      </c>
      <c r="Z350" s="211">
        <f t="shared" si="241"/>
        <v>15668249.354799999</v>
      </c>
      <c r="AA350" s="213">
        <f t="shared" si="242"/>
        <v>-263483.08280000091</v>
      </c>
      <c r="AF350" s="112"/>
    </row>
    <row r="351" spans="2:32" outlineLevel="1">
      <c r="B351" s="125">
        <v>320</v>
      </c>
      <c r="C351" s="120" t="s">
        <v>888</v>
      </c>
      <c r="D351" s="153" t="s">
        <v>904</v>
      </c>
      <c r="E351" s="126">
        <v>45989</v>
      </c>
      <c r="F351" s="126">
        <v>46048</v>
      </c>
      <c r="G351" s="126"/>
      <c r="H351" s="126"/>
      <c r="I351" s="127"/>
      <c r="J351" s="144">
        <f t="shared" ca="1" si="222"/>
        <v>0</v>
      </c>
      <c r="K351" s="134">
        <v>2070</v>
      </c>
      <c r="L351" s="134">
        <v>2070</v>
      </c>
      <c r="M351" s="215">
        <f t="shared" si="238"/>
        <v>0</v>
      </c>
      <c r="N351" s="130">
        <v>3901.29</v>
      </c>
      <c r="O351" s="130">
        <v>3806.41</v>
      </c>
      <c r="P351" s="168">
        <f t="shared" si="215"/>
        <v>-94.880000000000109</v>
      </c>
      <c r="Q351" s="168">
        <f t="shared" si="239"/>
        <v>8075670.2999999998</v>
      </c>
      <c r="R351" s="168">
        <f t="shared" si="233"/>
        <v>7879268.6999999993</v>
      </c>
      <c r="S351" s="168">
        <f t="shared" si="234"/>
        <v>-196401.60000000056</v>
      </c>
      <c r="T351" s="216" t="str">
        <f t="shared" si="240"/>
        <v>No Monetizar</v>
      </c>
      <c r="U351" s="209"/>
      <c r="V351" s="210">
        <v>46006</v>
      </c>
      <c r="W351" s="393" t="s">
        <v>275</v>
      </c>
      <c r="X351" s="393" t="s">
        <v>275</v>
      </c>
      <c r="Y351" s="393" t="s">
        <v>595</v>
      </c>
      <c r="Z351" s="211">
        <f t="shared" si="241"/>
        <v>7879268.6999999993</v>
      </c>
      <c r="AA351" s="213">
        <f t="shared" si="242"/>
        <v>-196401.60000000056</v>
      </c>
      <c r="AF351" s="112"/>
    </row>
    <row r="352" spans="2:32" outlineLevel="1">
      <c r="B352" s="125">
        <v>321</v>
      </c>
      <c r="C352" s="120" t="s">
        <v>606</v>
      </c>
      <c r="D352" s="153" t="s">
        <v>643</v>
      </c>
      <c r="E352" s="126">
        <v>46007</v>
      </c>
      <c r="F352" s="126">
        <v>46066</v>
      </c>
      <c r="G352" s="126"/>
      <c r="H352" s="126"/>
      <c r="I352" s="127"/>
      <c r="J352" s="208">
        <f t="shared" ca="1" si="222"/>
        <v>0</v>
      </c>
      <c r="K352" s="218">
        <v>48000</v>
      </c>
      <c r="L352" s="218">
        <v>48000</v>
      </c>
      <c r="M352" s="129">
        <f t="shared" si="238"/>
        <v>0</v>
      </c>
      <c r="N352" s="130">
        <v>3831.66</v>
      </c>
      <c r="O352" s="219">
        <v>3831.66</v>
      </c>
      <c r="P352" s="168">
        <f t="shared" si="215"/>
        <v>0</v>
      </c>
      <c r="Q352" s="132">
        <f t="shared" si="239"/>
        <v>183919680</v>
      </c>
      <c r="R352" s="132">
        <f t="shared" si="233"/>
        <v>183919680</v>
      </c>
      <c r="S352" s="168">
        <f t="shared" si="234"/>
        <v>0</v>
      </c>
      <c r="T352" s="133" t="str">
        <f t="shared" si="240"/>
        <v>No Monetizar</v>
      </c>
      <c r="U352" s="209"/>
      <c r="V352" s="394">
        <v>46007</v>
      </c>
      <c r="W352" s="393" t="s">
        <v>275</v>
      </c>
      <c r="X352" s="393" t="s">
        <v>275</v>
      </c>
      <c r="Y352" s="466" t="s">
        <v>644</v>
      </c>
      <c r="Z352" s="211">
        <f t="shared" si="241"/>
        <v>183919680</v>
      </c>
      <c r="AA352" s="213">
        <f t="shared" si="242"/>
        <v>0</v>
      </c>
      <c r="AF352" s="112"/>
    </row>
    <row r="353" spans="2:32" outlineLevel="1">
      <c r="B353" s="125">
        <v>322</v>
      </c>
      <c r="C353" s="120" t="s">
        <v>117</v>
      </c>
      <c r="D353" s="153" t="s">
        <v>588</v>
      </c>
      <c r="E353" s="126">
        <v>46010</v>
      </c>
      <c r="F353" s="126">
        <v>46070</v>
      </c>
      <c r="G353" s="126"/>
      <c r="H353" s="126"/>
      <c r="I353" s="127"/>
      <c r="J353" s="144">
        <f t="shared" ca="1" si="222"/>
        <v>0</v>
      </c>
      <c r="K353" s="134">
        <v>38059.980000000003</v>
      </c>
      <c r="L353" s="218">
        <v>38044.980000000003</v>
      </c>
      <c r="M353" s="129">
        <f t="shared" si="238"/>
        <v>15</v>
      </c>
      <c r="N353" s="130">
        <v>3798.5</v>
      </c>
      <c r="O353" s="219">
        <v>3798</v>
      </c>
      <c r="P353" s="168">
        <f t="shared" si="215"/>
        <v>-0.5</v>
      </c>
      <c r="Q353" s="132">
        <f t="shared" ref="Q353" si="243">K353*N353</f>
        <v>144570834.03</v>
      </c>
      <c r="R353" s="132">
        <f t="shared" ref="R353" si="244">L353*O353</f>
        <v>144494834.04000002</v>
      </c>
      <c r="S353" s="168">
        <f t="shared" ref="S353" si="245">R353-Q353</f>
        <v>-75999.989999979734</v>
      </c>
      <c r="T353" s="133" t="str">
        <f t="shared" ref="T353" si="246">IF(R353&lt;= Q353,"No Monetizar","Monetizar")</f>
        <v>No Monetizar</v>
      </c>
      <c r="U353" s="209"/>
      <c r="V353" s="394">
        <v>46010</v>
      </c>
      <c r="W353" s="393" t="s">
        <v>275</v>
      </c>
      <c r="X353" s="393" t="s">
        <v>275</v>
      </c>
      <c r="Y353" s="466" t="s">
        <v>645</v>
      </c>
      <c r="Z353" s="211">
        <f t="shared" si="241"/>
        <v>144551804.04000002</v>
      </c>
      <c r="AA353" s="213">
        <f t="shared" ref="AA353:AA359" si="247">Z353-Q353</f>
        <v>-19029.989999979734</v>
      </c>
      <c r="AF353" s="112"/>
    </row>
    <row r="354" spans="2:32" outlineLevel="1">
      <c r="B354" s="125">
        <v>323</v>
      </c>
      <c r="C354" s="120" t="s">
        <v>277</v>
      </c>
      <c r="D354" s="153">
        <v>6506</v>
      </c>
      <c r="E354" s="126">
        <v>46009</v>
      </c>
      <c r="F354" s="126">
        <v>46069</v>
      </c>
      <c r="G354" s="126"/>
      <c r="H354" s="126"/>
      <c r="I354" s="127"/>
      <c r="J354" s="144">
        <f t="shared" ca="1" si="222"/>
        <v>0</v>
      </c>
      <c r="K354" s="134">
        <v>12423.6</v>
      </c>
      <c r="L354" s="134">
        <v>12423.6</v>
      </c>
      <c r="M354" s="129">
        <f t="shared" si="238"/>
        <v>0</v>
      </c>
      <c r="N354" s="130">
        <v>3743.01</v>
      </c>
      <c r="O354" s="219">
        <v>3759.01</v>
      </c>
      <c r="P354" s="168">
        <f t="shared" si="215"/>
        <v>16</v>
      </c>
      <c r="Q354" s="132">
        <f t="shared" ref="Q354:Q355" si="248">K354*N354</f>
        <v>46501659.036000006</v>
      </c>
      <c r="R354" s="132">
        <f t="shared" ref="R354:R355" si="249">L354*O354</f>
        <v>46700436.636000007</v>
      </c>
      <c r="S354" s="168">
        <f t="shared" ref="S354:S355" si="250">R354-Q354</f>
        <v>198777.60000000149</v>
      </c>
      <c r="T354" s="133" t="str">
        <f t="shared" ref="T354:T355" si="251">IF(R354&lt;= Q354,"No Monetizar","Monetizar")</f>
        <v>Monetizar</v>
      </c>
      <c r="U354" s="293"/>
      <c r="V354" s="394">
        <v>46010</v>
      </c>
      <c r="W354" s="393" t="s">
        <v>275</v>
      </c>
      <c r="X354" s="393" t="s">
        <v>275</v>
      </c>
      <c r="Y354" s="393" t="s">
        <v>276</v>
      </c>
      <c r="Z354" s="211">
        <f t="shared" si="241"/>
        <v>46700436.636000007</v>
      </c>
      <c r="AA354" s="213">
        <f t="shared" si="247"/>
        <v>198777.60000000149</v>
      </c>
      <c r="AF354" s="112"/>
    </row>
    <row r="355" spans="2:32" outlineLevel="1">
      <c r="B355" s="125">
        <v>324</v>
      </c>
      <c r="C355" s="120" t="s">
        <v>277</v>
      </c>
      <c r="D355" s="153" t="s">
        <v>646</v>
      </c>
      <c r="E355" s="126">
        <v>46009</v>
      </c>
      <c r="F355" s="126">
        <v>46069</v>
      </c>
      <c r="G355" s="126"/>
      <c r="H355" s="126"/>
      <c r="I355" s="127"/>
      <c r="J355" s="144">
        <f t="shared" ca="1" si="222"/>
        <v>0</v>
      </c>
      <c r="K355" s="134">
        <v>312007.49</v>
      </c>
      <c r="L355" s="134">
        <v>312007.49</v>
      </c>
      <c r="M355" s="129">
        <f t="shared" ref="M355" si="252">K355-L355</f>
        <v>0</v>
      </c>
      <c r="N355" s="130">
        <v>3743.01</v>
      </c>
      <c r="O355" s="219">
        <v>3759.01</v>
      </c>
      <c r="P355" s="168">
        <f t="shared" si="215"/>
        <v>16</v>
      </c>
      <c r="Q355" s="132">
        <f t="shared" si="248"/>
        <v>1167847155.1449001</v>
      </c>
      <c r="R355" s="132">
        <f t="shared" si="249"/>
        <v>1172839274.9849</v>
      </c>
      <c r="S355" s="168">
        <f t="shared" si="250"/>
        <v>4992119.8399999142</v>
      </c>
      <c r="T355" s="133" t="str">
        <f t="shared" si="251"/>
        <v>Monetizar</v>
      </c>
      <c r="U355" s="293"/>
      <c r="V355" s="394">
        <v>46010</v>
      </c>
      <c r="W355" s="393" t="s">
        <v>275</v>
      </c>
      <c r="X355" s="393" t="s">
        <v>275</v>
      </c>
      <c r="Y355" s="393" t="s">
        <v>276</v>
      </c>
      <c r="Z355" s="211">
        <f t="shared" ref="Z355" si="253">K355*O355</f>
        <v>1172839274.9849</v>
      </c>
      <c r="AA355" s="213">
        <f t="shared" si="247"/>
        <v>4992119.8399999142</v>
      </c>
      <c r="AF355" s="112"/>
    </row>
    <row r="356" spans="2:32" outlineLevel="1">
      <c r="B356" s="125">
        <v>325</v>
      </c>
      <c r="C356" s="120" t="s">
        <v>310</v>
      </c>
      <c r="D356" s="153">
        <v>6524</v>
      </c>
      <c r="E356" s="126">
        <v>46007</v>
      </c>
      <c r="F356" s="126">
        <v>46067</v>
      </c>
      <c r="G356" s="126"/>
      <c r="H356" s="126"/>
      <c r="I356" s="127"/>
      <c r="J356" s="144">
        <f t="shared" ca="1" si="222"/>
        <v>0</v>
      </c>
      <c r="K356" s="134">
        <v>178.5</v>
      </c>
      <c r="L356" s="134">
        <v>178.5</v>
      </c>
      <c r="M356" s="129">
        <f t="shared" si="238"/>
        <v>0</v>
      </c>
      <c r="N356" s="130">
        <v>3753.83</v>
      </c>
      <c r="O356" s="219">
        <v>3788.5</v>
      </c>
      <c r="P356" s="168">
        <f t="shared" si="215"/>
        <v>34.670000000000073</v>
      </c>
      <c r="Q356" s="132">
        <f t="shared" ref="Q356:Q357" si="254">K356*N356</f>
        <v>670058.65500000003</v>
      </c>
      <c r="R356" s="132">
        <f t="shared" ref="R356:R357" si="255">L356*O356</f>
        <v>676247.25</v>
      </c>
      <c r="S356" s="168">
        <f t="shared" ref="S356:S357" si="256">R356-Q356</f>
        <v>6188.5949999999721</v>
      </c>
      <c r="T356" s="133" t="str">
        <f t="shared" ref="T356:T357" si="257">IF(R356&lt;= Q356,"No Monetizar","Monetizar")</f>
        <v>Monetizar</v>
      </c>
      <c r="U356" s="293"/>
      <c r="V356" s="394">
        <v>46010</v>
      </c>
      <c r="W356" s="393" t="s">
        <v>275</v>
      </c>
      <c r="X356" s="393" t="s">
        <v>275</v>
      </c>
      <c r="Y356" s="393" t="s">
        <v>276</v>
      </c>
      <c r="Z356" s="211">
        <f t="shared" ref="Z356:Z357" si="258">K356*O356</f>
        <v>676247.25</v>
      </c>
      <c r="AA356" s="213">
        <f t="shared" si="247"/>
        <v>6188.5949999999721</v>
      </c>
      <c r="AF356" s="112"/>
    </row>
    <row r="357" spans="2:32" outlineLevel="1">
      <c r="B357" s="125">
        <v>326</v>
      </c>
      <c r="C357" s="120" t="s">
        <v>310</v>
      </c>
      <c r="D357" s="153" t="s">
        <v>626</v>
      </c>
      <c r="E357" s="126">
        <v>46007</v>
      </c>
      <c r="F357" s="126">
        <v>46067</v>
      </c>
      <c r="G357" s="126"/>
      <c r="H357" s="126"/>
      <c r="I357" s="127"/>
      <c r="J357" s="144">
        <f t="shared" ca="1" si="222"/>
        <v>0</v>
      </c>
      <c r="K357" s="134">
        <v>1564.75</v>
      </c>
      <c r="L357" s="134">
        <v>1564.75</v>
      </c>
      <c r="M357" s="129">
        <f t="shared" si="238"/>
        <v>0</v>
      </c>
      <c r="N357" s="130">
        <v>3753.83</v>
      </c>
      <c r="O357" s="219">
        <v>3788.5</v>
      </c>
      <c r="P357" s="168">
        <f t="shared" si="215"/>
        <v>34.670000000000073</v>
      </c>
      <c r="Q357" s="132">
        <f t="shared" si="254"/>
        <v>5873805.4924999997</v>
      </c>
      <c r="R357" s="132">
        <f t="shared" si="255"/>
        <v>5928055.375</v>
      </c>
      <c r="S357" s="168">
        <f t="shared" si="256"/>
        <v>54249.882500000298</v>
      </c>
      <c r="T357" s="133" t="str">
        <f t="shared" si="257"/>
        <v>Monetizar</v>
      </c>
      <c r="U357" s="293"/>
      <c r="V357" s="394">
        <v>46010</v>
      </c>
      <c r="W357" s="393" t="s">
        <v>275</v>
      </c>
      <c r="X357" s="393" t="s">
        <v>275</v>
      </c>
      <c r="Y357" s="393" t="s">
        <v>276</v>
      </c>
      <c r="Z357" s="211">
        <f t="shared" si="258"/>
        <v>5928055.375</v>
      </c>
      <c r="AA357" s="213">
        <f t="shared" si="247"/>
        <v>54249.882500000298</v>
      </c>
      <c r="AF357" s="112"/>
    </row>
    <row r="358" spans="2:32" outlineLevel="1">
      <c r="B358" s="125">
        <v>327</v>
      </c>
      <c r="C358" s="120" t="s">
        <v>265</v>
      </c>
      <c r="D358" s="153">
        <v>6527</v>
      </c>
      <c r="E358" s="126">
        <v>46009</v>
      </c>
      <c r="F358" s="126">
        <v>46069</v>
      </c>
      <c r="G358" s="126"/>
      <c r="H358" s="126"/>
      <c r="I358" s="127"/>
      <c r="J358" s="144">
        <f t="shared" ref="J358:J361" ca="1" si="259">IFERROR(IF(TODAY()&gt;=E358,(TODAY()-E358)/I358,0),0)</f>
        <v>0</v>
      </c>
      <c r="K358" s="134">
        <v>428.1</v>
      </c>
      <c r="L358" s="134">
        <v>428.1</v>
      </c>
      <c r="M358" s="129">
        <f t="shared" si="238"/>
        <v>0</v>
      </c>
      <c r="N358" s="130">
        <v>3772.88</v>
      </c>
      <c r="O358" s="219">
        <v>3788</v>
      </c>
      <c r="P358" s="168">
        <f t="shared" si="215"/>
        <v>15.119999999999891</v>
      </c>
      <c r="Q358" s="132">
        <f t="shared" ref="Q358" si="260">K358*N358</f>
        <v>1615169.9280000001</v>
      </c>
      <c r="R358" s="132">
        <f t="shared" ref="R358" si="261">L358*O358</f>
        <v>1621642.8</v>
      </c>
      <c r="S358" s="168">
        <f t="shared" ref="S358" si="262">R358-Q358</f>
        <v>6472.8719999999739</v>
      </c>
      <c r="T358" s="133" t="str">
        <f t="shared" ref="T358" si="263">IF(R358&lt;= Q358,"No Monetizar","Monetizar")</f>
        <v>Monetizar</v>
      </c>
      <c r="U358" s="293"/>
      <c r="V358" s="394">
        <v>46010</v>
      </c>
      <c r="W358" s="393" t="s">
        <v>275</v>
      </c>
      <c r="X358" s="393" t="s">
        <v>275</v>
      </c>
      <c r="Y358" s="393" t="s">
        <v>276</v>
      </c>
      <c r="Z358" s="211">
        <f t="shared" ref="Z358" si="264">K358*O358</f>
        <v>1621642.8</v>
      </c>
      <c r="AA358" s="213">
        <f t="shared" si="247"/>
        <v>6472.8719999999739</v>
      </c>
      <c r="AF358" s="112"/>
    </row>
    <row r="359" spans="2:32" outlineLevel="1">
      <c r="B359" s="125">
        <v>328</v>
      </c>
      <c r="C359" s="120" t="s">
        <v>265</v>
      </c>
      <c r="D359" s="153" t="s">
        <v>658</v>
      </c>
      <c r="E359" s="126">
        <v>46009</v>
      </c>
      <c r="F359" s="126">
        <v>46069</v>
      </c>
      <c r="G359" s="126"/>
      <c r="H359" s="126"/>
      <c r="I359" s="127"/>
      <c r="J359" s="144">
        <f t="shared" ca="1" si="259"/>
        <v>0</v>
      </c>
      <c r="K359" s="134">
        <v>7783.65</v>
      </c>
      <c r="L359" s="134">
        <v>7783.65</v>
      </c>
      <c r="M359" s="129">
        <f t="shared" si="238"/>
        <v>0</v>
      </c>
      <c r="N359" s="130">
        <v>3772.88</v>
      </c>
      <c r="O359" s="219">
        <v>3788</v>
      </c>
      <c r="P359" s="168">
        <f t="shared" si="215"/>
        <v>15.119999999999891</v>
      </c>
      <c r="Q359" s="132">
        <f t="shared" ref="Q359" si="265">K359*N359</f>
        <v>29366777.412</v>
      </c>
      <c r="R359" s="132">
        <f t="shared" ref="R359" si="266">L359*O359</f>
        <v>29484466.199999999</v>
      </c>
      <c r="S359" s="168">
        <f t="shared" ref="S359" si="267">R359-Q359</f>
        <v>117688.78799999878</v>
      </c>
      <c r="T359" s="133" t="str">
        <f t="shared" ref="T359" si="268">IF(R359&lt;= Q359,"No Monetizar","Monetizar")</f>
        <v>Monetizar</v>
      </c>
      <c r="U359" s="293"/>
      <c r="V359" s="394">
        <v>46010</v>
      </c>
      <c r="W359" s="393" t="s">
        <v>275</v>
      </c>
      <c r="X359" s="393" t="s">
        <v>275</v>
      </c>
      <c r="Y359" s="393" t="s">
        <v>276</v>
      </c>
      <c r="Z359" s="211">
        <f t="shared" ref="Z359" si="269">K359*O359</f>
        <v>29484466.199999999</v>
      </c>
      <c r="AA359" s="213">
        <f t="shared" si="247"/>
        <v>117688.78799999878</v>
      </c>
      <c r="AF359" s="112"/>
    </row>
    <row r="360" spans="2:32" outlineLevel="1">
      <c r="B360" s="125">
        <v>329</v>
      </c>
      <c r="C360" s="120" t="s">
        <v>277</v>
      </c>
      <c r="D360" s="153">
        <v>6535</v>
      </c>
      <c r="E360" s="126">
        <v>46009</v>
      </c>
      <c r="F360" s="126">
        <v>46069</v>
      </c>
      <c r="G360" s="126"/>
      <c r="H360" s="126"/>
      <c r="I360" s="127"/>
      <c r="J360" s="144">
        <f t="shared" ca="1" si="259"/>
        <v>0</v>
      </c>
      <c r="K360" s="134">
        <v>285.60000000000002</v>
      </c>
      <c r="L360" s="218">
        <v>303.55547871819897</v>
      </c>
      <c r="M360" s="129">
        <f t="shared" si="238"/>
        <v>-17.955478718198947</v>
      </c>
      <c r="N360" s="130">
        <v>3743.01</v>
      </c>
      <c r="O360" s="219">
        <v>3771.5</v>
      </c>
      <c r="P360" s="168">
        <f t="shared" si="215"/>
        <v>28.489999999999782</v>
      </c>
      <c r="Q360" s="132">
        <f t="shared" ref="Q360:Q361" si="270">K360*N360</f>
        <v>1069003.6560000002</v>
      </c>
      <c r="R360" s="132">
        <f t="shared" ref="R360:R361" si="271">L360*O360</f>
        <v>1144859.4879856873</v>
      </c>
      <c r="S360" s="168">
        <f t="shared" ref="S360:S361" si="272">R360-Q360</f>
        <v>75855.831985687139</v>
      </c>
      <c r="T360" s="133" t="str">
        <f t="shared" ref="T360:T361" si="273">IF(R360&lt;= Q360,"No Monetizar","Monetizar")</f>
        <v>Monetizar</v>
      </c>
      <c r="U360" s="293"/>
      <c r="V360" s="394">
        <v>46010</v>
      </c>
      <c r="W360" s="393" t="s">
        <v>275</v>
      </c>
      <c r="X360" s="393" t="s">
        <v>275</v>
      </c>
      <c r="Y360" s="393" t="s">
        <v>276</v>
      </c>
      <c r="Z360" s="211">
        <f t="shared" ref="Z360:Z361" si="274">K360*O360</f>
        <v>1077140.4000000001</v>
      </c>
      <c r="AA360" s="213">
        <f t="shared" ref="AA360:AA361" si="275">Z360-Q360</f>
        <v>8136.7439999999478</v>
      </c>
      <c r="AF360" s="112"/>
    </row>
    <row r="361" spans="2:32" outlineLevel="1">
      <c r="B361" s="125">
        <v>330</v>
      </c>
      <c r="C361" s="120" t="s">
        <v>277</v>
      </c>
      <c r="D361" s="153" t="s">
        <v>665</v>
      </c>
      <c r="E361" s="126">
        <v>46009</v>
      </c>
      <c r="F361" s="126">
        <v>46069</v>
      </c>
      <c r="G361" s="126"/>
      <c r="H361" s="126"/>
      <c r="I361" s="127"/>
      <c r="J361" s="144">
        <f t="shared" ca="1" si="259"/>
        <v>0</v>
      </c>
      <c r="K361" s="134">
        <v>7685.06</v>
      </c>
      <c r="L361" s="218">
        <v>8168.2145212818014</v>
      </c>
      <c r="M361" s="129">
        <f t="shared" si="238"/>
        <v>-483.15452128180095</v>
      </c>
      <c r="N361" s="130">
        <v>3743.01</v>
      </c>
      <c r="O361" s="219">
        <v>3771.5</v>
      </c>
      <c r="P361" s="168">
        <f t="shared" si="215"/>
        <v>28.489999999999782</v>
      </c>
      <c r="Q361" s="132">
        <f t="shared" si="270"/>
        <v>28765256.430600002</v>
      </c>
      <c r="R361" s="132">
        <f t="shared" si="271"/>
        <v>30806421.067014314</v>
      </c>
      <c r="S361" s="168">
        <f t="shared" si="272"/>
        <v>2041164.6364143118</v>
      </c>
      <c r="T361" s="133" t="str">
        <f t="shared" si="273"/>
        <v>Monetizar</v>
      </c>
      <c r="U361" s="293"/>
      <c r="V361" s="394">
        <v>46010</v>
      </c>
      <c r="W361" s="393" t="s">
        <v>275</v>
      </c>
      <c r="X361" s="393" t="s">
        <v>275</v>
      </c>
      <c r="Y361" s="393" t="s">
        <v>276</v>
      </c>
      <c r="Z361" s="211">
        <f t="shared" si="274"/>
        <v>28984203.790000003</v>
      </c>
      <c r="AA361" s="213">
        <f t="shared" si="275"/>
        <v>218947.35940000042</v>
      </c>
      <c r="AF361" s="112"/>
    </row>
    <row r="362" spans="2:32" outlineLevel="1">
      <c r="B362" s="125">
        <v>331</v>
      </c>
      <c r="C362" s="214" t="s">
        <v>115</v>
      </c>
      <c r="D362" s="153">
        <v>6225</v>
      </c>
      <c r="E362" s="126">
        <v>46013</v>
      </c>
      <c r="F362" s="126">
        <v>46073</v>
      </c>
      <c r="G362" s="126"/>
      <c r="H362" s="126"/>
      <c r="I362" s="127"/>
      <c r="J362" s="144">
        <f ca="1">IFERROR(IF(TODAY()&gt;=E362,(TODAY()-E362)/I362,0),0)</f>
        <v>0</v>
      </c>
      <c r="K362" s="134">
        <v>825.96</v>
      </c>
      <c r="L362" s="218">
        <v>825.40898675675885</v>
      </c>
      <c r="M362" s="129">
        <f>K362-L362</f>
        <v>0.5510132432411865</v>
      </c>
      <c r="N362" s="130">
        <v>3753.83</v>
      </c>
      <c r="O362" s="219">
        <v>3767.36</v>
      </c>
      <c r="P362" s="168">
        <f t="shared" si="215"/>
        <v>13.5300000000002</v>
      </c>
      <c r="Q362" s="132">
        <f>K362*N362</f>
        <v>3100513.4268</v>
      </c>
      <c r="R362" s="132">
        <f>L362*O362</f>
        <v>3109612.8003479433</v>
      </c>
      <c r="S362" s="168">
        <f>R362-Q362</f>
        <v>9099.3735479433089</v>
      </c>
      <c r="T362" s="133" t="str">
        <f>IF(R362&lt;= Q362,"No Monetizar","Monetizar")</f>
        <v>Monetizar</v>
      </c>
      <c r="U362" s="293"/>
      <c r="V362" s="394">
        <v>46014</v>
      </c>
      <c r="W362" s="393" t="s">
        <v>275</v>
      </c>
      <c r="X362" s="393" t="s">
        <v>275</v>
      </c>
      <c r="Y362" s="393" t="s">
        <v>276</v>
      </c>
      <c r="Z362" s="211">
        <f>K362*O362</f>
        <v>3111688.6656000004</v>
      </c>
      <c r="AA362" s="213">
        <f>Z362-Q362</f>
        <v>11175.238800000399</v>
      </c>
      <c r="AF362" s="112"/>
    </row>
    <row r="363" spans="2:32" outlineLevel="1">
      <c r="B363" s="125">
        <v>332</v>
      </c>
      <c r="C363" s="214" t="s">
        <v>115</v>
      </c>
      <c r="D363" s="153" t="s">
        <v>670</v>
      </c>
      <c r="E363" s="126">
        <v>46013</v>
      </c>
      <c r="F363" s="126">
        <v>46073</v>
      </c>
      <c r="G363" s="126"/>
      <c r="H363" s="126"/>
      <c r="I363" s="127"/>
      <c r="J363" s="144">
        <f ca="1">IFERROR(IF(TODAY()&gt;=E363,(TODAY()-E363)/I363,0),0)</f>
        <v>0</v>
      </c>
      <c r="K363" s="134">
        <v>14103.92</v>
      </c>
      <c r="L363" s="218">
        <v>14094.51101324324</v>
      </c>
      <c r="M363" s="129">
        <f>K363-L363</f>
        <v>9.4089867567599867</v>
      </c>
      <c r="N363" s="130">
        <v>3753.83</v>
      </c>
      <c r="O363" s="219">
        <v>3767.36</v>
      </c>
      <c r="P363" s="168">
        <f t="shared" si="215"/>
        <v>13.5300000000002</v>
      </c>
      <c r="Q363" s="132">
        <f>K363*N363</f>
        <v>52943718.013599999</v>
      </c>
      <c r="R363" s="132">
        <f>L363*O363</f>
        <v>53099097.010852054</v>
      </c>
      <c r="S363" s="168">
        <f>R363-Q363</f>
        <v>155378.99725205451</v>
      </c>
      <c r="T363" s="133" t="str">
        <f>IF(R363&lt;= Q363,"No Monetizar","Monetizar")</f>
        <v>Monetizar</v>
      </c>
      <c r="U363" s="293"/>
      <c r="V363" s="394">
        <v>46014</v>
      </c>
      <c r="W363" s="393" t="s">
        <v>275</v>
      </c>
      <c r="X363" s="393" t="s">
        <v>275</v>
      </c>
      <c r="Y363" s="393" t="s">
        <v>276</v>
      </c>
      <c r="Z363" s="211">
        <f>K363*O363</f>
        <v>53134544.051200002</v>
      </c>
      <c r="AA363" s="213">
        <f>Z363-Q363</f>
        <v>190826.03760000318</v>
      </c>
      <c r="AF363" s="112"/>
    </row>
    <row r="364" spans="2:32" outlineLevel="1">
      <c r="B364" s="125">
        <v>333</v>
      </c>
      <c r="C364" s="120" t="s">
        <v>116</v>
      </c>
      <c r="D364" s="153">
        <v>6558</v>
      </c>
      <c r="E364" s="126">
        <v>46010</v>
      </c>
      <c r="F364" s="126">
        <v>46070</v>
      </c>
      <c r="G364" s="126"/>
      <c r="H364" s="126"/>
      <c r="I364" s="127"/>
      <c r="J364" s="144">
        <f t="shared" ref="J364:J371" ca="1" si="276">IFERROR(IF(TODAY()&gt;=E364,(TODAY()-E364)/I364,0),0)</f>
        <v>0</v>
      </c>
      <c r="K364" s="134">
        <v>596.29</v>
      </c>
      <c r="L364" s="218">
        <v>595.46431599178595</v>
      </c>
      <c r="M364" s="129">
        <f t="shared" ref="M364:M371" si="277">K364-L364</f>
        <v>0.82568400821401156</v>
      </c>
      <c r="N364" s="219">
        <v>3828.1</v>
      </c>
      <c r="O364" s="219">
        <v>3745</v>
      </c>
      <c r="P364" s="168">
        <f t="shared" si="215"/>
        <v>-83.099999999999909</v>
      </c>
      <c r="Q364" s="132">
        <f t="shared" ref="Q364:R367" si="278">K364*N364</f>
        <v>2282657.7489999998</v>
      </c>
      <c r="R364" s="132">
        <f t="shared" si="278"/>
        <v>2230013.8633892382</v>
      </c>
      <c r="S364" s="485">
        <f t="shared" ref="S364:S367" si="279">R364-Q364</f>
        <v>-52643.885610761587</v>
      </c>
      <c r="T364" s="133" t="str">
        <f t="shared" ref="T364:T367" si="280">IF(R364&lt;= Q364,"No Monetizar","Monetizar")</f>
        <v>No Monetizar</v>
      </c>
      <c r="U364" s="290"/>
      <c r="V364" s="394">
        <v>46014</v>
      </c>
      <c r="W364" s="393" t="s">
        <v>275</v>
      </c>
      <c r="X364" s="393" t="s">
        <v>275</v>
      </c>
      <c r="Y364" s="393" t="s">
        <v>681</v>
      </c>
      <c r="Z364" s="211">
        <f t="shared" ref="Z364:Z367" si="281">K364*O364</f>
        <v>2233106.0499999998</v>
      </c>
      <c r="AA364" s="213">
        <f t="shared" ref="AA364:AA367" si="282">Z364-Q364</f>
        <v>-49551.699000000022</v>
      </c>
      <c r="AC364" s="139"/>
      <c r="AD364" s="480"/>
      <c r="AF364" s="112"/>
    </row>
    <row r="365" spans="2:32" outlineLevel="1">
      <c r="B365" s="125">
        <v>334</v>
      </c>
      <c r="C365" s="120" t="s">
        <v>116</v>
      </c>
      <c r="D365" s="153" t="s">
        <v>665</v>
      </c>
      <c r="E365" s="126">
        <v>46010</v>
      </c>
      <c r="F365" s="126">
        <v>46070</v>
      </c>
      <c r="G365" s="126"/>
      <c r="H365" s="126"/>
      <c r="I365" s="127"/>
      <c r="J365" s="144">
        <f t="shared" ca="1" si="276"/>
        <v>0</v>
      </c>
      <c r="K365" s="134">
        <v>6625.48</v>
      </c>
      <c r="L365" s="218">
        <v>6616.3056840082145</v>
      </c>
      <c r="M365" s="129">
        <f t="shared" si="277"/>
        <v>9.1743159917850789</v>
      </c>
      <c r="N365" s="219">
        <v>3828.1</v>
      </c>
      <c r="O365" s="219">
        <v>3745</v>
      </c>
      <c r="P365" s="168">
        <f t="shared" si="215"/>
        <v>-83.099999999999909</v>
      </c>
      <c r="Q365" s="132">
        <f t="shared" si="278"/>
        <v>25362999.987999998</v>
      </c>
      <c r="R365" s="132">
        <f t="shared" si="278"/>
        <v>24778064.786610764</v>
      </c>
      <c r="S365" s="485">
        <f t="shared" si="279"/>
        <v>-584935.20138923451</v>
      </c>
      <c r="T365" s="133" t="str">
        <f t="shared" si="280"/>
        <v>No Monetizar</v>
      </c>
      <c r="U365" s="290"/>
      <c r="V365" s="394">
        <v>46014</v>
      </c>
      <c r="W365" s="393" t="s">
        <v>275</v>
      </c>
      <c r="X365" s="393" t="s">
        <v>275</v>
      </c>
      <c r="Y365" s="393" t="s">
        <v>681</v>
      </c>
      <c r="Z365" s="211">
        <f t="shared" si="281"/>
        <v>24812422.599999998</v>
      </c>
      <c r="AA365" s="213">
        <f t="shared" si="282"/>
        <v>-550577.38800000027</v>
      </c>
      <c r="AC365" s="139"/>
      <c r="AD365" s="480"/>
      <c r="AF365" s="112"/>
    </row>
    <row r="366" spans="2:32" outlineLevel="1">
      <c r="B366" s="125">
        <v>335</v>
      </c>
      <c r="C366" s="120" t="s">
        <v>303</v>
      </c>
      <c r="D366" s="153">
        <v>6556</v>
      </c>
      <c r="E366" s="126">
        <v>46013</v>
      </c>
      <c r="F366" s="126">
        <v>46073</v>
      </c>
      <c r="G366" s="126"/>
      <c r="H366" s="126"/>
      <c r="I366" s="127"/>
      <c r="J366" s="144">
        <f t="shared" ca="1" si="276"/>
        <v>0</v>
      </c>
      <c r="K366" s="134">
        <v>337.83</v>
      </c>
      <c r="L366" s="218">
        <v>337.83</v>
      </c>
      <c r="M366" s="129">
        <f t="shared" si="277"/>
        <v>0</v>
      </c>
      <c r="N366" s="219">
        <v>3827.86</v>
      </c>
      <c r="O366" s="219">
        <v>3745</v>
      </c>
      <c r="P366" s="168">
        <f t="shared" si="215"/>
        <v>-82.860000000000127</v>
      </c>
      <c r="Q366" s="132">
        <f t="shared" si="278"/>
        <v>1293165.9438</v>
      </c>
      <c r="R366" s="132">
        <f t="shared" si="278"/>
        <v>1265173.3499999999</v>
      </c>
      <c r="S366" s="485">
        <f t="shared" si="279"/>
        <v>-27992.593800000148</v>
      </c>
      <c r="T366" s="133" t="str">
        <f t="shared" si="280"/>
        <v>No Monetizar</v>
      </c>
      <c r="U366" s="290"/>
      <c r="V366" s="394">
        <v>46014</v>
      </c>
      <c r="W366" s="393" t="s">
        <v>275</v>
      </c>
      <c r="X366" s="393" t="s">
        <v>275</v>
      </c>
      <c r="Y366" s="393" t="s">
        <v>682</v>
      </c>
      <c r="Z366" s="211">
        <f t="shared" si="281"/>
        <v>1265173.3499999999</v>
      </c>
      <c r="AA366" s="213">
        <f t="shared" si="282"/>
        <v>-27992.593800000148</v>
      </c>
      <c r="AC366" s="139"/>
      <c r="AD366" s="480"/>
      <c r="AF366" s="112"/>
    </row>
    <row r="367" spans="2:32" outlineLevel="1">
      <c r="B367" s="125">
        <v>336</v>
      </c>
      <c r="C367" s="120" t="s">
        <v>303</v>
      </c>
      <c r="D367" s="153" t="s">
        <v>665</v>
      </c>
      <c r="E367" s="126">
        <v>46013</v>
      </c>
      <c r="F367" s="126">
        <v>46073</v>
      </c>
      <c r="G367" s="126"/>
      <c r="H367" s="126"/>
      <c r="I367" s="127"/>
      <c r="J367" s="144">
        <f t="shared" ca="1" si="276"/>
        <v>0</v>
      </c>
      <c r="K367" s="134">
        <v>3071.21</v>
      </c>
      <c r="L367" s="218">
        <v>3071.21</v>
      </c>
      <c r="M367" s="129">
        <f t="shared" si="277"/>
        <v>0</v>
      </c>
      <c r="N367" s="219">
        <v>3827.86</v>
      </c>
      <c r="O367" s="219">
        <v>3745</v>
      </c>
      <c r="P367" s="168">
        <f t="shared" si="215"/>
        <v>-82.860000000000127</v>
      </c>
      <c r="Q367" s="132">
        <f t="shared" si="278"/>
        <v>11756161.910600001</v>
      </c>
      <c r="R367" s="132">
        <f t="shared" si="278"/>
        <v>11501681.449999999</v>
      </c>
      <c r="S367" s="485">
        <f t="shared" si="279"/>
        <v>-254480.46060000174</v>
      </c>
      <c r="T367" s="133" t="str">
        <f t="shared" si="280"/>
        <v>No Monetizar</v>
      </c>
      <c r="U367" s="290"/>
      <c r="V367" s="394">
        <v>46014</v>
      </c>
      <c r="W367" s="393" t="s">
        <v>275</v>
      </c>
      <c r="X367" s="393" t="s">
        <v>275</v>
      </c>
      <c r="Y367" s="393" t="s">
        <v>682</v>
      </c>
      <c r="Z367" s="211">
        <f t="shared" si="281"/>
        <v>11501681.449999999</v>
      </c>
      <c r="AA367" s="213">
        <f t="shared" si="282"/>
        <v>-254480.46060000174</v>
      </c>
      <c r="AC367" s="139"/>
      <c r="AD367" s="480"/>
      <c r="AF367" s="112"/>
    </row>
    <row r="368" spans="2:32" outlineLevel="1">
      <c r="B368" s="125">
        <v>337</v>
      </c>
      <c r="C368" s="120" t="s">
        <v>120</v>
      </c>
      <c r="D368" s="153">
        <v>6561</v>
      </c>
      <c r="E368" s="126">
        <v>46014</v>
      </c>
      <c r="F368" s="126">
        <v>46074</v>
      </c>
      <c r="G368" s="126"/>
      <c r="H368" s="126"/>
      <c r="I368" s="127"/>
      <c r="J368" s="208">
        <f t="shared" ca="1" si="276"/>
        <v>0</v>
      </c>
      <c r="K368" s="134">
        <v>285.60000000000002</v>
      </c>
      <c r="L368" s="218">
        <v>283.91147293833859</v>
      </c>
      <c r="M368" s="129">
        <f t="shared" si="277"/>
        <v>1.6885270616614321</v>
      </c>
      <c r="N368" s="219">
        <v>3754.92</v>
      </c>
      <c r="O368" s="219">
        <v>3742.75</v>
      </c>
      <c r="P368" s="168">
        <f t="shared" si="215"/>
        <v>-12.170000000000073</v>
      </c>
      <c r="Q368" s="132">
        <f t="shared" ref="Q368" si="283">K368*N368</f>
        <v>1072405.152</v>
      </c>
      <c r="R368" s="132">
        <f t="shared" ref="R368" si="284">L368*O368</f>
        <v>1062609.6653399668</v>
      </c>
      <c r="S368" s="485">
        <f t="shared" ref="S368" si="285">R368-Q368</f>
        <v>-9795.4866600332316</v>
      </c>
      <c r="T368" s="133" t="str">
        <f t="shared" ref="T368" si="286">IF(R368&lt;= Q368,"No Monetizar","Monetizar")</f>
        <v>No Monetizar</v>
      </c>
      <c r="U368" s="290"/>
      <c r="V368" s="394">
        <v>46014</v>
      </c>
      <c r="W368" s="393" t="s">
        <v>275</v>
      </c>
      <c r="X368" s="393" t="s">
        <v>275</v>
      </c>
      <c r="Y368" s="393" t="s">
        <v>683</v>
      </c>
      <c r="Z368" s="211">
        <f t="shared" ref="Z368" si="287">K368*O368</f>
        <v>1068929.4000000001</v>
      </c>
      <c r="AA368" s="213">
        <f t="shared" ref="AA368" si="288">Z368-Q368</f>
        <v>-3475.7519999998622</v>
      </c>
      <c r="AC368" s="139"/>
      <c r="AD368" s="480"/>
      <c r="AF368" s="112"/>
    </row>
    <row r="369" spans="2:32" outlineLevel="1">
      <c r="B369" s="125">
        <v>338</v>
      </c>
      <c r="C369" s="120" t="s">
        <v>120</v>
      </c>
      <c r="D369" s="153" t="s">
        <v>677</v>
      </c>
      <c r="E369" s="126">
        <v>46014</v>
      </c>
      <c r="F369" s="126">
        <v>46074</v>
      </c>
      <c r="G369" s="126"/>
      <c r="H369" s="126"/>
      <c r="I369" s="127"/>
      <c r="J369" s="208">
        <f t="shared" ca="1" si="276"/>
        <v>0</v>
      </c>
      <c r="K369" s="134">
        <v>3097.23</v>
      </c>
      <c r="L369" s="218">
        <v>3078.9185270616613</v>
      </c>
      <c r="M369" s="129">
        <f t="shared" si="277"/>
        <v>18.311472938338738</v>
      </c>
      <c r="N369" s="219">
        <v>3754.92</v>
      </c>
      <c r="O369" s="219">
        <v>3742.75</v>
      </c>
      <c r="P369" s="168">
        <f t="shared" si="215"/>
        <v>-12.170000000000073</v>
      </c>
      <c r="Q369" s="132">
        <f t="shared" ref="Q369:Q371" si="289">K369*N369</f>
        <v>11629850.8716</v>
      </c>
      <c r="R369" s="132">
        <f t="shared" ref="R369:R371" si="290">L369*O369</f>
        <v>11523622.317160033</v>
      </c>
      <c r="S369" s="485">
        <f t="shared" ref="S369:S371" si="291">R369-Q369</f>
        <v>-106228.5544399675</v>
      </c>
      <c r="T369" s="133" t="str">
        <f t="shared" ref="T369:T371" si="292">IF(R369&lt;= Q369,"No Monetizar","Monetizar")</f>
        <v>No Monetizar</v>
      </c>
      <c r="U369" s="290"/>
      <c r="V369" s="394">
        <v>46014</v>
      </c>
      <c r="W369" s="393" t="s">
        <v>275</v>
      </c>
      <c r="X369" s="393" t="s">
        <v>275</v>
      </c>
      <c r="Y369" s="393" t="s">
        <v>683</v>
      </c>
      <c r="Z369" s="211">
        <f t="shared" ref="Z369:Z371" si="293">K369*O369</f>
        <v>11592157.5825</v>
      </c>
      <c r="AA369" s="213">
        <f t="shared" ref="AA369:AA371" si="294">Z369-Q369</f>
        <v>-37693.289100000635</v>
      </c>
      <c r="AC369" s="139"/>
      <c r="AD369" s="480"/>
      <c r="AF369" s="112"/>
    </row>
    <row r="370" spans="2:32" outlineLevel="1">
      <c r="B370" s="125">
        <v>339</v>
      </c>
      <c r="C370" s="120" t="s">
        <v>279</v>
      </c>
      <c r="D370" s="153">
        <v>6538</v>
      </c>
      <c r="E370" s="126">
        <v>46014</v>
      </c>
      <c r="F370" s="126">
        <v>46074</v>
      </c>
      <c r="G370" s="126"/>
      <c r="H370" s="126"/>
      <c r="I370" s="127"/>
      <c r="J370" s="208">
        <f t="shared" ca="1" si="276"/>
        <v>0</v>
      </c>
      <c r="K370" s="134">
        <v>995.54</v>
      </c>
      <c r="L370" s="218">
        <v>994.69093695949562</v>
      </c>
      <c r="M370" s="129">
        <f t="shared" si="277"/>
        <v>0.84906304050434755</v>
      </c>
      <c r="N370" s="219">
        <v>3779.41</v>
      </c>
      <c r="O370" s="219">
        <v>3745</v>
      </c>
      <c r="P370" s="168">
        <f t="shared" si="215"/>
        <v>-34.409999999999854</v>
      </c>
      <c r="Q370" s="132">
        <f t="shared" si="289"/>
        <v>3762553.8313999996</v>
      </c>
      <c r="R370" s="132">
        <f t="shared" si="290"/>
        <v>3725117.558913311</v>
      </c>
      <c r="S370" s="485">
        <f t="shared" si="291"/>
        <v>-37436.272486688569</v>
      </c>
      <c r="T370" s="133" t="str">
        <f t="shared" si="292"/>
        <v>No Monetizar</v>
      </c>
      <c r="U370" s="290"/>
      <c r="V370" s="394">
        <v>46014</v>
      </c>
      <c r="W370" s="393" t="s">
        <v>275</v>
      </c>
      <c r="X370" s="393" t="s">
        <v>275</v>
      </c>
      <c r="Y370" s="393" t="s">
        <v>684</v>
      </c>
      <c r="Z370" s="211">
        <f t="shared" si="293"/>
        <v>3728297.3</v>
      </c>
      <c r="AA370" s="213">
        <f t="shared" si="294"/>
        <v>-34256.531399999745</v>
      </c>
      <c r="AC370" s="139"/>
      <c r="AD370" s="480"/>
      <c r="AF370" s="112"/>
    </row>
    <row r="371" spans="2:32" outlineLevel="1">
      <c r="B371" s="125">
        <v>340</v>
      </c>
      <c r="C371" s="120" t="s">
        <v>279</v>
      </c>
      <c r="D371" s="153" t="s">
        <v>678</v>
      </c>
      <c r="E371" s="126">
        <v>46014</v>
      </c>
      <c r="F371" s="126">
        <v>46074</v>
      </c>
      <c r="G371" s="126"/>
      <c r="H371" s="126"/>
      <c r="I371" s="127"/>
      <c r="J371" s="208">
        <f t="shared" ca="1" si="276"/>
        <v>0</v>
      </c>
      <c r="K371" s="134">
        <v>16592.2</v>
      </c>
      <c r="L371" s="218">
        <v>16578.049063040507</v>
      </c>
      <c r="M371" s="129">
        <f t="shared" si="277"/>
        <v>14.150936959493265</v>
      </c>
      <c r="N371" s="219">
        <v>3779.41</v>
      </c>
      <c r="O371" s="219">
        <v>3745</v>
      </c>
      <c r="P371" s="168">
        <f t="shared" si="215"/>
        <v>-34.409999999999854</v>
      </c>
      <c r="Q371" s="132">
        <f t="shared" si="289"/>
        <v>62708726.601999998</v>
      </c>
      <c r="R371" s="132">
        <f t="shared" si="290"/>
        <v>62084793.741086699</v>
      </c>
      <c r="S371" s="485">
        <f t="shared" si="291"/>
        <v>-623932.86091329902</v>
      </c>
      <c r="T371" s="133" t="str">
        <f t="shared" si="292"/>
        <v>No Monetizar</v>
      </c>
      <c r="U371" s="290"/>
      <c r="V371" s="394">
        <v>46014</v>
      </c>
      <c r="W371" s="393" t="s">
        <v>275</v>
      </c>
      <c r="X371" s="393" t="s">
        <v>275</v>
      </c>
      <c r="Y371" s="393" t="s">
        <v>684</v>
      </c>
      <c r="Z371" s="211">
        <f t="shared" si="293"/>
        <v>62137789</v>
      </c>
      <c r="AA371" s="213">
        <f t="shared" si="294"/>
        <v>-570937.60199999809</v>
      </c>
      <c r="AC371" s="139"/>
      <c r="AD371" s="480"/>
      <c r="AF371" s="112"/>
    </row>
    <row r="372" spans="2:32" outlineLevel="1">
      <c r="B372" s="125">
        <v>341</v>
      </c>
      <c r="C372" s="120" t="s">
        <v>117</v>
      </c>
      <c r="D372" s="153">
        <v>159</v>
      </c>
      <c r="E372" s="126">
        <v>46015</v>
      </c>
      <c r="F372" s="126">
        <v>46075</v>
      </c>
      <c r="G372" s="126"/>
      <c r="H372" s="126"/>
      <c r="I372" s="127"/>
      <c r="J372" s="208">
        <f ca="1">IFERROR(IF(TODAY()&gt;=E372,(TODAY()-E372)/I372,0),0)</f>
        <v>0</v>
      </c>
      <c r="K372" s="134">
        <v>206353.61</v>
      </c>
      <c r="L372" s="218">
        <v>206338.61</v>
      </c>
      <c r="M372" s="129">
        <f>K372-L372</f>
        <v>15</v>
      </c>
      <c r="N372" s="130">
        <v>3798.5</v>
      </c>
      <c r="O372" s="219">
        <v>3690</v>
      </c>
      <c r="P372" s="168">
        <f t="shared" si="215"/>
        <v>-108.5</v>
      </c>
      <c r="Q372" s="132">
        <f t="shared" ref="Q372:R377" si="295">K372*N372</f>
        <v>783834187.58499992</v>
      </c>
      <c r="R372" s="132">
        <f t="shared" si="295"/>
        <v>761389470.89999998</v>
      </c>
      <c r="S372" s="168">
        <f t="shared" ref="S372:S377" si="296">R372-Q372</f>
        <v>-22444716.684999943</v>
      </c>
      <c r="T372" s="133" t="str">
        <f t="shared" ref="T372:T377" si="297">IF(R372&lt;= Q372,"No Monetizar","Monetizar")</f>
        <v>No Monetizar</v>
      </c>
      <c r="U372" s="209"/>
      <c r="V372" s="394">
        <v>46017</v>
      </c>
      <c r="W372" s="393" t="s">
        <v>275</v>
      </c>
      <c r="X372" s="393" t="s">
        <v>275</v>
      </c>
      <c r="Y372" s="486" t="s">
        <v>709</v>
      </c>
      <c r="Z372" s="211">
        <f t="shared" ref="Z372" si="298">K372*O372</f>
        <v>761444820.89999998</v>
      </c>
      <c r="AA372" s="213">
        <f t="shared" ref="AA372" si="299">Z372-Q372</f>
        <v>-22389366.684999943</v>
      </c>
      <c r="AF372" s="112"/>
    </row>
    <row r="373" spans="2:32" outlineLevel="1">
      <c r="B373" s="125">
        <v>342</v>
      </c>
      <c r="C373" s="120" t="s">
        <v>288</v>
      </c>
      <c r="D373" s="153">
        <v>6522</v>
      </c>
      <c r="E373" s="126">
        <v>46015</v>
      </c>
      <c r="F373" s="126">
        <v>46075</v>
      </c>
      <c r="G373" s="126"/>
      <c r="H373" s="126"/>
      <c r="I373" s="127"/>
      <c r="J373" s="208">
        <f t="shared" ref="J373:J379" ca="1" si="300">IFERROR(IF(TODAY()&gt;=E373,(TODAY()-E373)/I373,0),0)</f>
        <v>0</v>
      </c>
      <c r="K373" s="730">
        <v>2006.45</v>
      </c>
      <c r="L373" s="218">
        <v>2002.0247502847715</v>
      </c>
      <c r="M373" s="129">
        <f t="shared" ref="M373:M398" si="301">K373-L373</f>
        <v>4.4252497152285741</v>
      </c>
      <c r="N373" s="219">
        <v>3753.83</v>
      </c>
      <c r="O373" s="130">
        <v>3776.5</v>
      </c>
      <c r="P373" s="168">
        <f t="shared" si="215"/>
        <v>22.670000000000073</v>
      </c>
      <c r="Q373" s="132">
        <f t="shared" si="295"/>
        <v>7531872.2034999998</v>
      </c>
      <c r="R373" s="132">
        <f t="shared" si="295"/>
        <v>7560646.4694504393</v>
      </c>
      <c r="S373" s="168">
        <f t="shared" si="296"/>
        <v>28774.265950439498</v>
      </c>
      <c r="T373" s="133" t="str">
        <f t="shared" si="297"/>
        <v>Monetizar</v>
      </c>
      <c r="U373" s="239"/>
      <c r="V373" s="394">
        <v>46024</v>
      </c>
      <c r="W373" s="393" t="s">
        <v>275</v>
      </c>
      <c r="X373" s="393" t="s">
        <v>275</v>
      </c>
      <c r="Y373" s="393" t="s">
        <v>276</v>
      </c>
      <c r="Z373" s="211">
        <f t="shared" ref="Z373:Z375" si="302">K373*O373</f>
        <v>7577358.4249999998</v>
      </c>
      <c r="AA373" s="213">
        <f t="shared" ref="AA373:AA375" si="303">Z373-Q373</f>
        <v>45486.221499999985</v>
      </c>
      <c r="AF373" s="112"/>
    </row>
    <row r="374" spans="2:32" outlineLevel="1">
      <c r="B374" s="125">
        <v>343</v>
      </c>
      <c r="C374" s="120" t="s">
        <v>288</v>
      </c>
      <c r="D374" s="153" t="s">
        <v>703</v>
      </c>
      <c r="E374" s="126">
        <v>46015</v>
      </c>
      <c r="F374" s="126">
        <v>46075</v>
      </c>
      <c r="G374" s="126"/>
      <c r="H374" s="126"/>
      <c r="I374" s="127"/>
      <c r="J374" s="208">
        <f t="shared" ca="1" si="300"/>
        <v>0</v>
      </c>
      <c r="K374" s="730">
        <v>25613.43</v>
      </c>
      <c r="L374" s="218">
        <v>25556.939270695246</v>
      </c>
      <c r="M374" s="129">
        <f t="shared" si="301"/>
        <v>56.490729304754495</v>
      </c>
      <c r="N374" s="219">
        <v>3753.83</v>
      </c>
      <c r="O374" s="130">
        <v>3776.5</v>
      </c>
      <c r="P374" s="168">
        <f t="shared" si="215"/>
        <v>22.670000000000073</v>
      </c>
      <c r="Q374" s="132">
        <f t="shared" si="295"/>
        <v>96148461.936900005</v>
      </c>
      <c r="R374" s="132">
        <f t="shared" si="295"/>
        <v>96515781.155780599</v>
      </c>
      <c r="S374" s="168">
        <f t="shared" si="296"/>
        <v>367319.21888059378</v>
      </c>
      <c r="T374" s="133" t="str">
        <f t="shared" si="297"/>
        <v>Monetizar</v>
      </c>
      <c r="U374" s="239"/>
      <c r="V374" s="394">
        <v>46024</v>
      </c>
      <c r="W374" s="393" t="s">
        <v>275</v>
      </c>
      <c r="X374" s="393" t="s">
        <v>275</v>
      </c>
      <c r="Y374" s="486" t="s">
        <v>709</v>
      </c>
      <c r="Z374" s="211">
        <f t="shared" si="302"/>
        <v>96729118.394999996</v>
      </c>
      <c r="AA374" s="213">
        <f t="shared" si="303"/>
        <v>580656.45809999108</v>
      </c>
      <c r="AF374" s="112"/>
    </row>
    <row r="375" spans="2:32" outlineLevel="1">
      <c r="B375" s="125">
        <v>344</v>
      </c>
      <c r="C375" s="120" t="s">
        <v>288</v>
      </c>
      <c r="D375" s="153">
        <v>6557</v>
      </c>
      <c r="E375" s="126">
        <v>46015</v>
      </c>
      <c r="F375" s="126">
        <v>46075</v>
      </c>
      <c r="G375" s="126"/>
      <c r="H375" s="126"/>
      <c r="I375" s="127"/>
      <c r="J375" s="208">
        <f t="shared" ca="1" si="300"/>
        <v>0</v>
      </c>
      <c r="K375" s="730">
        <v>42.63</v>
      </c>
      <c r="L375" s="218">
        <v>42.535979019980466</v>
      </c>
      <c r="M375" s="129">
        <f t="shared" si="301"/>
        <v>9.4020980019536182E-2</v>
      </c>
      <c r="N375" s="219">
        <v>3753.83</v>
      </c>
      <c r="O375" s="130">
        <v>3776.5</v>
      </c>
      <c r="P375" s="168">
        <f t="shared" si="215"/>
        <v>22.670000000000073</v>
      </c>
      <c r="Q375" s="132">
        <f t="shared" si="295"/>
        <v>160025.77290000001</v>
      </c>
      <c r="R375" s="132">
        <f t="shared" si="295"/>
        <v>160637.12476895624</v>
      </c>
      <c r="S375" s="168">
        <f t="shared" si="296"/>
        <v>611.35186895623337</v>
      </c>
      <c r="T375" s="133" t="str">
        <f t="shared" si="297"/>
        <v>Monetizar</v>
      </c>
      <c r="U375" s="239"/>
      <c r="V375" s="394">
        <v>46024</v>
      </c>
      <c r="W375" s="393" t="s">
        <v>275</v>
      </c>
      <c r="X375" s="393" t="s">
        <v>275</v>
      </c>
      <c r="Y375" s="486" t="s">
        <v>709</v>
      </c>
      <c r="Z375" s="211">
        <f t="shared" si="302"/>
        <v>160992.19500000001</v>
      </c>
      <c r="AA375" s="213">
        <f t="shared" si="303"/>
        <v>966.42209999999614</v>
      </c>
      <c r="AF375" s="112"/>
    </row>
    <row r="376" spans="2:32" outlineLevel="1">
      <c r="B376" s="125">
        <v>345</v>
      </c>
      <c r="C376" s="120" t="s">
        <v>312</v>
      </c>
      <c r="D376" s="153" t="s">
        <v>707</v>
      </c>
      <c r="E376" s="126">
        <v>46015</v>
      </c>
      <c r="F376" s="126">
        <v>46075</v>
      </c>
      <c r="G376" s="126"/>
      <c r="H376" s="126"/>
      <c r="I376" s="127"/>
      <c r="J376" s="208">
        <f t="shared" ca="1" si="300"/>
        <v>0</v>
      </c>
      <c r="K376" s="134">
        <v>131.41</v>
      </c>
      <c r="L376" s="218">
        <v>128.43708001840022</v>
      </c>
      <c r="M376" s="129">
        <f t="shared" si="301"/>
        <v>2.9729199815997731</v>
      </c>
      <c r="N376" s="219">
        <v>3753.83</v>
      </c>
      <c r="O376" s="130">
        <v>3774.55</v>
      </c>
      <c r="P376" s="168">
        <f t="shared" si="215"/>
        <v>20.720000000000255</v>
      </c>
      <c r="Q376" s="132">
        <f t="shared" si="295"/>
        <v>493290.8003</v>
      </c>
      <c r="R376" s="132">
        <f t="shared" si="295"/>
        <v>484792.18038345256</v>
      </c>
      <c r="S376" s="168">
        <f t="shared" si="296"/>
        <v>-8498.6199165474391</v>
      </c>
      <c r="T376" s="133" t="str">
        <f t="shared" si="297"/>
        <v>No Monetizar</v>
      </c>
      <c r="U376" s="239"/>
      <c r="V376" s="394">
        <v>46024</v>
      </c>
      <c r="W376" s="393" t="s">
        <v>275</v>
      </c>
      <c r="X376" s="393" t="s">
        <v>275</v>
      </c>
      <c r="Y376" s="486" t="s">
        <v>709</v>
      </c>
      <c r="Z376" s="211">
        <f t="shared" ref="Z376:Z377" si="304">K376*O376</f>
        <v>496013.61550000001</v>
      </c>
      <c r="AA376" s="213">
        <f t="shared" ref="AA376:AA377" si="305">Z376-Q376</f>
        <v>2722.8152000000118</v>
      </c>
      <c r="AF376" s="112"/>
    </row>
    <row r="377" spans="2:32" outlineLevel="1">
      <c r="B377" s="125">
        <v>346</v>
      </c>
      <c r="C377" s="120" t="s">
        <v>312</v>
      </c>
      <c r="D377" s="153" t="s">
        <v>708</v>
      </c>
      <c r="E377" s="126">
        <v>46015</v>
      </c>
      <c r="F377" s="126">
        <v>46075</v>
      </c>
      <c r="G377" s="126"/>
      <c r="H377" s="126"/>
      <c r="I377" s="127"/>
      <c r="J377" s="208">
        <f t="shared" ca="1" si="300"/>
        <v>0</v>
      </c>
      <c r="K377" s="134">
        <v>1194.6600000000001</v>
      </c>
      <c r="L377" s="218">
        <v>1167.6329199815996</v>
      </c>
      <c r="M377" s="129">
        <f t="shared" si="301"/>
        <v>27.027080018400511</v>
      </c>
      <c r="N377" s="219">
        <v>3753.83</v>
      </c>
      <c r="O377" s="130">
        <v>3774.55</v>
      </c>
      <c r="P377" s="168">
        <f t="shared" si="215"/>
        <v>20.720000000000255</v>
      </c>
      <c r="Q377" s="132">
        <f t="shared" si="295"/>
        <v>4484550.5477999998</v>
      </c>
      <c r="R377" s="132">
        <f t="shared" si="295"/>
        <v>4407288.8381165471</v>
      </c>
      <c r="S377" s="168">
        <f t="shared" si="296"/>
        <v>-77261.709683452733</v>
      </c>
      <c r="T377" s="133" t="str">
        <f t="shared" si="297"/>
        <v>No Monetizar</v>
      </c>
      <c r="U377" s="239"/>
      <c r="V377" s="394">
        <v>46024</v>
      </c>
      <c r="W377" s="393" t="s">
        <v>275</v>
      </c>
      <c r="X377" s="393" t="s">
        <v>275</v>
      </c>
      <c r="Y377" s="486" t="s">
        <v>709</v>
      </c>
      <c r="Z377" s="211">
        <f t="shared" si="304"/>
        <v>4509303.9030000009</v>
      </c>
      <c r="AA377" s="213">
        <f t="shared" si="305"/>
        <v>24753.355200001039</v>
      </c>
      <c r="AF377" s="112"/>
    </row>
    <row r="378" spans="2:32" outlineLevel="1">
      <c r="B378" s="125">
        <v>347</v>
      </c>
      <c r="C378" s="120" t="s">
        <v>116</v>
      </c>
      <c r="D378" s="153" t="s">
        <v>841</v>
      </c>
      <c r="E378" s="126">
        <v>46038</v>
      </c>
      <c r="F378" s="126">
        <v>46098</v>
      </c>
      <c r="G378" s="126"/>
      <c r="H378" s="126"/>
      <c r="I378" s="127"/>
      <c r="J378" s="208">
        <f t="shared" ca="1" si="300"/>
        <v>0</v>
      </c>
      <c r="K378" s="134">
        <v>1116.57</v>
      </c>
      <c r="L378" s="134">
        <v>1115.3289767539884</v>
      </c>
      <c r="M378" s="129">
        <f t="shared" si="301"/>
        <v>1.2410232460115367</v>
      </c>
      <c r="N378" s="130">
        <v>3618.59</v>
      </c>
      <c r="O378" s="130">
        <v>3653.5</v>
      </c>
      <c r="P378" s="168">
        <f t="shared" si="215"/>
        <v>34.909999999999854</v>
      </c>
      <c r="Q378" s="132">
        <f t="shared" ref="Q378:Q383" si="306">K378*N378</f>
        <v>4040409.0362999998</v>
      </c>
      <c r="R378" s="132">
        <f t="shared" ref="R378:R383" si="307">L378*O378</f>
        <v>4074854.4165706965</v>
      </c>
      <c r="S378" s="168">
        <f t="shared" ref="S378:S383" si="308">R378-Q378</f>
        <v>34445.380270696711</v>
      </c>
      <c r="T378" s="133" t="str">
        <f t="shared" ref="T378:T383" si="309">IF(R378&lt;= Q378,"No Monetizar","Monetizar")</f>
        <v>Monetizar</v>
      </c>
      <c r="U378" s="239"/>
      <c r="V378" s="394">
        <v>46043</v>
      </c>
      <c r="W378" s="393" t="s">
        <v>275</v>
      </c>
      <c r="X378" s="393" t="s">
        <v>275</v>
      </c>
      <c r="Y378" s="393" t="s">
        <v>276</v>
      </c>
      <c r="Z378" s="211">
        <f t="shared" ref="Z378:Z379" si="310">K378*O378</f>
        <v>4079388.4949999996</v>
      </c>
      <c r="AA378" s="213">
        <f t="shared" ref="AA378:AA379" si="311">Z378-Q378</f>
        <v>38979.458699999843</v>
      </c>
      <c r="AF378" s="112"/>
    </row>
    <row r="379" spans="2:32" outlineLevel="1">
      <c r="B379" s="125">
        <v>348</v>
      </c>
      <c r="C379" s="120" t="s">
        <v>116</v>
      </c>
      <c r="D379" s="153" t="s">
        <v>842</v>
      </c>
      <c r="E379" s="126">
        <v>46038</v>
      </c>
      <c r="F379" s="126">
        <v>46098</v>
      </c>
      <c r="G379" s="126"/>
      <c r="H379" s="126"/>
      <c r="I379" s="127"/>
      <c r="J379" s="208">
        <f t="shared" ca="1" si="300"/>
        <v>0</v>
      </c>
      <c r="K379" s="134">
        <v>12406.18</v>
      </c>
      <c r="L379" s="134">
        <v>12392.391023246011</v>
      </c>
      <c r="M379" s="129">
        <f t="shared" si="301"/>
        <v>13.788976753989118</v>
      </c>
      <c r="N379" s="130">
        <v>3618.59</v>
      </c>
      <c r="O379" s="130">
        <v>3653.5</v>
      </c>
      <c r="P379" s="168">
        <f t="shared" si="215"/>
        <v>34.909999999999854</v>
      </c>
      <c r="Q379" s="132">
        <f t="shared" si="306"/>
        <v>44892878.886200003</v>
      </c>
      <c r="R379" s="132">
        <f t="shared" si="307"/>
        <v>45275600.603429303</v>
      </c>
      <c r="S379" s="168">
        <f t="shared" si="308"/>
        <v>382721.71722929925</v>
      </c>
      <c r="T379" s="133" t="str">
        <f t="shared" si="309"/>
        <v>Monetizar</v>
      </c>
      <c r="U379" s="239"/>
      <c r="V379" s="394">
        <v>46043</v>
      </c>
      <c r="W379" s="393" t="s">
        <v>275</v>
      </c>
      <c r="X379" s="393" t="s">
        <v>275</v>
      </c>
      <c r="Y379" s="393" t="s">
        <v>276</v>
      </c>
      <c r="Z379" s="211">
        <f t="shared" si="310"/>
        <v>45325978.630000003</v>
      </c>
      <c r="AA379" s="213">
        <f t="shared" si="311"/>
        <v>433099.74379999936</v>
      </c>
      <c r="AF379" s="112"/>
    </row>
    <row r="380" spans="2:32" outlineLevel="1">
      <c r="B380" s="125">
        <v>349</v>
      </c>
      <c r="C380" s="120" t="s">
        <v>115</v>
      </c>
      <c r="D380" s="153" t="s">
        <v>931</v>
      </c>
      <c r="E380" s="126">
        <v>46045</v>
      </c>
      <c r="F380" s="126">
        <v>46105</v>
      </c>
      <c r="G380" s="126"/>
      <c r="H380" s="126"/>
      <c r="I380" s="127"/>
      <c r="J380" s="208">
        <f t="shared" ref="J380:J381" ca="1" si="312">IFERROR(IF(TODAY()&gt;=E380,(TODAY()-E380)/I380,0),0)</f>
        <v>0</v>
      </c>
      <c r="K380" s="134">
        <v>825.96</v>
      </c>
      <c r="L380" s="134">
        <v>825.33519289773255</v>
      </c>
      <c r="M380" s="129">
        <f t="shared" si="301"/>
        <v>0.62480710226748215</v>
      </c>
      <c r="N380" s="130">
        <v>3600.31</v>
      </c>
      <c r="O380" s="130">
        <v>3641.5</v>
      </c>
      <c r="P380" s="168">
        <f t="shared" si="215"/>
        <v>41.190000000000055</v>
      </c>
      <c r="Q380" s="132">
        <f t="shared" si="306"/>
        <v>2973712.0476000002</v>
      </c>
      <c r="R380" s="132">
        <f t="shared" si="307"/>
        <v>3005458.1049370929</v>
      </c>
      <c r="S380" s="168">
        <f t="shared" si="308"/>
        <v>31746.057337092701</v>
      </c>
      <c r="T380" s="216" t="str">
        <f t="shared" si="309"/>
        <v>Monetizar</v>
      </c>
      <c r="U380" s="239"/>
      <c r="V380" s="394">
        <v>46048</v>
      </c>
      <c r="W380" s="393" t="s">
        <v>275</v>
      </c>
      <c r="X380" s="393" t="s">
        <v>275</v>
      </c>
      <c r="Y380" s="393" t="s">
        <v>276</v>
      </c>
      <c r="Z380" s="211">
        <f t="shared" ref="Z380:Z381" si="313">K380*O380</f>
        <v>3007733.3400000003</v>
      </c>
      <c r="AA380" s="213">
        <f t="shared" ref="AA380:AA381" si="314">Z380-Q380</f>
        <v>34021.292400000151</v>
      </c>
      <c r="AF380" s="112"/>
    </row>
    <row r="381" spans="2:32" outlineLevel="1">
      <c r="B381" s="125">
        <v>350</v>
      </c>
      <c r="C381" s="120" t="s">
        <v>115</v>
      </c>
      <c r="D381" s="153" t="s">
        <v>932</v>
      </c>
      <c r="E381" s="126">
        <v>46045</v>
      </c>
      <c r="F381" s="126">
        <v>46105</v>
      </c>
      <c r="G381" s="126"/>
      <c r="H381" s="126"/>
      <c r="I381" s="127"/>
      <c r="J381" s="208">
        <f t="shared" ca="1" si="312"/>
        <v>0</v>
      </c>
      <c r="K381" s="134">
        <v>12393.48</v>
      </c>
      <c r="L381" s="134">
        <v>12384.104807102269</v>
      </c>
      <c r="M381" s="129">
        <f t="shared" si="301"/>
        <v>9.3751928977308125</v>
      </c>
      <c r="N381" s="130">
        <v>3600.31</v>
      </c>
      <c r="O381" s="130">
        <v>3641.5</v>
      </c>
      <c r="P381" s="168">
        <f t="shared" si="215"/>
        <v>41.190000000000055</v>
      </c>
      <c r="Q381" s="132">
        <f t="shared" si="306"/>
        <v>44620369.978799999</v>
      </c>
      <c r="R381" s="132">
        <f t="shared" si="307"/>
        <v>45096717.655062914</v>
      </c>
      <c r="S381" s="168">
        <f t="shared" si="308"/>
        <v>476347.67626291513</v>
      </c>
      <c r="T381" s="216" t="str">
        <f t="shared" si="309"/>
        <v>Monetizar</v>
      </c>
      <c r="U381" s="239"/>
      <c r="V381" s="394">
        <v>46048</v>
      </c>
      <c r="W381" s="393" t="s">
        <v>275</v>
      </c>
      <c r="X381" s="393" t="s">
        <v>275</v>
      </c>
      <c r="Y381" s="393" t="s">
        <v>276</v>
      </c>
      <c r="Z381" s="211">
        <f t="shared" si="313"/>
        <v>45130857.420000002</v>
      </c>
      <c r="AA381" s="213">
        <f t="shared" si="314"/>
        <v>510487.44120000303</v>
      </c>
      <c r="AF381" s="112"/>
    </row>
    <row r="382" spans="2:32" outlineLevel="1">
      <c r="B382" s="125">
        <v>351</v>
      </c>
      <c r="C382" s="120" t="s">
        <v>265</v>
      </c>
      <c r="D382" s="153" t="s">
        <v>929</v>
      </c>
      <c r="E382" s="126">
        <v>46045</v>
      </c>
      <c r="F382" s="126">
        <v>46105</v>
      </c>
      <c r="G382" s="126"/>
      <c r="H382" s="126"/>
      <c r="I382" s="127"/>
      <c r="J382" s="208">
        <f t="shared" ref="J382:J383" ca="1" si="315">IFERROR(IF(TODAY()&gt;=E382,(TODAY()-E382)/I382,0),0)</f>
        <v>0</v>
      </c>
      <c r="K382" s="134">
        <v>980.36</v>
      </c>
      <c r="L382" s="134">
        <v>980.36</v>
      </c>
      <c r="M382" s="129">
        <f t="shared" si="301"/>
        <v>0</v>
      </c>
      <c r="N382" s="130">
        <v>3618.59</v>
      </c>
      <c r="O382" s="130">
        <v>3643.5</v>
      </c>
      <c r="P382" s="168">
        <f t="shared" si="215"/>
        <v>24.909999999999854</v>
      </c>
      <c r="Q382" s="132">
        <f t="shared" si="306"/>
        <v>3547520.8924000002</v>
      </c>
      <c r="R382" s="132">
        <f t="shared" si="307"/>
        <v>3571941.66</v>
      </c>
      <c r="S382" s="168">
        <f t="shared" si="308"/>
        <v>24420.767599999905</v>
      </c>
      <c r="T382" s="216" t="str">
        <f t="shared" si="309"/>
        <v>Monetizar</v>
      </c>
      <c r="U382" s="239"/>
      <c r="V382" s="394">
        <v>46048</v>
      </c>
      <c r="W382" s="393" t="s">
        <v>275</v>
      </c>
      <c r="X382" s="393" t="s">
        <v>275</v>
      </c>
      <c r="Y382" s="393" t="s">
        <v>276</v>
      </c>
      <c r="Z382" s="211">
        <f t="shared" ref="Z382:Z383" si="316">K382*O382</f>
        <v>3571941.66</v>
      </c>
      <c r="AA382" s="213">
        <f t="shared" ref="AA382:AA383" si="317">Z382-Q382</f>
        <v>24420.767599999905</v>
      </c>
      <c r="AF382" s="112"/>
    </row>
    <row r="383" spans="2:32" outlineLevel="1">
      <c r="B383" s="125">
        <v>352</v>
      </c>
      <c r="C383" s="120" t="s">
        <v>265</v>
      </c>
      <c r="D383" s="153" t="s">
        <v>930</v>
      </c>
      <c r="E383" s="126">
        <v>46045</v>
      </c>
      <c r="F383" s="126">
        <v>46105</v>
      </c>
      <c r="G383" s="126"/>
      <c r="H383" s="126"/>
      <c r="I383" s="127"/>
      <c r="J383" s="208">
        <f t="shared" ca="1" si="315"/>
        <v>0</v>
      </c>
      <c r="K383" s="134">
        <v>17824.73</v>
      </c>
      <c r="L383" s="134">
        <v>17824.73</v>
      </c>
      <c r="M383" s="129">
        <f t="shared" si="301"/>
        <v>0</v>
      </c>
      <c r="N383" s="130">
        <v>3618.59</v>
      </c>
      <c r="O383" s="130">
        <v>3643.5</v>
      </c>
      <c r="P383" s="168">
        <f t="shared" si="215"/>
        <v>24.909999999999854</v>
      </c>
      <c r="Q383" s="132">
        <f t="shared" si="306"/>
        <v>64500389.730700001</v>
      </c>
      <c r="R383" s="132">
        <f t="shared" si="307"/>
        <v>64944403.754999995</v>
      </c>
      <c r="S383" s="168">
        <f t="shared" si="308"/>
        <v>444014.02429999411</v>
      </c>
      <c r="T383" s="216" t="str">
        <f t="shared" si="309"/>
        <v>Monetizar</v>
      </c>
      <c r="U383" s="239"/>
      <c r="V383" s="394">
        <v>46048</v>
      </c>
      <c r="W383" s="393" t="s">
        <v>275</v>
      </c>
      <c r="X383" s="393" t="s">
        <v>275</v>
      </c>
      <c r="Y383" s="393" t="s">
        <v>276</v>
      </c>
      <c r="Z383" s="211">
        <f t="shared" si="316"/>
        <v>64944403.754999995</v>
      </c>
      <c r="AA383" s="213">
        <f t="shared" si="317"/>
        <v>444014.02429999411</v>
      </c>
      <c r="AF383" s="112"/>
    </row>
    <row r="384" spans="2:32" outlineLevel="1">
      <c r="B384" s="125">
        <v>353</v>
      </c>
      <c r="C384" s="120" t="s">
        <v>920</v>
      </c>
      <c r="D384" s="153" t="s">
        <v>924</v>
      </c>
      <c r="E384" s="126">
        <v>46044</v>
      </c>
      <c r="F384" s="126">
        <v>46104</v>
      </c>
      <c r="G384" s="126"/>
      <c r="H384" s="126"/>
      <c r="I384" s="127"/>
      <c r="J384" s="208">
        <f t="shared" ref="J384:J389" ca="1" si="318">IFERROR(IF(TODAY()&gt;=E384,(TODAY()-E384)/I384,0),0)</f>
        <v>0</v>
      </c>
      <c r="K384" s="134">
        <v>480</v>
      </c>
      <c r="L384" s="134">
        <v>480</v>
      </c>
      <c r="M384" s="129">
        <f t="shared" si="301"/>
        <v>0</v>
      </c>
      <c r="N384" s="130">
        <v>3644.55</v>
      </c>
      <c r="O384" s="130">
        <v>3649.5</v>
      </c>
      <c r="P384" s="168">
        <f t="shared" si="215"/>
        <v>4.9499999999998181</v>
      </c>
      <c r="Q384" s="132">
        <f t="shared" ref="Q384:Q395" si="319">K384*N384</f>
        <v>1749384</v>
      </c>
      <c r="R384" s="132">
        <f t="shared" ref="R384:R395" si="320">L384*O384</f>
        <v>1751760</v>
      </c>
      <c r="S384" s="168">
        <f t="shared" ref="S384:S395" si="321">R384-Q384</f>
        <v>2376</v>
      </c>
      <c r="T384" s="216" t="str">
        <f t="shared" ref="T384:T395" si="322">IF(R384&lt;= Q384,"No Monetizar","Monetizar")</f>
        <v>Monetizar</v>
      </c>
      <c r="U384" s="239"/>
      <c r="V384" s="394">
        <v>46048</v>
      </c>
      <c r="W384" s="393" t="s">
        <v>275</v>
      </c>
      <c r="X384" s="393" t="s">
        <v>275</v>
      </c>
      <c r="Y384" s="393" t="s">
        <v>276</v>
      </c>
      <c r="Z384" s="211">
        <f t="shared" ref="Z384:Z386" si="323">K384*O384</f>
        <v>1751760</v>
      </c>
      <c r="AA384" s="213">
        <f t="shared" ref="AA384:AA386" si="324">Z384-Q384</f>
        <v>2376</v>
      </c>
      <c r="AF384" s="112"/>
    </row>
    <row r="385" spans="2:34" outlineLevel="1">
      <c r="B385" s="125">
        <v>354</v>
      </c>
      <c r="C385" s="120" t="s">
        <v>920</v>
      </c>
      <c r="D385" s="153" t="s">
        <v>925</v>
      </c>
      <c r="E385" s="126">
        <v>46044</v>
      </c>
      <c r="F385" s="126">
        <v>46104</v>
      </c>
      <c r="G385" s="126"/>
      <c r="H385" s="126"/>
      <c r="I385" s="127"/>
      <c r="J385" s="208">
        <f t="shared" ca="1" si="318"/>
        <v>0</v>
      </c>
      <c r="K385" s="134">
        <v>1484.58</v>
      </c>
      <c r="L385" s="134">
        <v>1484.58</v>
      </c>
      <c r="M385" s="129">
        <f t="shared" si="301"/>
        <v>0</v>
      </c>
      <c r="N385" s="130">
        <v>3644.55</v>
      </c>
      <c r="O385" s="130">
        <v>3649.5</v>
      </c>
      <c r="P385" s="168">
        <f t="shared" si="215"/>
        <v>4.9499999999998181</v>
      </c>
      <c r="Q385" s="132">
        <f t="shared" si="319"/>
        <v>5410626.0389999999</v>
      </c>
      <c r="R385" s="132">
        <f t="shared" si="320"/>
        <v>5417974.71</v>
      </c>
      <c r="S385" s="168">
        <f t="shared" si="321"/>
        <v>7348.6710000000894</v>
      </c>
      <c r="T385" s="216" t="str">
        <f t="shared" si="322"/>
        <v>Monetizar</v>
      </c>
      <c r="U385" s="239"/>
      <c r="V385" s="394">
        <v>46048</v>
      </c>
      <c r="W385" s="393" t="s">
        <v>275</v>
      </c>
      <c r="X385" s="393" t="s">
        <v>275</v>
      </c>
      <c r="Y385" s="393" t="s">
        <v>276</v>
      </c>
      <c r="Z385" s="211">
        <f t="shared" si="323"/>
        <v>5417974.71</v>
      </c>
      <c r="AA385" s="213">
        <f t="shared" si="324"/>
        <v>7348.6710000000894</v>
      </c>
      <c r="AF385" s="112"/>
    </row>
    <row r="386" spans="2:34" outlineLevel="1">
      <c r="B386" s="125">
        <v>355</v>
      </c>
      <c r="C386" s="120" t="s">
        <v>920</v>
      </c>
      <c r="D386" s="153" t="s">
        <v>926</v>
      </c>
      <c r="E386" s="126">
        <v>46044</v>
      </c>
      <c r="F386" s="126">
        <v>46104</v>
      </c>
      <c r="G386" s="126"/>
      <c r="H386" s="126"/>
      <c r="I386" s="127"/>
      <c r="J386" s="208">
        <f t="shared" ca="1" si="318"/>
        <v>0</v>
      </c>
      <c r="K386" s="134">
        <v>1500</v>
      </c>
      <c r="L386" s="134">
        <v>1500</v>
      </c>
      <c r="M386" s="129">
        <f t="shared" si="301"/>
        <v>0</v>
      </c>
      <c r="N386" s="130">
        <v>3644.55</v>
      </c>
      <c r="O386" s="130">
        <v>3649.5</v>
      </c>
      <c r="P386" s="168">
        <f t="shared" si="215"/>
        <v>4.9499999999998181</v>
      </c>
      <c r="Q386" s="132">
        <f t="shared" si="319"/>
        <v>5466825</v>
      </c>
      <c r="R386" s="132">
        <f t="shared" si="320"/>
        <v>5474250</v>
      </c>
      <c r="S386" s="168">
        <f t="shared" si="321"/>
        <v>7425</v>
      </c>
      <c r="T386" s="216" t="str">
        <f t="shared" si="322"/>
        <v>Monetizar</v>
      </c>
      <c r="U386" s="239"/>
      <c r="V386" s="394">
        <v>46048</v>
      </c>
      <c r="W386" s="393" t="s">
        <v>275</v>
      </c>
      <c r="X386" s="393" t="s">
        <v>275</v>
      </c>
      <c r="Y386" s="393" t="s">
        <v>276</v>
      </c>
      <c r="Z386" s="211">
        <f t="shared" si="323"/>
        <v>5474250</v>
      </c>
      <c r="AA386" s="213">
        <f t="shared" si="324"/>
        <v>7425</v>
      </c>
      <c r="AF386" s="112"/>
    </row>
    <row r="387" spans="2:34" outlineLevel="1">
      <c r="B387" s="125">
        <v>356</v>
      </c>
      <c r="C387" s="120" t="s">
        <v>120</v>
      </c>
      <c r="D387" s="153" t="s">
        <v>919</v>
      </c>
      <c r="E387" s="126">
        <v>46044</v>
      </c>
      <c r="F387" s="126">
        <v>46104</v>
      </c>
      <c r="G387" s="126"/>
      <c r="H387" s="126"/>
      <c r="I387" s="127"/>
      <c r="J387" s="208">
        <f t="shared" ca="1" si="318"/>
        <v>0</v>
      </c>
      <c r="K387" s="134">
        <v>2978.57</v>
      </c>
      <c r="L387" s="134">
        <v>2969.4338847437975</v>
      </c>
      <c r="M387" s="129">
        <f t="shared" si="301"/>
        <v>9.1361152562026291</v>
      </c>
      <c r="N387" s="130">
        <v>3789.43</v>
      </c>
      <c r="O387" s="130">
        <v>3644.5</v>
      </c>
      <c r="P387" s="168">
        <f t="shared" si="215"/>
        <v>-144.92999999999984</v>
      </c>
      <c r="Q387" s="132">
        <f t="shared" si="319"/>
        <v>11287082.5151</v>
      </c>
      <c r="R387" s="132">
        <f t="shared" si="320"/>
        <v>10822101.792948769</v>
      </c>
      <c r="S387" s="168">
        <f t="shared" si="321"/>
        <v>-464980.72215123102</v>
      </c>
      <c r="T387" s="216" t="str">
        <f t="shared" si="322"/>
        <v>No Monetizar</v>
      </c>
      <c r="U387" s="239"/>
      <c r="V387" s="394">
        <v>46048</v>
      </c>
      <c r="W387" s="393" t="s">
        <v>275</v>
      </c>
      <c r="X387" s="393" t="s">
        <v>275</v>
      </c>
      <c r="Y387" s="393" t="s">
        <v>276</v>
      </c>
      <c r="Z387" s="211">
        <f t="shared" ref="Z387:Z389" si="325">K387*O387</f>
        <v>10855398.365</v>
      </c>
      <c r="AA387" s="213">
        <f t="shared" ref="AA387:AA389" si="326">Z387-Q387</f>
        <v>-431684.1501000002</v>
      </c>
      <c r="AF387" s="112"/>
    </row>
    <row r="388" spans="2:34" outlineLevel="1">
      <c r="B388" s="125">
        <v>357</v>
      </c>
      <c r="C388" s="120" t="s">
        <v>120</v>
      </c>
      <c r="D388" s="153" t="s">
        <v>917</v>
      </c>
      <c r="E388" s="126">
        <v>46044</v>
      </c>
      <c r="F388" s="126">
        <v>46104</v>
      </c>
      <c r="G388" s="126"/>
      <c r="H388" s="126"/>
      <c r="I388" s="127"/>
      <c r="J388" s="208">
        <f t="shared" ca="1" si="318"/>
        <v>0</v>
      </c>
      <c r="K388" s="134">
        <v>285.60000000000002</v>
      </c>
      <c r="L388" s="134">
        <v>284.72398415441927</v>
      </c>
      <c r="M388" s="129">
        <f t="shared" si="301"/>
        <v>0.87601584558075274</v>
      </c>
      <c r="N388" s="130">
        <v>3610.75</v>
      </c>
      <c r="O388" s="130">
        <v>3644.5</v>
      </c>
      <c r="P388" s="168">
        <f t="shared" si="215"/>
        <v>33.75</v>
      </c>
      <c r="Q388" s="132">
        <f t="shared" si="319"/>
        <v>1031230.2000000001</v>
      </c>
      <c r="R388" s="132">
        <f t="shared" si="320"/>
        <v>1037676.560250781</v>
      </c>
      <c r="S388" s="168">
        <f t="shared" si="321"/>
        <v>6446.360250780941</v>
      </c>
      <c r="T388" s="216" t="str">
        <f t="shared" si="322"/>
        <v>Monetizar</v>
      </c>
      <c r="U388" s="239"/>
      <c r="V388" s="394">
        <v>46048</v>
      </c>
      <c r="W388" s="393" t="s">
        <v>275</v>
      </c>
      <c r="X388" s="393" t="s">
        <v>275</v>
      </c>
      <c r="Y388" s="393" t="s">
        <v>276</v>
      </c>
      <c r="Z388" s="211">
        <f t="shared" si="325"/>
        <v>1040869.2000000001</v>
      </c>
      <c r="AA388" s="213">
        <f t="shared" si="326"/>
        <v>9639</v>
      </c>
      <c r="AF388" s="112"/>
    </row>
    <row r="389" spans="2:34" outlineLevel="1">
      <c r="B389" s="125">
        <v>358</v>
      </c>
      <c r="C389" s="120" t="s">
        <v>120</v>
      </c>
      <c r="D389" s="153" t="s">
        <v>918</v>
      </c>
      <c r="E389" s="126">
        <v>46044</v>
      </c>
      <c r="F389" s="126">
        <v>46104</v>
      </c>
      <c r="G389" s="126"/>
      <c r="H389" s="126"/>
      <c r="I389" s="127"/>
      <c r="J389" s="208">
        <f t="shared" ca="1" si="318"/>
        <v>0</v>
      </c>
      <c r="K389" s="134">
        <v>3256.26</v>
      </c>
      <c r="L389" s="134">
        <v>3246.2721311017831</v>
      </c>
      <c r="M389" s="129">
        <f t="shared" si="301"/>
        <v>9.9878688982171298</v>
      </c>
      <c r="N389" s="130">
        <v>3610.75</v>
      </c>
      <c r="O389" s="130">
        <v>3644.5</v>
      </c>
      <c r="P389" s="168">
        <f t="shared" si="215"/>
        <v>33.75</v>
      </c>
      <c r="Q389" s="132">
        <f t="shared" si="319"/>
        <v>11757540.795</v>
      </c>
      <c r="R389" s="132">
        <f t="shared" si="320"/>
        <v>11831038.781800449</v>
      </c>
      <c r="S389" s="168">
        <f t="shared" si="321"/>
        <v>73497.986800448969</v>
      </c>
      <c r="T389" s="216" t="str">
        <f t="shared" si="322"/>
        <v>Monetizar</v>
      </c>
      <c r="U389" s="239"/>
      <c r="V389" s="394">
        <v>46048</v>
      </c>
      <c r="W389" s="393" t="s">
        <v>275</v>
      </c>
      <c r="X389" s="393" t="s">
        <v>275</v>
      </c>
      <c r="Y389" s="393" t="s">
        <v>276</v>
      </c>
      <c r="Z389" s="211">
        <f t="shared" si="325"/>
        <v>11867439.57</v>
      </c>
      <c r="AA389" s="213">
        <f t="shared" si="326"/>
        <v>109898.77500000037</v>
      </c>
      <c r="AF389" s="112"/>
    </row>
    <row r="390" spans="2:34" outlineLevel="1">
      <c r="B390" s="125">
        <v>359</v>
      </c>
      <c r="C390" s="120" t="s">
        <v>279</v>
      </c>
      <c r="D390" s="153" t="s">
        <v>912</v>
      </c>
      <c r="E390" s="126">
        <v>46044</v>
      </c>
      <c r="F390" s="126">
        <v>46104</v>
      </c>
      <c r="G390" s="126"/>
      <c r="H390" s="126"/>
      <c r="I390" s="127"/>
      <c r="J390" s="208">
        <f t="shared" ref="J390:J391" ca="1" si="327">IFERROR(IF(TODAY()&gt;=E390,(TODAY()-E390)/I390,0),0)</f>
        <v>0</v>
      </c>
      <c r="K390" s="134">
        <v>885.9</v>
      </c>
      <c r="L390" s="134">
        <v>885.0509352586937</v>
      </c>
      <c r="M390" s="129">
        <f t="shared" si="301"/>
        <v>0.84906474130627885</v>
      </c>
      <c r="N390" s="130">
        <v>3618.59</v>
      </c>
      <c r="O390" s="130">
        <v>3660</v>
      </c>
      <c r="P390" s="168">
        <f t="shared" si="215"/>
        <v>41.409999999999854</v>
      </c>
      <c r="Q390" s="132">
        <f t="shared" si="319"/>
        <v>3205708.8810000001</v>
      </c>
      <c r="R390" s="168">
        <f t="shared" si="320"/>
        <v>3239286.4230468189</v>
      </c>
      <c r="S390" s="168">
        <f t="shared" si="321"/>
        <v>33577.542046818882</v>
      </c>
      <c r="T390" s="216" t="str">
        <f t="shared" si="322"/>
        <v>Monetizar</v>
      </c>
      <c r="U390" s="239"/>
      <c r="V390" s="394">
        <v>46048</v>
      </c>
      <c r="W390" s="393" t="s">
        <v>275</v>
      </c>
      <c r="X390" s="393" t="s">
        <v>275</v>
      </c>
      <c r="Y390" s="393" t="s">
        <v>276</v>
      </c>
      <c r="Z390" s="211">
        <f t="shared" ref="Z390:Z391" si="328">K390*O390</f>
        <v>3242394</v>
      </c>
      <c r="AA390" s="213">
        <f t="shared" ref="AA390:AA391" si="329">Z390-Q390</f>
        <v>36685.118999999948</v>
      </c>
      <c r="AF390" s="112"/>
    </row>
    <row r="391" spans="2:34" outlineLevel="1">
      <c r="B391" s="125">
        <v>360</v>
      </c>
      <c r="C391" s="120" t="s">
        <v>279</v>
      </c>
      <c r="D391" s="153" t="s">
        <v>913</v>
      </c>
      <c r="E391" s="126">
        <v>46044</v>
      </c>
      <c r="F391" s="126">
        <v>46104</v>
      </c>
      <c r="G391" s="126"/>
      <c r="H391" s="126"/>
      <c r="I391" s="127"/>
      <c r="J391" s="208">
        <f t="shared" ca="1" si="327"/>
        <v>0</v>
      </c>
      <c r="K391" s="134">
        <v>14764.85</v>
      </c>
      <c r="L391" s="134">
        <v>14750.699064741306</v>
      </c>
      <c r="M391" s="129">
        <f t="shared" si="301"/>
        <v>14.150935258694517</v>
      </c>
      <c r="N391" s="130">
        <v>3618.59</v>
      </c>
      <c r="O391" s="130">
        <v>3660</v>
      </c>
      <c r="P391" s="168">
        <f t="shared" si="215"/>
        <v>41.409999999999854</v>
      </c>
      <c r="Q391" s="132">
        <f t="shared" si="319"/>
        <v>53427938.561500005</v>
      </c>
      <c r="R391" s="168">
        <f t="shared" si="320"/>
        <v>53987558.57695318</v>
      </c>
      <c r="S391" s="168">
        <f t="shared" si="321"/>
        <v>559620.01545317471</v>
      </c>
      <c r="T391" s="216" t="str">
        <f t="shared" si="322"/>
        <v>Monetizar</v>
      </c>
      <c r="U391" s="239"/>
      <c r="V391" s="394">
        <v>46048</v>
      </c>
      <c r="W391" s="393" t="s">
        <v>275</v>
      </c>
      <c r="X391" s="393" t="s">
        <v>275</v>
      </c>
      <c r="Y391" s="393" t="s">
        <v>276</v>
      </c>
      <c r="Z391" s="211">
        <f t="shared" si="328"/>
        <v>54039351</v>
      </c>
      <c r="AA391" s="213">
        <f t="shared" si="329"/>
        <v>611412.43849999458</v>
      </c>
      <c r="AF391" s="112"/>
    </row>
    <row r="392" spans="2:34" outlineLevel="1">
      <c r="B392" s="125">
        <v>361</v>
      </c>
      <c r="C392" s="120" t="s">
        <v>890</v>
      </c>
      <c r="D392" s="153" t="s">
        <v>891</v>
      </c>
      <c r="E392" s="126">
        <v>46042</v>
      </c>
      <c r="F392" s="126">
        <v>46102</v>
      </c>
      <c r="G392" s="126"/>
      <c r="H392" s="126"/>
      <c r="I392" s="127"/>
      <c r="J392" s="208">
        <f t="shared" ref="J392:J393" ca="1" si="330">IFERROR(IF(TODAY()&gt;=E392,(TODAY()-E392)/I392,0),0)</f>
        <v>0</v>
      </c>
      <c r="K392" s="134">
        <v>178.5</v>
      </c>
      <c r="L392" s="134">
        <v>179.13503956532051</v>
      </c>
      <c r="M392" s="129">
        <f t="shared" si="301"/>
        <v>-0.6350395653205112</v>
      </c>
      <c r="N392" s="130">
        <v>3661.33</v>
      </c>
      <c r="O392" s="130">
        <v>3660</v>
      </c>
      <c r="P392" s="168">
        <f t="shared" si="215"/>
        <v>-1.3299999999999272</v>
      </c>
      <c r="Q392" s="132">
        <f t="shared" si="319"/>
        <v>653547.40500000003</v>
      </c>
      <c r="R392" s="168">
        <f t="shared" si="320"/>
        <v>655634.24480907305</v>
      </c>
      <c r="S392" s="168">
        <f t="shared" si="321"/>
        <v>2086.8398090730188</v>
      </c>
      <c r="T392" s="216" t="str">
        <f t="shared" si="322"/>
        <v>Monetizar</v>
      </c>
      <c r="U392" s="239"/>
      <c r="V392" s="394">
        <v>46048</v>
      </c>
      <c r="W392" s="393" t="s">
        <v>275</v>
      </c>
      <c r="X392" s="393" t="s">
        <v>275</v>
      </c>
      <c r="Y392" s="393" t="s">
        <v>276</v>
      </c>
      <c r="Z392" s="211">
        <f t="shared" ref="Z392:Z393" si="331">K392*O392</f>
        <v>653310</v>
      </c>
      <c r="AA392" s="213">
        <f t="shared" ref="AA392:AA393" si="332">Z392-Q392</f>
        <v>-237.40500000002794</v>
      </c>
      <c r="AF392" s="112"/>
    </row>
    <row r="393" spans="2:34" outlineLevel="1">
      <c r="B393" s="125">
        <v>362</v>
      </c>
      <c r="C393" s="120" t="s">
        <v>890</v>
      </c>
      <c r="D393" s="153" t="s">
        <v>892</v>
      </c>
      <c r="E393" s="126">
        <v>46042</v>
      </c>
      <c r="F393" s="126">
        <v>46102</v>
      </c>
      <c r="G393" s="126"/>
      <c r="H393" s="126"/>
      <c r="I393" s="127"/>
      <c r="J393" s="208">
        <f t="shared" ca="1" si="330"/>
        <v>0</v>
      </c>
      <c r="K393" s="134">
        <v>1212.8699999999999</v>
      </c>
      <c r="L393" s="134">
        <v>1217.1849604346794</v>
      </c>
      <c r="M393" s="129">
        <f t="shared" si="301"/>
        <v>-4.3149604346795059</v>
      </c>
      <c r="N393" s="130">
        <v>3661.33</v>
      </c>
      <c r="O393" s="130">
        <v>3660</v>
      </c>
      <c r="P393" s="168">
        <f t="shared" si="215"/>
        <v>-1.3299999999999272</v>
      </c>
      <c r="Q393" s="132">
        <f t="shared" si="319"/>
        <v>4440717.3170999996</v>
      </c>
      <c r="R393" s="168">
        <f t="shared" si="320"/>
        <v>4454896.9551909268</v>
      </c>
      <c r="S393" s="168">
        <f t="shared" si="321"/>
        <v>14179.638090927154</v>
      </c>
      <c r="T393" s="216" t="str">
        <f t="shared" si="322"/>
        <v>Monetizar</v>
      </c>
      <c r="U393" s="239"/>
      <c r="V393" s="394">
        <v>46048</v>
      </c>
      <c r="W393" s="393" t="s">
        <v>275</v>
      </c>
      <c r="X393" s="393" t="s">
        <v>275</v>
      </c>
      <c r="Y393" s="393" t="s">
        <v>276</v>
      </c>
      <c r="Z393" s="211">
        <f t="shared" si="331"/>
        <v>4439104.1999999993</v>
      </c>
      <c r="AA393" s="213">
        <f t="shared" si="332"/>
        <v>-1613.1171000003815</v>
      </c>
      <c r="AF393" s="112"/>
    </row>
    <row r="394" spans="2:34" outlineLevel="1">
      <c r="B394" s="125">
        <v>363</v>
      </c>
      <c r="C394" s="120" t="s">
        <v>303</v>
      </c>
      <c r="D394" s="153" t="s">
        <v>950</v>
      </c>
      <c r="E394" s="126">
        <v>46048</v>
      </c>
      <c r="F394" s="126">
        <v>46108</v>
      </c>
      <c r="G394" s="126"/>
      <c r="H394" s="126"/>
      <c r="I394" s="127"/>
      <c r="J394" s="208">
        <f t="shared" ref="J394:J395" ca="1" si="333">IFERROR(IF(TODAY()&gt;=E394,(TODAY()-E394)/I394,0),0)</f>
        <v>0</v>
      </c>
      <c r="K394" s="134">
        <v>357.12</v>
      </c>
      <c r="L394" s="134">
        <v>357.12</v>
      </c>
      <c r="M394" s="129">
        <f t="shared" si="301"/>
        <v>0</v>
      </c>
      <c r="N394" s="130">
        <v>3627.73</v>
      </c>
      <c r="O394" s="130">
        <v>3647</v>
      </c>
      <c r="P394" s="168">
        <f t="shared" si="215"/>
        <v>19.269999999999982</v>
      </c>
      <c r="Q394" s="132">
        <f t="shared" si="319"/>
        <v>1295534.9376000001</v>
      </c>
      <c r="R394" s="168">
        <f t="shared" si="320"/>
        <v>1302416.6400000001</v>
      </c>
      <c r="S394" s="168">
        <f t="shared" si="321"/>
        <v>6881.7024000000674</v>
      </c>
      <c r="T394" s="216" t="str">
        <f t="shared" si="322"/>
        <v>Monetizar</v>
      </c>
      <c r="U394" s="239"/>
      <c r="V394" s="394">
        <v>46049</v>
      </c>
      <c r="W394" s="393" t="s">
        <v>275</v>
      </c>
      <c r="X394" s="393" t="s">
        <v>275</v>
      </c>
      <c r="Y394" s="393" t="s">
        <v>276</v>
      </c>
      <c r="Z394" s="211">
        <f t="shared" ref="Z394:Z395" si="334">K394*O394</f>
        <v>1302416.6400000001</v>
      </c>
      <c r="AA394" s="213">
        <f t="shared" ref="AA394:AA395" si="335">Z394-Q394</f>
        <v>6881.7024000000674</v>
      </c>
      <c r="AF394" s="112"/>
    </row>
    <row r="395" spans="2:34" outlineLevel="1">
      <c r="B395" s="125">
        <v>364</v>
      </c>
      <c r="C395" s="120" t="s">
        <v>303</v>
      </c>
      <c r="D395" s="153" t="s">
        <v>951</v>
      </c>
      <c r="E395" s="126">
        <v>46048</v>
      </c>
      <c r="F395" s="126">
        <v>46108</v>
      </c>
      <c r="G395" s="126"/>
      <c r="H395" s="126"/>
      <c r="I395" s="127"/>
      <c r="J395" s="208">
        <f t="shared" ca="1" si="333"/>
        <v>0</v>
      </c>
      <c r="K395" s="134">
        <v>3246.56</v>
      </c>
      <c r="L395" s="134">
        <v>3246.56</v>
      </c>
      <c r="M395" s="129">
        <f t="shared" si="301"/>
        <v>0</v>
      </c>
      <c r="N395" s="130">
        <v>3627.73</v>
      </c>
      <c r="O395" s="130">
        <v>3647</v>
      </c>
      <c r="P395" s="168">
        <f t="shared" si="215"/>
        <v>19.269999999999982</v>
      </c>
      <c r="Q395" s="132">
        <f t="shared" si="319"/>
        <v>11777643.1088</v>
      </c>
      <c r="R395" s="168">
        <f t="shared" si="320"/>
        <v>11840204.32</v>
      </c>
      <c r="S395" s="168">
        <f t="shared" si="321"/>
        <v>62561.211200000718</v>
      </c>
      <c r="T395" s="216" t="str">
        <f t="shared" si="322"/>
        <v>Monetizar</v>
      </c>
      <c r="U395" s="239"/>
      <c r="V395" s="394">
        <v>46049</v>
      </c>
      <c r="W395" s="393" t="s">
        <v>275</v>
      </c>
      <c r="X395" s="393" t="s">
        <v>275</v>
      </c>
      <c r="Y395" s="393" t="s">
        <v>276</v>
      </c>
      <c r="Z395" s="211">
        <f t="shared" si="334"/>
        <v>11840204.32</v>
      </c>
      <c r="AA395" s="213">
        <f t="shared" si="335"/>
        <v>62561.211200000718</v>
      </c>
      <c r="AF395" s="112"/>
    </row>
    <row r="396" spans="2:34" outlineLevel="1">
      <c r="B396" s="125">
        <v>365</v>
      </c>
      <c r="C396" s="120" t="s">
        <v>278</v>
      </c>
      <c r="D396" s="153" t="s">
        <v>952</v>
      </c>
      <c r="E396" s="126">
        <v>46048</v>
      </c>
      <c r="F396" s="126">
        <v>46108</v>
      </c>
      <c r="G396" s="126"/>
      <c r="H396" s="126"/>
      <c r="I396" s="127"/>
      <c r="J396" s="208">
        <f t="shared" ref="J396:J397" ca="1" si="336">IFERROR(IF(TODAY()&gt;=E396,(TODAY()-E396)/I396,0),0)</f>
        <v>0</v>
      </c>
      <c r="K396" s="134">
        <v>138.38999999999999</v>
      </c>
      <c r="L396" s="134">
        <v>138.38999999999999</v>
      </c>
      <c r="M396" s="129">
        <f t="shared" si="301"/>
        <v>0</v>
      </c>
      <c r="N396" s="130">
        <v>3600.31</v>
      </c>
      <c r="O396" s="130">
        <v>3675</v>
      </c>
      <c r="P396" s="168">
        <f t="shared" si="215"/>
        <v>74.690000000000055</v>
      </c>
      <c r="Q396" s="132">
        <f t="shared" ref="Q396:Q397" si="337">K396*N396</f>
        <v>498246.90089999995</v>
      </c>
      <c r="R396" s="168">
        <f t="shared" ref="R396:R397" si="338">L396*O396</f>
        <v>508583.24999999994</v>
      </c>
      <c r="S396" s="168">
        <f t="shared" ref="S396:S397" si="339">R396-Q396</f>
        <v>10336.349099999992</v>
      </c>
      <c r="T396" s="216" t="str">
        <f t="shared" ref="T396:T397" si="340">IF(R396&lt;= Q396,"No Monetizar","Monetizar")</f>
        <v>Monetizar</v>
      </c>
      <c r="U396" s="239"/>
      <c r="V396" s="394">
        <v>46049</v>
      </c>
      <c r="W396" s="393" t="s">
        <v>275</v>
      </c>
      <c r="X396" s="393" t="s">
        <v>275</v>
      </c>
      <c r="Y396" s="393" t="s">
        <v>276</v>
      </c>
      <c r="Z396" s="211">
        <f t="shared" ref="Z396:Z397" si="341">K396*O396</f>
        <v>508583.24999999994</v>
      </c>
      <c r="AA396" s="213">
        <f t="shared" ref="AA396:AA397" si="342">Z396-Q396</f>
        <v>10336.349099999992</v>
      </c>
      <c r="AF396" s="112"/>
    </row>
    <row r="397" spans="2:34" outlineLevel="1">
      <c r="B397" s="125">
        <v>366</v>
      </c>
      <c r="C397" s="120" t="s">
        <v>278</v>
      </c>
      <c r="D397" s="153" t="s">
        <v>953</v>
      </c>
      <c r="E397" s="126">
        <v>46048</v>
      </c>
      <c r="F397" s="126">
        <v>46108</v>
      </c>
      <c r="G397" s="126"/>
      <c r="H397" s="126"/>
      <c r="I397" s="127"/>
      <c r="J397" s="208">
        <f t="shared" ca="1" si="336"/>
        <v>0</v>
      </c>
      <c r="K397" s="134">
        <v>1257.99</v>
      </c>
      <c r="L397" s="134">
        <v>1257.99</v>
      </c>
      <c r="M397" s="129">
        <f t="shared" si="301"/>
        <v>0</v>
      </c>
      <c r="N397" s="130">
        <v>3600.31</v>
      </c>
      <c r="O397" s="130">
        <v>3675</v>
      </c>
      <c r="P397" s="168">
        <f t="shared" si="215"/>
        <v>74.690000000000055</v>
      </c>
      <c r="Q397" s="132">
        <f t="shared" si="337"/>
        <v>4529153.9769000001</v>
      </c>
      <c r="R397" s="168">
        <f t="shared" si="338"/>
        <v>4623113.25</v>
      </c>
      <c r="S397" s="168">
        <f t="shared" si="339"/>
        <v>93959.273099999875</v>
      </c>
      <c r="T397" s="216" t="str">
        <f t="shared" si="340"/>
        <v>Monetizar</v>
      </c>
      <c r="U397" s="239"/>
      <c r="V397" s="394">
        <v>46049</v>
      </c>
      <c r="W397" s="393" t="s">
        <v>275</v>
      </c>
      <c r="X397" s="393" t="s">
        <v>275</v>
      </c>
      <c r="Y397" s="393" t="s">
        <v>276</v>
      </c>
      <c r="Z397" s="211">
        <f t="shared" si="341"/>
        <v>4623113.25</v>
      </c>
      <c r="AA397" s="213">
        <f t="shared" si="342"/>
        <v>93959.273099999875</v>
      </c>
      <c r="AF397" s="112"/>
    </row>
    <row r="398" spans="2:34" outlineLevel="1">
      <c r="B398" s="125">
        <v>367</v>
      </c>
      <c r="C398" s="120" t="s">
        <v>261</v>
      </c>
      <c r="D398" s="153" t="s">
        <v>797</v>
      </c>
      <c r="E398" s="126">
        <v>46020</v>
      </c>
      <c r="F398" s="126">
        <v>46080</v>
      </c>
      <c r="G398" s="126"/>
      <c r="H398" s="126"/>
      <c r="I398" s="127"/>
      <c r="J398" s="208">
        <f t="shared" ref="J398" ca="1" si="343">IFERROR(IF(TODAY()&gt;=E398,(TODAY()-E398)/I398,0),0)</f>
        <v>0</v>
      </c>
      <c r="K398" s="134">
        <v>2219.58</v>
      </c>
      <c r="L398" s="218">
        <v>2219.58</v>
      </c>
      <c r="M398" s="129">
        <f t="shared" si="301"/>
        <v>0</v>
      </c>
      <c r="N398" s="219">
        <v>3660.98</v>
      </c>
      <c r="O398" s="130">
        <v>3669.5</v>
      </c>
      <c r="P398" s="168">
        <f t="shared" ref="P398:P411" si="344">O398-N398</f>
        <v>8.5199999999999818</v>
      </c>
      <c r="Q398" s="132">
        <f t="shared" ref="Q398:Q409" si="345">K398*N398</f>
        <v>8125837.9884000001</v>
      </c>
      <c r="R398" s="168">
        <f t="shared" ref="R398:R409" si="346">L398*O398</f>
        <v>8144748.8099999996</v>
      </c>
      <c r="S398" s="168">
        <f t="shared" ref="S398" si="347">R398-Q398</f>
        <v>18910.821599999443</v>
      </c>
      <c r="T398" s="216" t="str">
        <f t="shared" ref="T398" si="348">IF(R398&lt;= Q398,"No Monetizar","Monetizar")</f>
        <v>Monetizar</v>
      </c>
      <c r="U398" s="239"/>
      <c r="V398" s="394">
        <v>46049</v>
      </c>
      <c r="W398" s="393" t="s">
        <v>275</v>
      </c>
      <c r="X398" s="393" t="s">
        <v>275</v>
      </c>
      <c r="Y398" s="393" t="s">
        <v>276</v>
      </c>
      <c r="Z398" s="211">
        <f t="shared" ref="Z398" si="349">K398*O398</f>
        <v>8144748.8099999996</v>
      </c>
      <c r="AA398" s="213">
        <f t="shared" ref="AA398" si="350">Z398-Q398</f>
        <v>18910.821599999443</v>
      </c>
      <c r="AF398" s="112"/>
    </row>
    <row r="399" spans="2:34" outlineLevel="1">
      <c r="B399" s="125">
        <v>368</v>
      </c>
      <c r="C399" s="120" t="s">
        <v>277</v>
      </c>
      <c r="D399" s="153">
        <v>6338</v>
      </c>
      <c r="E399" s="126">
        <v>46014</v>
      </c>
      <c r="F399" s="126">
        <v>46074</v>
      </c>
      <c r="G399" s="126"/>
      <c r="H399" s="126"/>
      <c r="I399" s="127"/>
      <c r="J399" s="208">
        <f t="shared" ref="J399:J400" ca="1" si="351">IFERROR(IF(TODAY()&gt;=E399,(TODAY()-E399)/I399,0),0)</f>
        <v>0</v>
      </c>
      <c r="K399" s="134">
        <v>856.8</v>
      </c>
      <c r="L399" s="134">
        <v>856.8</v>
      </c>
      <c r="M399" s="129">
        <f>K399-L399</f>
        <v>0</v>
      </c>
      <c r="N399" s="130">
        <v>3890.28</v>
      </c>
      <c r="O399" s="130">
        <v>3632.5</v>
      </c>
      <c r="P399" s="168">
        <f t="shared" si="344"/>
        <v>-257.7800000000002</v>
      </c>
      <c r="Q399" s="168">
        <f t="shared" si="345"/>
        <v>3333191.9040000001</v>
      </c>
      <c r="R399" s="168">
        <f t="shared" si="346"/>
        <v>3112326</v>
      </c>
      <c r="S399" s="168">
        <f>R399-Q399</f>
        <v>-220865.9040000001</v>
      </c>
      <c r="T399" s="216" t="str">
        <f>IF(R399&lt;= Q399,"No Monetizar","Monetizar")</f>
        <v>No Monetizar</v>
      </c>
      <c r="U399" s="209"/>
      <c r="V399" s="394">
        <v>45685</v>
      </c>
      <c r="W399" s="393" t="s">
        <v>275</v>
      </c>
      <c r="X399" s="393" t="s">
        <v>275</v>
      </c>
      <c r="Y399" s="553" t="s">
        <v>983</v>
      </c>
      <c r="Z399" s="211">
        <f t="shared" ref="Z399:Z411" si="352">K399*O399</f>
        <v>3112326</v>
      </c>
      <c r="AA399" s="213">
        <f t="shared" ref="AA399:AA411" si="353">Z399-Q399</f>
        <v>-220865.9040000001</v>
      </c>
      <c r="AE399" s="157"/>
      <c r="AF399" s="157"/>
      <c r="AG399" s="330"/>
      <c r="AH399" s="555"/>
    </row>
    <row r="400" spans="2:34" outlineLevel="1">
      <c r="B400" s="125">
        <v>369</v>
      </c>
      <c r="C400" s="120" t="s">
        <v>277</v>
      </c>
      <c r="D400" s="153" t="s">
        <v>705</v>
      </c>
      <c r="E400" s="126">
        <v>46014</v>
      </c>
      <c r="F400" s="126">
        <v>46074</v>
      </c>
      <c r="G400" s="126"/>
      <c r="H400" s="126"/>
      <c r="I400" s="127"/>
      <c r="J400" s="208">
        <f t="shared" ca="1" si="351"/>
        <v>0</v>
      </c>
      <c r="K400" s="134">
        <v>3255.57</v>
      </c>
      <c r="L400" s="134">
        <v>3255.57</v>
      </c>
      <c r="M400" s="129">
        <f>K400-L400</f>
        <v>0</v>
      </c>
      <c r="N400" s="130">
        <v>3890.28</v>
      </c>
      <c r="O400" s="130">
        <v>3632.5</v>
      </c>
      <c r="P400" s="168">
        <f t="shared" si="344"/>
        <v>-257.7800000000002</v>
      </c>
      <c r="Q400" s="168">
        <f t="shared" si="345"/>
        <v>12665078.859600002</v>
      </c>
      <c r="R400" s="168">
        <f t="shared" si="346"/>
        <v>11825858.025</v>
      </c>
      <c r="S400" s="168">
        <f>R400-Q400</f>
        <v>-839220.83460000157</v>
      </c>
      <c r="T400" s="216" t="str">
        <f>IF(R400&lt;= Q400,"No Monetizar","Monetizar")</f>
        <v>No Monetizar</v>
      </c>
      <c r="U400" s="209"/>
      <c r="V400" s="394">
        <v>45685</v>
      </c>
      <c r="W400" s="393" t="s">
        <v>275</v>
      </c>
      <c r="X400" s="393" t="s">
        <v>275</v>
      </c>
      <c r="Y400" s="553" t="s">
        <v>983</v>
      </c>
      <c r="Z400" s="211">
        <f t="shared" si="352"/>
        <v>11825858.025</v>
      </c>
      <c r="AA400" s="213">
        <f t="shared" si="353"/>
        <v>-839220.83460000157</v>
      </c>
      <c r="AE400" s="157"/>
      <c r="AF400" s="157"/>
      <c r="AG400" s="330"/>
      <c r="AH400" s="555"/>
    </row>
    <row r="401" spans="2:34" outlineLevel="1">
      <c r="B401" s="125">
        <v>370</v>
      </c>
      <c r="C401" s="120" t="s">
        <v>277</v>
      </c>
      <c r="D401" s="153" t="s">
        <v>706</v>
      </c>
      <c r="E401" s="126">
        <v>46014</v>
      </c>
      <c r="F401" s="126">
        <v>46074</v>
      </c>
      <c r="G401" s="126"/>
      <c r="H401" s="126"/>
      <c r="I401" s="127"/>
      <c r="J401" s="208">
        <f t="shared" ref="J401:J409" ca="1" si="354">IFERROR(IF(TODAY()&gt;=E401,(TODAY()-E401)/I401,0),0)</f>
        <v>0</v>
      </c>
      <c r="K401" s="134">
        <v>231.52</v>
      </c>
      <c r="L401" s="134">
        <v>231.52</v>
      </c>
      <c r="M401" s="129">
        <f>K401-L401</f>
        <v>0</v>
      </c>
      <c r="N401" s="130">
        <v>3751.51</v>
      </c>
      <c r="O401" s="130">
        <v>3632.5</v>
      </c>
      <c r="P401" s="168">
        <f t="shared" si="344"/>
        <v>-119.01000000000022</v>
      </c>
      <c r="Q401" s="168">
        <f t="shared" si="345"/>
        <v>868549.5952000001</v>
      </c>
      <c r="R401" s="168">
        <f t="shared" si="346"/>
        <v>840996.4</v>
      </c>
      <c r="S401" s="168">
        <f>R401-Q401</f>
        <v>-27553.195200000075</v>
      </c>
      <c r="T401" s="216" t="str">
        <f>IF(R401&lt;= Q401,"No Monetizar","Monetizar")</f>
        <v>No Monetizar</v>
      </c>
      <c r="U401" s="209"/>
      <c r="V401" s="394">
        <v>45685</v>
      </c>
      <c r="W401" s="393" t="s">
        <v>275</v>
      </c>
      <c r="X401" s="393" t="s">
        <v>275</v>
      </c>
      <c r="Y401" s="553" t="s">
        <v>984</v>
      </c>
      <c r="Z401" s="211">
        <f t="shared" si="352"/>
        <v>840996.4</v>
      </c>
      <c r="AA401" s="213">
        <f t="shared" si="353"/>
        <v>-27553.195200000075</v>
      </c>
      <c r="AE401" s="157"/>
      <c r="AF401" s="157"/>
      <c r="AG401" s="330"/>
      <c r="AH401" s="555"/>
    </row>
    <row r="402" spans="2:34" outlineLevel="1">
      <c r="B402" s="125">
        <v>371</v>
      </c>
      <c r="C402" s="120" t="s">
        <v>287</v>
      </c>
      <c r="D402" s="153" t="s">
        <v>833</v>
      </c>
      <c r="E402" s="126">
        <v>46037</v>
      </c>
      <c r="F402" s="126">
        <v>46097</v>
      </c>
      <c r="G402" s="126"/>
      <c r="H402" s="126"/>
      <c r="I402" s="127"/>
      <c r="J402" s="208">
        <f t="shared" ca="1" si="354"/>
        <v>0</v>
      </c>
      <c r="K402" s="134">
        <v>185.72</v>
      </c>
      <c r="L402" s="134">
        <v>185.72</v>
      </c>
      <c r="M402" s="129">
        <f t="shared" ref="M402:M409" si="355">K402-L402</f>
        <v>0</v>
      </c>
      <c r="N402" s="219">
        <v>3682.4</v>
      </c>
      <c r="O402" s="130">
        <v>3632.01</v>
      </c>
      <c r="P402" s="168">
        <f t="shared" si="344"/>
        <v>-50.389999999999873</v>
      </c>
      <c r="Q402" s="168">
        <f t="shared" si="345"/>
        <v>683895.32799999998</v>
      </c>
      <c r="R402" s="168">
        <f t="shared" si="346"/>
        <v>674536.89720000001</v>
      </c>
      <c r="S402" s="168">
        <f t="shared" ref="S402:S409" si="356">R402-Q402</f>
        <v>-9358.4307999999728</v>
      </c>
      <c r="T402" s="216" t="str">
        <f t="shared" ref="T402:T409" si="357">IF(R402&lt;= Q402,"No Monetizar","Monetizar")</f>
        <v>No Monetizar</v>
      </c>
      <c r="U402" s="209"/>
      <c r="V402" s="394">
        <v>45685</v>
      </c>
      <c r="W402" s="393" t="s">
        <v>275</v>
      </c>
      <c r="X402" s="393" t="s">
        <v>275</v>
      </c>
      <c r="Y402" s="553" t="s">
        <v>985</v>
      </c>
      <c r="Z402" s="211">
        <f t="shared" si="352"/>
        <v>674536.89720000001</v>
      </c>
      <c r="AA402" s="213">
        <f t="shared" si="353"/>
        <v>-9358.4307999999728</v>
      </c>
      <c r="AE402" s="554"/>
      <c r="AF402" s="157"/>
      <c r="AG402" s="330"/>
      <c r="AH402" s="555"/>
    </row>
    <row r="403" spans="2:34" outlineLevel="1">
      <c r="B403" s="125">
        <v>372</v>
      </c>
      <c r="C403" s="120" t="s">
        <v>287</v>
      </c>
      <c r="D403" s="153" t="s">
        <v>834</v>
      </c>
      <c r="E403" s="126">
        <v>46037</v>
      </c>
      <c r="F403" s="126">
        <v>46097</v>
      </c>
      <c r="G403" s="126"/>
      <c r="H403" s="126"/>
      <c r="I403" s="127"/>
      <c r="J403" s="208">
        <f t="shared" ca="1" si="354"/>
        <v>0</v>
      </c>
      <c r="K403" s="134">
        <v>1857.19</v>
      </c>
      <c r="L403" s="134">
        <v>1857.19</v>
      </c>
      <c r="M403" s="129">
        <f t="shared" si="355"/>
        <v>0</v>
      </c>
      <c r="N403" s="219">
        <v>3682.4</v>
      </c>
      <c r="O403" s="130">
        <v>3632.01</v>
      </c>
      <c r="P403" s="168">
        <f t="shared" si="344"/>
        <v>-50.389999999999873</v>
      </c>
      <c r="Q403" s="168">
        <f t="shared" si="345"/>
        <v>6838916.4560000002</v>
      </c>
      <c r="R403" s="168">
        <f t="shared" si="346"/>
        <v>6745332.6519000009</v>
      </c>
      <c r="S403" s="168">
        <f t="shared" si="356"/>
        <v>-93583.804099999368</v>
      </c>
      <c r="T403" s="216" t="str">
        <f t="shared" si="357"/>
        <v>No Monetizar</v>
      </c>
      <c r="U403" s="209"/>
      <c r="V403" s="394">
        <v>45685</v>
      </c>
      <c r="W403" s="393" t="s">
        <v>275</v>
      </c>
      <c r="X403" s="393" t="s">
        <v>275</v>
      </c>
      <c r="Y403" s="553" t="s">
        <v>985</v>
      </c>
      <c r="Z403" s="211">
        <f t="shared" si="352"/>
        <v>6745332.6519000009</v>
      </c>
      <c r="AA403" s="213">
        <f t="shared" si="353"/>
        <v>-93583.804099999368</v>
      </c>
      <c r="AE403" s="554"/>
      <c r="AF403" s="157"/>
      <c r="AG403" s="330"/>
      <c r="AH403" s="555"/>
    </row>
    <row r="404" spans="2:34" outlineLevel="1">
      <c r="B404" s="125">
        <v>373</v>
      </c>
      <c r="C404" s="120" t="s">
        <v>287</v>
      </c>
      <c r="D404" s="153" t="s">
        <v>835</v>
      </c>
      <c r="E404" s="126">
        <v>46037</v>
      </c>
      <c r="F404" s="126">
        <v>46097</v>
      </c>
      <c r="G404" s="126"/>
      <c r="H404" s="126"/>
      <c r="I404" s="127"/>
      <c r="J404" s="208">
        <f t="shared" ca="1" si="354"/>
        <v>0</v>
      </c>
      <c r="K404" s="134">
        <v>116.08</v>
      </c>
      <c r="L404" s="134">
        <v>116.08</v>
      </c>
      <c r="M404" s="129">
        <f t="shared" si="355"/>
        <v>0</v>
      </c>
      <c r="N404" s="219">
        <v>3682.4</v>
      </c>
      <c r="O404" s="130">
        <v>3632.01</v>
      </c>
      <c r="P404" s="168">
        <f t="shared" si="344"/>
        <v>-50.389999999999873</v>
      </c>
      <c r="Q404" s="168">
        <f t="shared" si="345"/>
        <v>427452.99200000003</v>
      </c>
      <c r="R404" s="168">
        <f t="shared" si="346"/>
        <v>421603.72080000001</v>
      </c>
      <c r="S404" s="168">
        <f t="shared" si="356"/>
        <v>-5849.2712000000174</v>
      </c>
      <c r="T404" s="216" t="str">
        <f t="shared" si="357"/>
        <v>No Monetizar</v>
      </c>
      <c r="U404" s="209"/>
      <c r="V404" s="394">
        <v>45685</v>
      </c>
      <c r="W404" s="393" t="s">
        <v>275</v>
      </c>
      <c r="X404" s="393" t="s">
        <v>275</v>
      </c>
      <c r="Y404" s="553" t="s">
        <v>985</v>
      </c>
      <c r="Z404" s="211">
        <f t="shared" si="352"/>
        <v>421603.72080000001</v>
      </c>
      <c r="AA404" s="213">
        <f t="shared" si="353"/>
        <v>-5849.2712000000174</v>
      </c>
      <c r="AE404" s="554"/>
      <c r="AF404" s="157"/>
      <c r="AG404" s="330"/>
      <c r="AH404" s="555"/>
    </row>
    <row r="405" spans="2:34" outlineLevel="1">
      <c r="B405" s="125">
        <v>374</v>
      </c>
      <c r="C405" s="120" t="s">
        <v>287</v>
      </c>
      <c r="D405" s="153" t="s">
        <v>836</v>
      </c>
      <c r="E405" s="126">
        <v>46037</v>
      </c>
      <c r="F405" s="126">
        <v>46097</v>
      </c>
      <c r="G405" s="126"/>
      <c r="H405" s="126"/>
      <c r="I405" s="127"/>
      <c r="J405" s="208">
        <f t="shared" ca="1" si="354"/>
        <v>0</v>
      </c>
      <c r="K405" s="134">
        <v>1160.83</v>
      </c>
      <c r="L405" s="134">
        <v>1160.83</v>
      </c>
      <c r="M405" s="129">
        <f t="shared" si="355"/>
        <v>0</v>
      </c>
      <c r="N405" s="219">
        <v>3682.4</v>
      </c>
      <c r="O405" s="130">
        <v>3632.01</v>
      </c>
      <c r="P405" s="168">
        <f t="shared" si="344"/>
        <v>-50.389999999999873</v>
      </c>
      <c r="Q405" s="168">
        <f t="shared" si="345"/>
        <v>4274640.392</v>
      </c>
      <c r="R405" s="168">
        <f t="shared" si="346"/>
        <v>4216146.1683</v>
      </c>
      <c r="S405" s="168">
        <f t="shared" si="356"/>
        <v>-58494.223699999973</v>
      </c>
      <c r="T405" s="216" t="str">
        <f t="shared" si="357"/>
        <v>No Monetizar</v>
      </c>
      <c r="U405" s="209"/>
      <c r="V405" s="394">
        <v>45685</v>
      </c>
      <c r="W405" s="393" t="s">
        <v>275</v>
      </c>
      <c r="X405" s="393" t="s">
        <v>275</v>
      </c>
      <c r="Y405" s="553" t="s">
        <v>985</v>
      </c>
      <c r="Z405" s="211">
        <f t="shared" si="352"/>
        <v>4216146.1683</v>
      </c>
      <c r="AA405" s="213">
        <f t="shared" si="353"/>
        <v>-58494.223699999973</v>
      </c>
      <c r="AE405" s="554"/>
      <c r="AF405" s="157"/>
      <c r="AG405" s="330"/>
      <c r="AH405" s="555"/>
    </row>
    <row r="406" spans="2:34" outlineLevel="1">
      <c r="B406" s="125">
        <v>375</v>
      </c>
      <c r="C406" s="120" t="s">
        <v>287</v>
      </c>
      <c r="D406" s="153" t="s">
        <v>837</v>
      </c>
      <c r="E406" s="126">
        <v>46037</v>
      </c>
      <c r="F406" s="126">
        <v>46097</v>
      </c>
      <c r="G406" s="126"/>
      <c r="H406" s="126"/>
      <c r="I406" s="127"/>
      <c r="J406" s="208">
        <f t="shared" ca="1" si="354"/>
        <v>0</v>
      </c>
      <c r="K406" s="134">
        <v>180.74</v>
      </c>
      <c r="L406" s="134">
        <v>180.74</v>
      </c>
      <c r="M406" s="129">
        <f t="shared" si="355"/>
        <v>0</v>
      </c>
      <c r="N406" s="219">
        <v>3779.41</v>
      </c>
      <c r="O406" s="130">
        <v>3632.01</v>
      </c>
      <c r="P406" s="168">
        <f t="shared" si="344"/>
        <v>-147.39999999999964</v>
      </c>
      <c r="Q406" s="168">
        <f t="shared" si="345"/>
        <v>683090.56339999998</v>
      </c>
      <c r="R406" s="168">
        <f t="shared" si="346"/>
        <v>656449.4874000001</v>
      </c>
      <c r="S406" s="168">
        <f t="shared" si="356"/>
        <v>-26641.075999999885</v>
      </c>
      <c r="T406" s="216" t="str">
        <f t="shared" si="357"/>
        <v>No Monetizar</v>
      </c>
      <c r="U406" s="209"/>
      <c r="V406" s="394">
        <v>45685</v>
      </c>
      <c r="W406" s="393" t="s">
        <v>275</v>
      </c>
      <c r="X406" s="393" t="s">
        <v>275</v>
      </c>
      <c r="Y406" s="553" t="s">
        <v>986</v>
      </c>
      <c r="Z406" s="211">
        <f t="shared" si="352"/>
        <v>656449.4874000001</v>
      </c>
      <c r="AA406" s="213">
        <f t="shared" si="353"/>
        <v>-26641.075999999885</v>
      </c>
      <c r="AE406" s="554"/>
      <c r="AF406" s="157"/>
      <c r="AG406" s="330"/>
      <c r="AH406" s="555"/>
    </row>
    <row r="407" spans="2:34" outlineLevel="1">
      <c r="B407" s="125">
        <v>376</v>
      </c>
      <c r="C407" s="120" t="s">
        <v>287</v>
      </c>
      <c r="D407" s="153" t="s">
        <v>838</v>
      </c>
      <c r="E407" s="126">
        <v>46037</v>
      </c>
      <c r="F407" s="126">
        <v>46097</v>
      </c>
      <c r="G407" s="126"/>
      <c r="H407" s="126"/>
      <c r="I407" s="127"/>
      <c r="J407" s="208">
        <f t="shared" ca="1" si="354"/>
        <v>0</v>
      </c>
      <c r="K407" s="134">
        <v>1807.42</v>
      </c>
      <c r="L407" s="134">
        <v>1807.42</v>
      </c>
      <c r="M407" s="129">
        <f t="shared" si="355"/>
        <v>0</v>
      </c>
      <c r="N407" s="219">
        <v>3779.41</v>
      </c>
      <c r="O407" s="130">
        <v>3632.01</v>
      </c>
      <c r="P407" s="168">
        <f t="shared" si="344"/>
        <v>-147.39999999999964</v>
      </c>
      <c r="Q407" s="168">
        <f t="shared" si="345"/>
        <v>6830981.2221999997</v>
      </c>
      <c r="R407" s="168">
        <f t="shared" si="346"/>
        <v>6564567.514200001</v>
      </c>
      <c r="S407" s="168">
        <f t="shared" si="356"/>
        <v>-266413.7079999987</v>
      </c>
      <c r="T407" s="216" t="str">
        <f t="shared" si="357"/>
        <v>No Monetizar</v>
      </c>
      <c r="U407" s="209"/>
      <c r="V407" s="394">
        <v>45685</v>
      </c>
      <c r="W407" s="393" t="s">
        <v>275</v>
      </c>
      <c r="X407" s="393" t="s">
        <v>275</v>
      </c>
      <c r="Y407" s="553" t="s">
        <v>986</v>
      </c>
      <c r="Z407" s="211">
        <f t="shared" si="352"/>
        <v>6564567.514200001</v>
      </c>
      <c r="AA407" s="213">
        <f t="shared" si="353"/>
        <v>-266413.7079999987</v>
      </c>
      <c r="AE407" s="554"/>
      <c r="AF407" s="157"/>
      <c r="AG407" s="330"/>
      <c r="AH407" s="555"/>
    </row>
    <row r="408" spans="2:34" outlineLevel="1">
      <c r="B408" s="125">
        <v>377</v>
      </c>
      <c r="C408" s="120" t="s">
        <v>287</v>
      </c>
      <c r="D408" s="153" t="s">
        <v>839</v>
      </c>
      <c r="E408" s="126">
        <v>46037</v>
      </c>
      <c r="F408" s="126">
        <v>46097</v>
      </c>
      <c r="G408" s="126"/>
      <c r="H408" s="126"/>
      <c r="I408" s="127"/>
      <c r="J408" s="208">
        <f t="shared" ca="1" si="354"/>
        <v>0</v>
      </c>
      <c r="K408" s="134">
        <v>113.24</v>
      </c>
      <c r="L408" s="134">
        <v>113.24</v>
      </c>
      <c r="M408" s="129">
        <f t="shared" si="355"/>
        <v>0</v>
      </c>
      <c r="N408" s="219">
        <v>3779.41</v>
      </c>
      <c r="O408" s="130">
        <v>3632.01</v>
      </c>
      <c r="P408" s="168">
        <f t="shared" si="344"/>
        <v>-147.39999999999964</v>
      </c>
      <c r="Q408" s="168">
        <f t="shared" si="345"/>
        <v>427980.38839999994</v>
      </c>
      <c r="R408" s="168">
        <f t="shared" si="346"/>
        <v>411288.8124</v>
      </c>
      <c r="S408" s="168">
        <f t="shared" si="356"/>
        <v>-16691.575999999943</v>
      </c>
      <c r="T408" s="216" t="str">
        <f t="shared" si="357"/>
        <v>No Monetizar</v>
      </c>
      <c r="U408" s="209"/>
      <c r="V408" s="394">
        <v>45685</v>
      </c>
      <c r="W408" s="393" t="s">
        <v>275</v>
      </c>
      <c r="X408" s="393" t="s">
        <v>275</v>
      </c>
      <c r="Y408" s="553" t="s">
        <v>986</v>
      </c>
      <c r="Z408" s="211">
        <f t="shared" si="352"/>
        <v>411288.8124</v>
      </c>
      <c r="AA408" s="213">
        <f t="shared" si="353"/>
        <v>-16691.575999999943</v>
      </c>
      <c r="AE408" s="554"/>
      <c r="AF408" s="157"/>
      <c r="AG408" s="330"/>
      <c r="AH408" s="555"/>
    </row>
    <row r="409" spans="2:34" outlineLevel="1">
      <c r="B409" s="125">
        <v>378</v>
      </c>
      <c r="C409" s="120" t="s">
        <v>287</v>
      </c>
      <c r="D409" s="153" t="s">
        <v>840</v>
      </c>
      <c r="E409" s="126">
        <v>46037</v>
      </c>
      <c r="F409" s="126">
        <v>46097</v>
      </c>
      <c r="G409" s="126"/>
      <c r="H409" s="126"/>
      <c r="I409" s="127"/>
      <c r="J409" s="208">
        <f t="shared" ca="1" si="354"/>
        <v>0</v>
      </c>
      <c r="K409" s="134">
        <v>1132.42</v>
      </c>
      <c r="L409" s="134">
        <v>1132.42</v>
      </c>
      <c r="M409" s="129">
        <f t="shared" si="355"/>
        <v>0</v>
      </c>
      <c r="N409" s="219">
        <v>3779.41</v>
      </c>
      <c r="O409" s="130">
        <v>3632.01</v>
      </c>
      <c r="P409" s="168">
        <f t="shared" si="344"/>
        <v>-147.39999999999964</v>
      </c>
      <c r="Q409" s="168">
        <f t="shared" si="345"/>
        <v>4279879.4721999997</v>
      </c>
      <c r="R409" s="168">
        <f t="shared" si="346"/>
        <v>4112960.7642000006</v>
      </c>
      <c r="S409" s="168">
        <f t="shared" si="356"/>
        <v>-166918.70799999917</v>
      </c>
      <c r="T409" s="216" t="str">
        <f t="shared" si="357"/>
        <v>No Monetizar</v>
      </c>
      <c r="U409" s="209"/>
      <c r="V409" s="394">
        <v>45685</v>
      </c>
      <c r="W409" s="393" t="s">
        <v>275</v>
      </c>
      <c r="X409" s="393" t="s">
        <v>275</v>
      </c>
      <c r="Y409" s="553" t="s">
        <v>986</v>
      </c>
      <c r="Z409" s="211">
        <f t="shared" si="352"/>
        <v>4112960.7642000006</v>
      </c>
      <c r="AA409" s="213">
        <f t="shared" si="353"/>
        <v>-166918.70799999917</v>
      </c>
      <c r="AE409" s="554"/>
      <c r="AF409" s="157"/>
      <c r="AG409" s="330"/>
      <c r="AH409" s="555"/>
    </row>
    <row r="410" spans="2:34" outlineLevel="1">
      <c r="B410" s="125">
        <v>379</v>
      </c>
      <c r="C410" s="120" t="s">
        <v>277</v>
      </c>
      <c r="D410" s="153" t="s">
        <v>908</v>
      </c>
      <c r="E410" s="126">
        <v>46043</v>
      </c>
      <c r="F410" s="126">
        <v>46103</v>
      </c>
      <c r="G410" s="126"/>
      <c r="H410" s="126"/>
      <c r="I410" s="127"/>
      <c r="J410" s="208">
        <f t="shared" ref="J410:J411" ca="1" si="358">IFERROR(IF(TODAY()&gt;=E410,(TODAY()-E410)/I410,0),0)</f>
        <v>0</v>
      </c>
      <c r="K410" s="134">
        <v>12852</v>
      </c>
      <c r="L410" s="134">
        <v>12852</v>
      </c>
      <c r="M410" s="129">
        <f t="shared" ref="M410:M415" si="359">K410-L410</f>
        <v>0</v>
      </c>
      <c r="N410" s="130">
        <v>3697.32</v>
      </c>
      <c r="O410" s="130">
        <v>3632</v>
      </c>
      <c r="P410" s="168">
        <f t="shared" si="344"/>
        <v>-65.320000000000164</v>
      </c>
      <c r="Q410" s="168">
        <f t="shared" ref="Q410:R413" si="360">K410*N410</f>
        <v>47517956.640000001</v>
      </c>
      <c r="R410" s="168">
        <f t="shared" si="360"/>
        <v>46678464</v>
      </c>
      <c r="S410" s="168">
        <f t="shared" ref="S410:S418" si="361">R410-Q410</f>
        <v>-839492.6400000006</v>
      </c>
      <c r="T410" s="216" t="str">
        <f t="shared" ref="T410:T418" si="362">IF(R410&lt;= Q410,"No Monetizar","Monetizar")</f>
        <v>No Monetizar</v>
      </c>
      <c r="U410" s="209"/>
      <c r="V410" s="394">
        <v>45685</v>
      </c>
      <c r="W410" s="393" t="s">
        <v>275</v>
      </c>
      <c r="X410" s="393" t="s">
        <v>275</v>
      </c>
      <c r="Y410" s="553" t="s">
        <v>987</v>
      </c>
      <c r="Z410" s="211">
        <f t="shared" si="352"/>
        <v>46678464</v>
      </c>
      <c r="AA410" s="213">
        <f t="shared" si="353"/>
        <v>-839492.6400000006</v>
      </c>
      <c r="AE410" s="157"/>
      <c r="AF410" s="157"/>
      <c r="AG410" s="330"/>
      <c r="AH410" s="555"/>
    </row>
    <row r="411" spans="2:34" outlineLevel="1">
      <c r="B411" s="125">
        <v>380</v>
      </c>
      <c r="C411" s="120" t="s">
        <v>277</v>
      </c>
      <c r="D411" s="153" t="s">
        <v>909</v>
      </c>
      <c r="E411" s="126">
        <v>46043</v>
      </c>
      <c r="F411" s="126">
        <v>46103</v>
      </c>
      <c r="G411" s="126"/>
      <c r="H411" s="126"/>
      <c r="I411" s="127"/>
      <c r="J411" s="208">
        <f t="shared" ca="1" si="358"/>
        <v>0</v>
      </c>
      <c r="K411" s="134">
        <v>261153</v>
      </c>
      <c r="L411" s="134">
        <v>261153</v>
      </c>
      <c r="M411" s="129">
        <f t="shared" si="359"/>
        <v>0</v>
      </c>
      <c r="N411" s="130">
        <v>3697.32</v>
      </c>
      <c r="O411" s="130">
        <v>3632</v>
      </c>
      <c r="P411" s="168">
        <f t="shared" si="344"/>
        <v>-65.320000000000164</v>
      </c>
      <c r="Q411" s="168">
        <f t="shared" si="360"/>
        <v>965566209.96000004</v>
      </c>
      <c r="R411" s="168">
        <f t="shared" si="360"/>
        <v>948507696</v>
      </c>
      <c r="S411" s="168">
        <f t="shared" si="361"/>
        <v>-17058513.960000038</v>
      </c>
      <c r="T411" s="216" t="str">
        <f t="shared" si="362"/>
        <v>No Monetizar</v>
      </c>
      <c r="U411" s="209"/>
      <c r="V411" s="394">
        <v>45685</v>
      </c>
      <c r="W411" s="393" t="s">
        <v>275</v>
      </c>
      <c r="X411" s="393" t="s">
        <v>275</v>
      </c>
      <c r="Y411" s="553" t="s">
        <v>988</v>
      </c>
      <c r="Z411" s="211">
        <f t="shared" si="352"/>
        <v>948507696</v>
      </c>
      <c r="AA411" s="213">
        <f t="shared" si="353"/>
        <v>-17058513.960000038</v>
      </c>
      <c r="AE411" s="157"/>
      <c r="AF411" s="157"/>
      <c r="AG411" s="330"/>
      <c r="AH411" s="555"/>
    </row>
    <row r="412" spans="2:34" outlineLevel="1">
      <c r="B412" s="125">
        <v>381</v>
      </c>
      <c r="C412" s="120" t="s">
        <v>277</v>
      </c>
      <c r="D412" s="153" t="s">
        <v>1018</v>
      </c>
      <c r="E412" s="126">
        <v>46050</v>
      </c>
      <c r="F412" s="126">
        <v>46110</v>
      </c>
      <c r="G412" s="126"/>
      <c r="H412" s="126"/>
      <c r="I412" s="127"/>
      <c r="J412" s="208">
        <f t="shared" ref="J412:J413" ca="1" si="363">IFERROR(IF(TODAY()&gt;=E412,(TODAY()-E412)/I412,0),0)</f>
        <v>0</v>
      </c>
      <c r="K412" s="134">
        <v>642.6</v>
      </c>
      <c r="L412" s="134">
        <v>642.6</v>
      </c>
      <c r="M412" s="129">
        <f t="shared" si="359"/>
        <v>0</v>
      </c>
      <c r="N412" s="130">
        <v>3697.32</v>
      </c>
      <c r="O412" s="219">
        <v>3667</v>
      </c>
      <c r="P412" s="168">
        <f t="shared" ref="P412:P413" si="364">O412-N412</f>
        <v>-30.320000000000164</v>
      </c>
      <c r="Q412" s="168">
        <f t="shared" si="360"/>
        <v>2375897.8320000004</v>
      </c>
      <c r="R412" s="168">
        <f t="shared" si="360"/>
        <v>2356414.2000000002</v>
      </c>
      <c r="S412" s="168">
        <f t="shared" si="361"/>
        <v>-19483.632000000216</v>
      </c>
      <c r="T412" s="216" t="str">
        <f t="shared" si="362"/>
        <v>No Monetizar</v>
      </c>
      <c r="U412" s="209"/>
      <c r="V412" s="394">
        <v>45685</v>
      </c>
      <c r="W412" s="393" t="s">
        <v>275</v>
      </c>
      <c r="X412" s="393" t="s">
        <v>275</v>
      </c>
      <c r="Y412" s="553" t="s">
        <v>988</v>
      </c>
      <c r="Z412" s="211">
        <f t="shared" ref="Z412:Z413" si="365">K412*O412</f>
        <v>2356414.2000000002</v>
      </c>
      <c r="AA412" s="213">
        <f t="shared" ref="AA412:AA413" si="366">Z412-Q412</f>
        <v>-19483.632000000216</v>
      </c>
      <c r="AF412" s="112"/>
    </row>
    <row r="413" spans="2:34" outlineLevel="1">
      <c r="B413" s="125">
        <v>382</v>
      </c>
      <c r="C413" s="120" t="s">
        <v>277</v>
      </c>
      <c r="D413" s="153" t="s">
        <v>1019</v>
      </c>
      <c r="E413" s="126">
        <v>46050</v>
      </c>
      <c r="F413" s="126">
        <v>46110</v>
      </c>
      <c r="G413" s="126"/>
      <c r="H413" s="126"/>
      <c r="I413" s="127"/>
      <c r="J413" s="208">
        <f t="shared" ca="1" si="363"/>
        <v>0</v>
      </c>
      <c r="K413" s="134">
        <v>17133.3</v>
      </c>
      <c r="L413" s="134">
        <v>17133.3</v>
      </c>
      <c r="M413" s="129">
        <f t="shared" si="359"/>
        <v>0</v>
      </c>
      <c r="N413" s="130">
        <v>3697.32</v>
      </c>
      <c r="O413" s="219">
        <v>3667</v>
      </c>
      <c r="P413" s="168">
        <f t="shared" si="364"/>
        <v>-30.320000000000164</v>
      </c>
      <c r="Q413" s="168">
        <f t="shared" si="360"/>
        <v>63347292.755999997</v>
      </c>
      <c r="R413" s="168">
        <f t="shared" si="360"/>
        <v>62827811.099999994</v>
      </c>
      <c r="S413" s="168">
        <f t="shared" si="361"/>
        <v>-519481.65600000322</v>
      </c>
      <c r="T413" s="216" t="str">
        <f t="shared" si="362"/>
        <v>No Monetizar</v>
      </c>
      <c r="U413" s="209"/>
      <c r="V413" s="394">
        <v>45685</v>
      </c>
      <c r="W413" s="393" t="s">
        <v>275</v>
      </c>
      <c r="X413" s="393" t="s">
        <v>275</v>
      </c>
      <c r="Y413" s="553" t="s">
        <v>988</v>
      </c>
      <c r="Z413" s="211">
        <f t="shared" si="365"/>
        <v>62827811.099999994</v>
      </c>
      <c r="AA413" s="213">
        <f t="shared" si="366"/>
        <v>-519481.65600000322</v>
      </c>
      <c r="AF413" s="112"/>
    </row>
    <row r="414" spans="2:34" outlineLevel="1">
      <c r="B414" s="125">
        <v>383</v>
      </c>
      <c r="C414" s="120" t="s">
        <v>117</v>
      </c>
      <c r="D414" s="153" t="s">
        <v>1057</v>
      </c>
      <c r="E414" s="126">
        <v>46051</v>
      </c>
      <c r="F414" s="126">
        <v>46111</v>
      </c>
      <c r="G414" s="126"/>
      <c r="H414" s="126"/>
      <c r="I414" s="127"/>
      <c r="J414" s="208">
        <f t="shared" ref="J414:J415" ca="1" si="367">IFERROR(IF(TODAY()&gt;=E414,(TODAY()-E414)/I414,0),0)</f>
        <v>0</v>
      </c>
      <c r="K414" s="134">
        <v>6330.8</v>
      </c>
      <c r="L414" s="218">
        <v>6330.4999704036654</v>
      </c>
      <c r="M414" s="129">
        <f t="shared" si="359"/>
        <v>0.30002959633475257</v>
      </c>
      <c r="N414" s="219">
        <v>3632.46</v>
      </c>
      <c r="O414" s="130">
        <v>3642.12</v>
      </c>
      <c r="P414" s="168"/>
      <c r="Q414" s="168">
        <f t="shared" ref="Q414:R418" si="368">K414*N414</f>
        <v>22996377.767999999</v>
      </c>
      <c r="R414" s="168">
        <f t="shared" si="368"/>
        <v>23056440.552206598</v>
      </c>
      <c r="S414" s="168">
        <f t="shared" si="361"/>
        <v>60062.784206598997</v>
      </c>
      <c r="T414" s="216" t="str">
        <f t="shared" si="362"/>
        <v>Monetizar</v>
      </c>
      <c r="U414" s="293"/>
      <c r="V414" s="394">
        <v>45693</v>
      </c>
      <c r="W414" s="393" t="s">
        <v>275</v>
      </c>
      <c r="X414" s="393" t="s">
        <v>275</v>
      </c>
      <c r="Y414" s="553" t="s">
        <v>988</v>
      </c>
      <c r="Z414" s="211">
        <f t="shared" ref="Z414" si="369">K414*O414</f>
        <v>23057533.296</v>
      </c>
      <c r="AA414" s="213">
        <f t="shared" ref="AA414" si="370">Z414-Q414</f>
        <v>61155.528000000864</v>
      </c>
      <c r="AF414" s="112"/>
    </row>
    <row r="415" spans="2:34" outlineLevel="1">
      <c r="B415" s="125">
        <v>384</v>
      </c>
      <c r="C415" s="120" t="s">
        <v>117</v>
      </c>
      <c r="D415" s="153" t="s">
        <v>1058</v>
      </c>
      <c r="E415" s="126">
        <v>46051</v>
      </c>
      <c r="F415" s="126">
        <v>46111</v>
      </c>
      <c r="G415" s="126"/>
      <c r="H415" s="126"/>
      <c r="I415" s="127"/>
      <c r="J415" s="208">
        <f t="shared" ca="1" si="367"/>
        <v>0</v>
      </c>
      <c r="K415" s="134">
        <v>204675.05</v>
      </c>
      <c r="L415" s="218">
        <v>204665.35002959636</v>
      </c>
      <c r="M415" s="129">
        <f t="shared" si="359"/>
        <v>9.6999704036279581</v>
      </c>
      <c r="N415" s="219">
        <v>3632.46</v>
      </c>
      <c r="O415" s="130">
        <v>3642.12</v>
      </c>
      <c r="P415" s="168"/>
      <c r="Q415" s="168">
        <f t="shared" si="368"/>
        <v>743473932.12299991</v>
      </c>
      <c r="R415" s="168">
        <f t="shared" si="368"/>
        <v>745415764.64979351</v>
      </c>
      <c r="S415" s="168">
        <f t="shared" si="361"/>
        <v>1941832.5267935991</v>
      </c>
      <c r="T415" s="216" t="str">
        <f t="shared" si="362"/>
        <v>Monetizar</v>
      </c>
      <c r="U415" s="293"/>
      <c r="V415" s="394">
        <v>45693</v>
      </c>
      <c r="W415" s="393" t="s">
        <v>275</v>
      </c>
      <c r="X415" s="393" t="s">
        <v>275</v>
      </c>
      <c r="Y415" s="553" t="s">
        <v>988</v>
      </c>
      <c r="Z415" s="211">
        <f t="shared" ref="Z415" si="371">K415*O415</f>
        <v>745451093.10599995</v>
      </c>
      <c r="AA415" s="213">
        <f t="shared" ref="AA415" si="372">Z415-Q415</f>
        <v>1977160.9830000401</v>
      </c>
      <c r="AF415" s="112"/>
    </row>
    <row r="416" spans="2:34" ht="30" outlineLevel="1">
      <c r="B416" s="125">
        <v>385</v>
      </c>
      <c r="C416" s="120" t="s">
        <v>284</v>
      </c>
      <c r="D416" s="153" t="s">
        <v>1063</v>
      </c>
      <c r="E416" s="126">
        <v>46051</v>
      </c>
      <c r="F416" s="126">
        <v>46111</v>
      </c>
      <c r="G416" s="126"/>
      <c r="H416" s="126"/>
      <c r="I416" s="127"/>
      <c r="J416" s="208">
        <f t="shared" ref="J416:J425" ca="1" si="373">IFERROR(IF(TODAY()&gt;=E416,(TODAY()-E416)/I416,0),0)</f>
        <v>0</v>
      </c>
      <c r="K416" s="134">
        <v>749.7</v>
      </c>
      <c r="L416" s="134">
        <v>749.7</v>
      </c>
      <c r="M416" s="129">
        <f t="shared" ref="M416:M421" si="374">K416-L416</f>
        <v>0</v>
      </c>
      <c r="N416" s="219">
        <v>3611.28</v>
      </c>
      <c r="O416" s="130">
        <v>3642.12</v>
      </c>
      <c r="P416" s="168"/>
      <c r="Q416" s="168">
        <f t="shared" si="368"/>
        <v>2707376.6160000004</v>
      </c>
      <c r="R416" s="168">
        <f t="shared" si="368"/>
        <v>2730497.3640000001</v>
      </c>
      <c r="S416" s="168">
        <f t="shared" si="361"/>
        <v>23120.747999999672</v>
      </c>
      <c r="T416" s="216" t="str">
        <f t="shared" si="362"/>
        <v>Monetizar</v>
      </c>
      <c r="U416" s="293"/>
      <c r="V416" s="394">
        <v>45693</v>
      </c>
      <c r="W416" s="393" t="s">
        <v>275</v>
      </c>
      <c r="X416" s="393" t="s">
        <v>275</v>
      </c>
      <c r="Y416" s="553" t="s">
        <v>988</v>
      </c>
      <c r="Z416" s="211">
        <f t="shared" ref="Z416:Z418" si="375">K416*O416</f>
        <v>2730497.3640000001</v>
      </c>
      <c r="AA416" s="213">
        <f t="shared" ref="AA416:AA418" si="376">Z416-Q416</f>
        <v>23120.747999999672</v>
      </c>
      <c r="AF416" s="112"/>
    </row>
    <row r="417" spans="2:32" ht="30" outlineLevel="1">
      <c r="B417" s="125">
        <v>386</v>
      </c>
      <c r="C417" s="120" t="s">
        <v>284</v>
      </c>
      <c r="D417" s="153" t="s">
        <v>1064</v>
      </c>
      <c r="E417" s="126">
        <v>46051</v>
      </c>
      <c r="F417" s="126">
        <v>46111</v>
      </c>
      <c r="G417" s="126"/>
      <c r="H417" s="126"/>
      <c r="I417" s="127"/>
      <c r="J417" s="208">
        <f t="shared" ca="1" si="373"/>
        <v>0</v>
      </c>
      <c r="K417" s="134">
        <v>12047.78</v>
      </c>
      <c r="L417" s="134">
        <v>12047.78</v>
      </c>
      <c r="M417" s="129">
        <f t="shared" si="374"/>
        <v>0</v>
      </c>
      <c r="N417" s="219">
        <v>3611.28</v>
      </c>
      <c r="O417" s="130">
        <v>3642.12</v>
      </c>
      <c r="P417" s="168"/>
      <c r="Q417" s="168">
        <f t="shared" si="368"/>
        <v>43507906.958400004</v>
      </c>
      <c r="R417" s="168">
        <f t="shared" si="368"/>
        <v>43879460.493600003</v>
      </c>
      <c r="S417" s="168">
        <f t="shared" si="361"/>
        <v>371553.53519999981</v>
      </c>
      <c r="T417" s="216" t="str">
        <f t="shared" si="362"/>
        <v>Monetizar</v>
      </c>
      <c r="U417" s="293"/>
      <c r="V417" s="394">
        <v>45693</v>
      </c>
      <c r="W417" s="393" t="s">
        <v>275</v>
      </c>
      <c r="X417" s="393" t="s">
        <v>275</v>
      </c>
      <c r="Y417" s="553" t="s">
        <v>988</v>
      </c>
      <c r="Z417" s="211">
        <f t="shared" si="375"/>
        <v>43879460.493600003</v>
      </c>
      <c r="AA417" s="213">
        <f t="shared" si="376"/>
        <v>371553.53519999981</v>
      </c>
      <c r="AF417" s="112"/>
    </row>
    <row r="418" spans="2:32" ht="30" outlineLevel="1">
      <c r="B418" s="125">
        <v>387</v>
      </c>
      <c r="C418" s="120" t="s">
        <v>284</v>
      </c>
      <c r="D418" s="153" t="s">
        <v>1065</v>
      </c>
      <c r="E418" s="126">
        <v>46051</v>
      </c>
      <c r="F418" s="126">
        <v>46111</v>
      </c>
      <c r="G418" s="126"/>
      <c r="H418" s="126"/>
      <c r="I418" s="127"/>
      <c r="J418" s="208">
        <f t="shared" ca="1" si="373"/>
        <v>0</v>
      </c>
      <c r="K418" s="134">
        <v>5875.38</v>
      </c>
      <c r="L418" s="134">
        <v>5875.38</v>
      </c>
      <c r="M418" s="129">
        <f t="shared" si="374"/>
        <v>0</v>
      </c>
      <c r="N418" s="219">
        <v>3611.28</v>
      </c>
      <c r="O418" s="130">
        <v>3642.12</v>
      </c>
      <c r="P418" s="168"/>
      <c r="Q418" s="168">
        <f t="shared" si="368"/>
        <v>21217642.286400001</v>
      </c>
      <c r="R418" s="168">
        <f t="shared" si="368"/>
        <v>21398839.005599998</v>
      </c>
      <c r="S418" s="168">
        <f t="shared" si="361"/>
        <v>181196.71919999644</v>
      </c>
      <c r="T418" s="216" t="str">
        <f t="shared" si="362"/>
        <v>Monetizar</v>
      </c>
      <c r="U418" s="293"/>
      <c r="V418" s="394">
        <v>45693</v>
      </c>
      <c r="W418" s="393" t="s">
        <v>275</v>
      </c>
      <c r="X418" s="393" t="s">
        <v>275</v>
      </c>
      <c r="Y418" s="553" t="s">
        <v>988</v>
      </c>
      <c r="Z418" s="211">
        <f t="shared" si="375"/>
        <v>21398839.005599998</v>
      </c>
      <c r="AA418" s="213">
        <f t="shared" si="376"/>
        <v>181196.71919999644</v>
      </c>
      <c r="AF418" s="112"/>
    </row>
    <row r="419" spans="2:32" outlineLevel="1">
      <c r="B419" s="125">
        <v>388</v>
      </c>
      <c r="C419" s="120" t="s">
        <v>1109</v>
      </c>
      <c r="D419" s="153" t="s">
        <v>1110</v>
      </c>
      <c r="E419" s="126">
        <v>46064</v>
      </c>
      <c r="F419" s="126">
        <v>46124</v>
      </c>
      <c r="G419" s="126"/>
      <c r="H419" s="126"/>
      <c r="I419" s="127"/>
      <c r="J419" s="208">
        <f t="shared" ca="1" si="373"/>
        <v>0</v>
      </c>
      <c r="K419" s="134">
        <v>582.12</v>
      </c>
      <c r="L419" s="134">
        <v>582.12</v>
      </c>
      <c r="M419" s="129">
        <f t="shared" si="374"/>
        <v>0</v>
      </c>
      <c r="N419" s="219">
        <v>3632.1</v>
      </c>
      <c r="O419" s="130">
        <v>3639</v>
      </c>
      <c r="P419" s="168"/>
      <c r="Q419" s="168">
        <f t="shared" ref="Q419:R434" si="377">K419*N419</f>
        <v>2114318.0520000001</v>
      </c>
      <c r="R419" s="168">
        <f t="shared" si="377"/>
        <v>2118334.6800000002</v>
      </c>
      <c r="S419" s="168">
        <f t="shared" ref="S419:S426" si="378">R419-Q419</f>
        <v>4016.6280000000261</v>
      </c>
      <c r="T419" s="216" t="str">
        <f>IF(R419&lt;= Q419,"No Monetizar","Monetizar")</f>
        <v>Monetizar</v>
      </c>
      <c r="U419" s="239"/>
      <c r="V419" s="394">
        <v>45700</v>
      </c>
      <c r="W419" s="393" t="s">
        <v>275</v>
      </c>
      <c r="X419" s="393" t="s">
        <v>275</v>
      </c>
      <c r="Y419" s="553" t="s">
        <v>988</v>
      </c>
      <c r="Z419" s="211">
        <f t="shared" ref="Z419:Z421" si="379">K419*O419</f>
        <v>2118334.6800000002</v>
      </c>
      <c r="AA419" s="213">
        <f t="shared" ref="AA419:AA421" si="380">Z419-Q419</f>
        <v>4016.6280000000261</v>
      </c>
      <c r="AF419" s="112"/>
    </row>
    <row r="420" spans="2:32" outlineLevel="1">
      <c r="B420" s="125">
        <v>389</v>
      </c>
      <c r="C420" s="120" t="s">
        <v>1109</v>
      </c>
      <c r="D420" s="153" t="s">
        <v>1111</v>
      </c>
      <c r="E420" s="126">
        <v>46064</v>
      </c>
      <c r="F420" s="126">
        <v>46124</v>
      </c>
      <c r="G420" s="126"/>
      <c r="H420" s="126"/>
      <c r="I420" s="127"/>
      <c r="J420" s="208">
        <f t="shared" ca="1" si="373"/>
        <v>0</v>
      </c>
      <c r="K420" s="134">
        <v>6467.97</v>
      </c>
      <c r="L420" s="134">
        <v>6467.97</v>
      </c>
      <c r="M420" s="129">
        <f t="shared" si="374"/>
        <v>0</v>
      </c>
      <c r="N420" s="219">
        <v>3632.1</v>
      </c>
      <c r="O420" s="130">
        <v>3639</v>
      </c>
      <c r="P420" s="168"/>
      <c r="Q420" s="168">
        <f t="shared" si="377"/>
        <v>23492313.837000001</v>
      </c>
      <c r="R420" s="168">
        <f t="shared" si="377"/>
        <v>23536942.830000002</v>
      </c>
      <c r="S420" s="168">
        <f t="shared" si="378"/>
        <v>44628.993000000715</v>
      </c>
      <c r="T420" s="216" t="str">
        <f>IF(R420&lt;= Q420,"No Monetizar","Monetizar")</f>
        <v>Monetizar</v>
      </c>
      <c r="U420" s="239"/>
      <c r="V420" s="394">
        <v>45700</v>
      </c>
      <c r="W420" s="393" t="s">
        <v>275</v>
      </c>
      <c r="X420" s="393" t="s">
        <v>275</v>
      </c>
      <c r="Y420" s="553" t="s">
        <v>988</v>
      </c>
      <c r="Z420" s="211">
        <f t="shared" si="379"/>
        <v>23536942.830000002</v>
      </c>
      <c r="AA420" s="213">
        <f t="shared" si="380"/>
        <v>44628.993000000715</v>
      </c>
      <c r="AF420" s="112"/>
    </row>
    <row r="421" spans="2:32" outlineLevel="1">
      <c r="B421" s="125">
        <v>390</v>
      </c>
      <c r="C421" s="120" t="s">
        <v>1109</v>
      </c>
      <c r="D421" s="153" t="s">
        <v>1112</v>
      </c>
      <c r="E421" s="126">
        <v>46064</v>
      </c>
      <c r="F421" s="126">
        <v>46124</v>
      </c>
      <c r="G421" s="126"/>
      <c r="H421" s="126"/>
      <c r="I421" s="127"/>
      <c r="J421" s="208">
        <f t="shared" ca="1" si="373"/>
        <v>0</v>
      </c>
      <c r="K421" s="134">
        <v>2182.6</v>
      </c>
      <c r="L421" s="134">
        <v>2182.6</v>
      </c>
      <c r="M421" s="129">
        <f t="shared" si="374"/>
        <v>0</v>
      </c>
      <c r="N421" s="219">
        <v>3632.1</v>
      </c>
      <c r="O421" s="130">
        <v>3639</v>
      </c>
      <c r="P421" s="168"/>
      <c r="Q421" s="168">
        <f t="shared" si="377"/>
        <v>7927421.459999999</v>
      </c>
      <c r="R421" s="168">
        <f t="shared" si="377"/>
        <v>7942481.3999999994</v>
      </c>
      <c r="S421" s="168">
        <f t="shared" si="378"/>
        <v>15059.94000000041</v>
      </c>
      <c r="T421" s="216" t="str">
        <f>IF(R421&lt;= Q421,"No Monetizar","Monetizar")</f>
        <v>Monetizar</v>
      </c>
      <c r="U421" s="239"/>
      <c r="V421" s="394">
        <v>45700</v>
      </c>
      <c r="W421" s="393" t="s">
        <v>275</v>
      </c>
      <c r="X421" s="393" t="s">
        <v>275</v>
      </c>
      <c r="Y421" s="553" t="s">
        <v>988</v>
      </c>
      <c r="Z421" s="211">
        <f t="shared" si="379"/>
        <v>7942481.3999999994</v>
      </c>
      <c r="AA421" s="213">
        <f t="shared" si="380"/>
        <v>15059.94000000041</v>
      </c>
      <c r="AF421" s="112"/>
    </row>
    <row r="422" spans="2:32" outlineLevel="1">
      <c r="B422" s="125">
        <v>391</v>
      </c>
      <c r="C422" s="120" t="s">
        <v>316</v>
      </c>
      <c r="D422" s="153">
        <v>6400</v>
      </c>
      <c r="E422" s="126">
        <v>46008</v>
      </c>
      <c r="F422" s="126">
        <v>46068</v>
      </c>
      <c r="G422" s="126"/>
      <c r="H422" s="126"/>
      <c r="I422" s="127"/>
      <c r="J422" s="208">
        <f t="shared" ca="1" si="373"/>
        <v>0</v>
      </c>
      <c r="K422" s="218">
        <v>1939.5</v>
      </c>
      <c r="L422" s="218">
        <v>1939.5</v>
      </c>
      <c r="M422" s="129">
        <f t="shared" ref="M422:M428" si="381">K422-L422</f>
        <v>0</v>
      </c>
      <c r="N422" s="130">
        <v>3874.84</v>
      </c>
      <c r="O422" s="130">
        <v>3660</v>
      </c>
      <c r="P422" s="168"/>
      <c r="Q422" s="168">
        <f>K422*N422</f>
        <v>7515252.1800000006</v>
      </c>
      <c r="R422" s="168">
        <f t="shared" si="377"/>
        <v>7098570</v>
      </c>
      <c r="S422" s="168">
        <f t="shared" si="378"/>
        <v>-416682.18000000063</v>
      </c>
      <c r="T422" s="216" t="str">
        <f t="shared" ref="T422:T438" si="382">IF(R422&lt;= Q422,"No Monetizar","Monetizar")</f>
        <v>No Monetizar</v>
      </c>
      <c r="U422" s="209"/>
      <c r="V422" s="394">
        <v>46066</v>
      </c>
      <c r="W422" s="393" t="s">
        <v>275</v>
      </c>
      <c r="X422" s="393" t="s">
        <v>275</v>
      </c>
      <c r="Y422" s="608" t="s">
        <v>1139</v>
      </c>
      <c r="Z422" s="211">
        <f t="shared" ref="Z422:Z425" si="383">K422*O422</f>
        <v>7098570</v>
      </c>
      <c r="AA422" s="213">
        <f t="shared" ref="AA422:AA425" si="384">Z422-Q422</f>
        <v>-416682.18000000063</v>
      </c>
      <c r="AF422" s="112"/>
    </row>
    <row r="423" spans="2:32" outlineLevel="1">
      <c r="B423" s="125">
        <v>392</v>
      </c>
      <c r="C423" s="120" t="s">
        <v>316</v>
      </c>
      <c r="D423" s="153">
        <v>6401</v>
      </c>
      <c r="E423" s="126">
        <v>46008</v>
      </c>
      <c r="F423" s="126">
        <v>46068</v>
      </c>
      <c r="G423" s="126"/>
      <c r="H423" s="126"/>
      <c r="I423" s="127"/>
      <c r="J423" s="208">
        <f t="shared" ca="1" si="373"/>
        <v>0</v>
      </c>
      <c r="K423" s="218">
        <v>1136.29</v>
      </c>
      <c r="L423" s="218">
        <v>1136.29</v>
      </c>
      <c r="M423" s="129">
        <f t="shared" si="381"/>
        <v>0</v>
      </c>
      <c r="N423" s="130">
        <v>3874.84</v>
      </c>
      <c r="O423" s="130">
        <v>3660</v>
      </c>
      <c r="P423" s="168"/>
      <c r="Q423" s="168">
        <f>K423*N423</f>
        <v>4402941.9435999999</v>
      </c>
      <c r="R423" s="168">
        <f t="shared" si="377"/>
        <v>4158821.4</v>
      </c>
      <c r="S423" s="168">
        <f t="shared" si="378"/>
        <v>-244120.54359999998</v>
      </c>
      <c r="T423" s="216" t="str">
        <f t="shared" si="382"/>
        <v>No Monetizar</v>
      </c>
      <c r="U423" s="209"/>
      <c r="V423" s="394">
        <v>46066</v>
      </c>
      <c r="W423" s="393" t="s">
        <v>275</v>
      </c>
      <c r="X423" s="393" t="s">
        <v>275</v>
      </c>
      <c r="Y423" s="608" t="s">
        <v>1139</v>
      </c>
      <c r="Z423" s="211">
        <f t="shared" si="383"/>
        <v>4158821.4</v>
      </c>
      <c r="AA423" s="213">
        <f t="shared" si="384"/>
        <v>-244120.54359999998</v>
      </c>
      <c r="AF423" s="112"/>
    </row>
    <row r="424" spans="2:32" outlineLevel="1">
      <c r="B424" s="125">
        <v>393</v>
      </c>
      <c r="C424" s="120" t="s">
        <v>316</v>
      </c>
      <c r="D424" s="153">
        <v>6384</v>
      </c>
      <c r="E424" s="126">
        <v>46008</v>
      </c>
      <c r="F424" s="126">
        <v>46068</v>
      </c>
      <c r="G424" s="126"/>
      <c r="H424" s="126"/>
      <c r="I424" s="127"/>
      <c r="J424" s="208">
        <f t="shared" ca="1" si="373"/>
        <v>0</v>
      </c>
      <c r="K424" s="218">
        <v>2847.22</v>
      </c>
      <c r="L424" s="218">
        <v>2847.22</v>
      </c>
      <c r="M424" s="129">
        <f t="shared" si="381"/>
        <v>0</v>
      </c>
      <c r="N424" s="130">
        <v>3876.6</v>
      </c>
      <c r="O424" s="130">
        <v>3660</v>
      </c>
      <c r="P424" s="168"/>
      <c r="Q424" s="168">
        <f>K424*N424</f>
        <v>11037533.051999999</v>
      </c>
      <c r="R424" s="168">
        <f t="shared" si="377"/>
        <v>10420825.199999999</v>
      </c>
      <c r="S424" s="168">
        <f t="shared" si="378"/>
        <v>-616707.85199999996</v>
      </c>
      <c r="T424" s="216" t="str">
        <f t="shared" si="382"/>
        <v>No Monetizar</v>
      </c>
      <c r="U424" s="209"/>
      <c r="V424" s="394">
        <v>46066</v>
      </c>
      <c r="W424" s="393" t="s">
        <v>275</v>
      </c>
      <c r="X424" s="393" t="s">
        <v>275</v>
      </c>
      <c r="Y424" s="608" t="s">
        <v>1139</v>
      </c>
      <c r="Z424" s="211">
        <f t="shared" si="383"/>
        <v>10420825.199999999</v>
      </c>
      <c r="AA424" s="213">
        <f t="shared" si="384"/>
        <v>-616707.85199999996</v>
      </c>
      <c r="AF424" s="112"/>
    </row>
    <row r="425" spans="2:32" outlineLevel="1">
      <c r="B425" s="125">
        <v>394</v>
      </c>
      <c r="C425" s="120" t="s">
        <v>316</v>
      </c>
      <c r="D425" s="153">
        <v>6385</v>
      </c>
      <c r="E425" s="126">
        <v>46008</v>
      </c>
      <c r="F425" s="126">
        <v>46068</v>
      </c>
      <c r="G425" s="126"/>
      <c r="H425" s="126"/>
      <c r="I425" s="127"/>
      <c r="J425" s="208">
        <f t="shared" ca="1" si="373"/>
        <v>0</v>
      </c>
      <c r="K425" s="218">
        <v>2880</v>
      </c>
      <c r="L425" s="218">
        <v>2880</v>
      </c>
      <c r="M425" s="129">
        <f t="shared" si="381"/>
        <v>0</v>
      </c>
      <c r="N425" s="130">
        <v>3876.6</v>
      </c>
      <c r="O425" s="130">
        <v>3660</v>
      </c>
      <c r="P425" s="168"/>
      <c r="Q425" s="168">
        <f>K425*N425</f>
        <v>11164608</v>
      </c>
      <c r="R425" s="168">
        <f t="shared" si="377"/>
        <v>10540800</v>
      </c>
      <c r="S425" s="168">
        <f t="shared" si="378"/>
        <v>-623808</v>
      </c>
      <c r="T425" s="216" t="str">
        <f t="shared" si="382"/>
        <v>No Monetizar</v>
      </c>
      <c r="U425" s="209"/>
      <c r="V425" s="394">
        <v>46066</v>
      </c>
      <c r="W425" s="393" t="s">
        <v>275</v>
      </c>
      <c r="X425" s="393" t="s">
        <v>275</v>
      </c>
      <c r="Y425" s="608" t="s">
        <v>1139</v>
      </c>
      <c r="Z425" s="211">
        <f t="shared" si="383"/>
        <v>10540800</v>
      </c>
      <c r="AA425" s="213">
        <f t="shared" si="384"/>
        <v>-623808</v>
      </c>
      <c r="AF425" s="112"/>
    </row>
    <row r="426" spans="2:32" outlineLevel="1">
      <c r="B426" s="125">
        <v>395</v>
      </c>
      <c r="C426" s="120" t="s">
        <v>264</v>
      </c>
      <c r="D426" s="153">
        <v>6315</v>
      </c>
      <c r="E426" s="126">
        <v>46007</v>
      </c>
      <c r="F426" s="126">
        <v>46067</v>
      </c>
      <c r="G426" s="126"/>
      <c r="H426" s="126"/>
      <c r="I426" s="127"/>
      <c r="J426" s="208">
        <f t="shared" ref="J426:J427" ca="1" si="385">IFERROR(IF(TODAY()&gt;=E426,(TODAY()-E426)/I426,0),0)</f>
        <v>0</v>
      </c>
      <c r="K426" s="218">
        <v>700</v>
      </c>
      <c r="L426" s="218">
        <v>698.23422723477449</v>
      </c>
      <c r="M426" s="129">
        <f t="shared" si="381"/>
        <v>1.7657727652255062</v>
      </c>
      <c r="N426" s="130">
        <v>3844.47</v>
      </c>
      <c r="O426" s="130">
        <v>3660</v>
      </c>
      <c r="P426" s="168"/>
      <c r="Q426" s="168">
        <f>K426*N426</f>
        <v>2691129</v>
      </c>
      <c r="R426" s="168">
        <f t="shared" si="377"/>
        <v>2555537.2716792747</v>
      </c>
      <c r="S426" s="168">
        <f t="shared" si="378"/>
        <v>-135591.72832072526</v>
      </c>
      <c r="T426" s="216" t="str">
        <f t="shared" si="382"/>
        <v>No Monetizar</v>
      </c>
      <c r="U426" s="209"/>
      <c r="V426" s="394">
        <v>46066</v>
      </c>
      <c r="W426" s="393" t="s">
        <v>275</v>
      </c>
      <c r="X426" s="393" t="s">
        <v>275</v>
      </c>
      <c r="Y426" s="608" t="s">
        <v>1139</v>
      </c>
      <c r="Z426" s="211">
        <f t="shared" ref="Z426:Z428" si="386">K426*O426</f>
        <v>2562000</v>
      </c>
      <c r="AA426" s="213">
        <f t="shared" ref="AA426:AA428" si="387">Z426-Q426</f>
        <v>-129129</v>
      </c>
      <c r="AF426" s="112"/>
    </row>
    <row r="427" spans="2:32" outlineLevel="1">
      <c r="B427" s="125">
        <v>396</v>
      </c>
      <c r="C427" s="120" t="s">
        <v>264</v>
      </c>
      <c r="D427" s="153" t="s">
        <v>627</v>
      </c>
      <c r="E427" s="126">
        <v>46007</v>
      </c>
      <c r="F427" s="126">
        <v>46067</v>
      </c>
      <c r="G427" s="126"/>
      <c r="H427" s="126"/>
      <c r="I427" s="127"/>
      <c r="J427" s="208">
        <f t="shared" ca="1" si="385"/>
        <v>0</v>
      </c>
      <c r="K427" s="218">
        <v>985.76</v>
      </c>
      <c r="L427" s="218">
        <v>983.27338834135912</v>
      </c>
      <c r="M427" s="129">
        <f t="shared" si="381"/>
        <v>2.486611658640868</v>
      </c>
      <c r="N427" s="130">
        <v>4034.18</v>
      </c>
      <c r="O427" s="130">
        <v>3660</v>
      </c>
      <c r="P427" s="168"/>
      <c r="Q427" s="168">
        <f t="shared" ref="Q427:Q428" si="388">K427*N427</f>
        <v>3976733.2767999996</v>
      </c>
      <c r="R427" s="168">
        <f t="shared" si="377"/>
        <v>3598780.6013293746</v>
      </c>
      <c r="S427" s="168">
        <f t="shared" ref="S427:S428" si="389">R427-Q427</f>
        <v>-377952.67547062505</v>
      </c>
      <c r="T427" s="216" t="str">
        <f t="shared" si="382"/>
        <v>No Monetizar</v>
      </c>
      <c r="U427" s="209"/>
      <c r="V427" s="394">
        <v>46066</v>
      </c>
      <c r="W427" s="393" t="s">
        <v>275</v>
      </c>
      <c r="X427" s="393" t="s">
        <v>275</v>
      </c>
      <c r="Y427" s="608" t="s">
        <v>1139</v>
      </c>
      <c r="Z427" s="211">
        <f t="shared" si="386"/>
        <v>3607881.6</v>
      </c>
      <c r="AA427" s="213">
        <f t="shared" si="387"/>
        <v>-368851.67679999955</v>
      </c>
      <c r="AF427" s="112"/>
    </row>
    <row r="428" spans="2:32" outlineLevel="1">
      <c r="B428" s="125">
        <v>397</v>
      </c>
      <c r="C428" s="120" t="s">
        <v>264</v>
      </c>
      <c r="D428" s="153" t="s">
        <v>628</v>
      </c>
      <c r="E428" s="126">
        <v>46007</v>
      </c>
      <c r="F428" s="126">
        <v>46067</v>
      </c>
      <c r="G428" s="126"/>
      <c r="H428" s="126"/>
      <c r="I428" s="127"/>
      <c r="J428" s="208">
        <f t="shared" ref="J428:J449" ca="1" si="390">IFERROR(IF(TODAY()&gt;=E428,(TODAY()-E428)/I428,0),0)</f>
        <v>0</v>
      </c>
      <c r="K428" s="218">
        <v>2278.5100000000002</v>
      </c>
      <c r="L428" s="218">
        <v>2272.762384423866</v>
      </c>
      <c r="M428" s="129">
        <f t="shared" si="381"/>
        <v>5.7476155761341943</v>
      </c>
      <c r="N428" s="130">
        <v>3857</v>
      </c>
      <c r="O428" s="130">
        <v>3660</v>
      </c>
      <c r="P428" s="168"/>
      <c r="Q428" s="168">
        <f t="shared" si="388"/>
        <v>8788213.0700000003</v>
      </c>
      <c r="R428" s="168">
        <f t="shared" si="377"/>
        <v>8318310.3269913495</v>
      </c>
      <c r="S428" s="168">
        <f t="shared" si="389"/>
        <v>-469902.74300865084</v>
      </c>
      <c r="T428" s="216" t="str">
        <f t="shared" si="382"/>
        <v>No Monetizar</v>
      </c>
      <c r="U428" s="209"/>
      <c r="V428" s="394">
        <v>46066</v>
      </c>
      <c r="W428" s="393" t="s">
        <v>275</v>
      </c>
      <c r="X428" s="393" t="s">
        <v>275</v>
      </c>
      <c r="Y428" s="608" t="s">
        <v>1139</v>
      </c>
      <c r="Z428" s="211">
        <f t="shared" si="386"/>
        <v>8339346.6000000006</v>
      </c>
      <c r="AA428" s="213">
        <f t="shared" si="387"/>
        <v>-448866.46999999974</v>
      </c>
      <c r="AF428" s="112"/>
    </row>
    <row r="429" spans="2:32" ht="30" outlineLevel="1">
      <c r="B429" s="125">
        <v>398</v>
      </c>
      <c r="C429" s="120" t="s">
        <v>888</v>
      </c>
      <c r="D429" s="280" t="s">
        <v>905</v>
      </c>
      <c r="E429" s="126">
        <v>46013</v>
      </c>
      <c r="F429" s="126">
        <v>46073</v>
      </c>
      <c r="G429" s="126"/>
      <c r="H429" s="126"/>
      <c r="I429" s="127"/>
      <c r="J429" s="208">
        <f t="shared" ca="1" si="390"/>
        <v>0</v>
      </c>
      <c r="K429" s="218">
        <v>10676.43</v>
      </c>
      <c r="L429" s="218">
        <v>10661.43</v>
      </c>
      <c r="M429" s="129">
        <f t="shared" ref="M429:M438" si="391">K429-L429</f>
        <v>15</v>
      </c>
      <c r="N429" s="130">
        <v>3870.42</v>
      </c>
      <c r="O429" s="130">
        <v>3660</v>
      </c>
      <c r="P429" s="168"/>
      <c r="Q429" s="168">
        <f>K429*N429</f>
        <v>41322268.200599998</v>
      </c>
      <c r="R429" s="168">
        <f t="shared" si="377"/>
        <v>39020833.800000004</v>
      </c>
      <c r="S429" s="168">
        <f>R429-Q429</f>
        <v>-2301434.4005999938</v>
      </c>
      <c r="T429" s="216" t="str">
        <f t="shared" si="382"/>
        <v>No Monetizar</v>
      </c>
      <c r="U429" s="290"/>
      <c r="V429" s="394">
        <v>46066</v>
      </c>
      <c r="W429" s="393" t="s">
        <v>275</v>
      </c>
      <c r="X429" s="393" t="s">
        <v>275</v>
      </c>
      <c r="Y429" s="608" t="s">
        <v>1139</v>
      </c>
      <c r="Z429" s="211">
        <f t="shared" ref="Z429:Z448" si="392">K429*O429</f>
        <v>39075733.800000004</v>
      </c>
      <c r="AA429" s="213">
        <f t="shared" ref="AA429:AA448" si="393">Z429-Q429</f>
        <v>-2246534.4005999938</v>
      </c>
      <c r="AF429" s="112"/>
    </row>
    <row r="430" spans="2:32" ht="30" outlineLevel="1">
      <c r="B430" s="125">
        <v>399</v>
      </c>
      <c r="C430" s="120" t="s">
        <v>888</v>
      </c>
      <c r="D430" s="280" t="s">
        <v>906</v>
      </c>
      <c r="E430" s="126">
        <v>46013</v>
      </c>
      <c r="F430" s="126">
        <v>46073</v>
      </c>
      <c r="G430" s="126"/>
      <c r="H430" s="126"/>
      <c r="I430" s="127"/>
      <c r="J430" s="208">
        <f t="shared" ca="1" si="390"/>
        <v>0</v>
      </c>
      <c r="K430" s="218">
        <v>3887.76</v>
      </c>
      <c r="L430" s="134">
        <v>3887.76</v>
      </c>
      <c r="M430" s="129">
        <f t="shared" si="391"/>
        <v>0</v>
      </c>
      <c r="N430" s="130">
        <f>(3773.6+3870.42)/2</f>
        <v>3822.01</v>
      </c>
      <c r="O430" s="130">
        <v>3660</v>
      </c>
      <c r="P430" s="168"/>
      <c r="Q430" s="168">
        <f>K430*N430</f>
        <v>14859057.597600002</v>
      </c>
      <c r="R430" s="168">
        <f t="shared" si="377"/>
        <v>14229201.600000001</v>
      </c>
      <c r="S430" s="168">
        <f>R430-Q430</f>
        <v>-629855.99760000035</v>
      </c>
      <c r="T430" s="216" t="str">
        <f t="shared" si="382"/>
        <v>No Monetizar</v>
      </c>
      <c r="U430" s="290"/>
      <c r="V430" s="394">
        <v>46066</v>
      </c>
      <c r="W430" s="393" t="s">
        <v>275</v>
      </c>
      <c r="X430" s="393" t="s">
        <v>275</v>
      </c>
      <c r="Y430" s="608" t="s">
        <v>1139</v>
      </c>
      <c r="Z430" s="211">
        <f t="shared" si="392"/>
        <v>14229201.600000001</v>
      </c>
      <c r="AA430" s="213">
        <f t="shared" si="393"/>
        <v>-629855.99760000035</v>
      </c>
      <c r="AF430" s="112"/>
    </row>
    <row r="431" spans="2:32" outlineLevel="1">
      <c r="B431" s="125">
        <v>400</v>
      </c>
      <c r="C431" s="120" t="s">
        <v>888</v>
      </c>
      <c r="D431" s="153" t="s">
        <v>910</v>
      </c>
      <c r="E431" s="126">
        <v>46044</v>
      </c>
      <c r="F431" s="126">
        <v>46104</v>
      </c>
      <c r="G431" s="126"/>
      <c r="H431" s="126"/>
      <c r="I431" s="127"/>
      <c r="J431" s="208">
        <f t="shared" ca="1" si="390"/>
        <v>0</v>
      </c>
      <c r="K431" s="134">
        <v>37704.080000000002</v>
      </c>
      <c r="L431" s="134">
        <v>37689.08</v>
      </c>
      <c r="M431" s="129">
        <f t="shared" si="391"/>
        <v>15</v>
      </c>
      <c r="N431" s="130">
        <f>(4179.69+4019.09+3773.6+3706.97+3706.97)/5</f>
        <v>3877.2640000000001</v>
      </c>
      <c r="O431" s="130">
        <v>3660</v>
      </c>
      <c r="P431" s="168"/>
      <c r="Q431" s="168">
        <f t="shared" ref="Q431:Q438" si="394">K431*N431</f>
        <v>146188672.03712001</v>
      </c>
      <c r="R431" s="168">
        <f t="shared" si="377"/>
        <v>137942032.80000001</v>
      </c>
      <c r="S431" s="168">
        <f t="shared" ref="S431:S438" si="395">R431-Q431</f>
        <v>-8246639.2371200025</v>
      </c>
      <c r="T431" s="216" t="str">
        <f t="shared" si="382"/>
        <v>No Monetizar</v>
      </c>
      <c r="U431" s="290"/>
      <c r="V431" s="394">
        <v>46066</v>
      </c>
      <c r="W431" s="393" t="s">
        <v>275</v>
      </c>
      <c r="X431" s="393" t="s">
        <v>275</v>
      </c>
      <c r="Y431" s="608" t="s">
        <v>1139</v>
      </c>
      <c r="Z431" s="211">
        <f t="shared" si="392"/>
        <v>137996932.80000001</v>
      </c>
      <c r="AA431" s="213">
        <f t="shared" si="393"/>
        <v>-8191739.2371200025</v>
      </c>
      <c r="AF431" s="112"/>
    </row>
    <row r="432" spans="2:32" ht="45" outlineLevel="1">
      <c r="B432" s="125">
        <v>401</v>
      </c>
      <c r="C432" s="120" t="s">
        <v>888</v>
      </c>
      <c r="D432" s="280" t="s">
        <v>911</v>
      </c>
      <c r="E432" s="126">
        <v>46044</v>
      </c>
      <c r="F432" s="126">
        <v>46104</v>
      </c>
      <c r="G432" s="126"/>
      <c r="H432" s="126"/>
      <c r="I432" s="127"/>
      <c r="J432" s="208">
        <f t="shared" ca="1" si="390"/>
        <v>0</v>
      </c>
      <c r="K432" s="134">
        <v>28920.49</v>
      </c>
      <c r="L432" s="134">
        <v>28920.49</v>
      </c>
      <c r="M432" s="129">
        <f t="shared" si="391"/>
        <v>0</v>
      </c>
      <c r="N432" s="130">
        <f>(4179.69+4019.09+3773.6+3706.97+3706.97)/5</f>
        <v>3877.2640000000001</v>
      </c>
      <c r="O432" s="130">
        <v>3660</v>
      </c>
      <c r="P432" s="168"/>
      <c r="Q432" s="168">
        <f t="shared" si="394"/>
        <v>112132374.73936</v>
      </c>
      <c r="R432" s="168">
        <f t="shared" si="377"/>
        <v>105848993.40000001</v>
      </c>
      <c r="S432" s="168">
        <f t="shared" si="395"/>
        <v>-6283381.3393599987</v>
      </c>
      <c r="T432" s="216" t="str">
        <f t="shared" si="382"/>
        <v>No Monetizar</v>
      </c>
      <c r="U432" s="290"/>
      <c r="V432" s="394">
        <v>46066</v>
      </c>
      <c r="W432" s="393" t="s">
        <v>275</v>
      </c>
      <c r="X432" s="393" t="s">
        <v>275</v>
      </c>
      <c r="Y432" s="608" t="s">
        <v>1139</v>
      </c>
      <c r="Z432" s="211">
        <f t="shared" si="392"/>
        <v>105848993.40000001</v>
      </c>
      <c r="AA432" s="213">
        <f t="shared" si="393"/>
        <v>-6283381.3393599987</v>
      </c>
      <c r="AF432" s="112"/>
    </row>
    <row r="433" spans="2:32" outlineLevel="1">
      <c r="B433" s="125">
        <v>402</v>
      </c>
      <c r="C433" s="120" t="s">
        <v>888</v>
      </c>
      <c r="D433" s="280" t="s">
        <v>927</v>
      </c>
      <c r="E433" s="126">
        <v>46044</v>
      </c>
      <c r="F433" s="126">
        <v>46104</v>
      </c>
      <c r="G433" s="126"/>
      <c r="H433" s="126"/>
      <c r="I433" s="127"/>
      <c r="J433" s="208">
        <f t="shared" ca="1" si="390"/>
        <v>0</v>
      </c>
      <c r="K433" s="134">
        <v>2153.04</v>
      </c>
      <c r="L433" s="134">
        <v>2143.04</v>
      </c>
      <c r="M433" s="129">
        <f t="shared" si="391"/>
        <v>10</v>
      </c>
      <c r="N433" s="130">
        <v>3706.97</v>
      </c>
      <c r="O433" s="130">
        <v>3660</v>
      </c>
      <c r="P433" s="168"/>
      <c r="Q433" s="168">
        <f t="shared" si="394"/>
        <v>7981254.6887999997</v>
      </c>
      <c r="R433" s="168">
        <f t="shared" si="377"/>
        <v>7843526.3999999994</v>
      </c>
      <c r="S433" s="168">
        <f t="shared" si="395"/>
        <v>-137728.28880000021</v>
      </c>
      <c r="T433" s="216" t="str">
        <f t="shared" si="382"/>
        <v>No Monetizar</v>
      </c>
      <c r="U433" s="290"/>
      <c r="V433" s="394">
        <v>46066</v>
      </c>
      <c r="W433" s="393" t="s">
        <v>275</v>
      </c>
      <c r="X433" s="393" t="s">
        <v>275</v>
      </c>
      <c r="Y433" s="608" t="s">
        <v>1139</v>
      </c>
      <c r="Z433" s="211">
        <f t="shared" si="392"/>
        <v>7880126.3999999994</v>
      </c>
      <c r="AA433" s="213">
        <f t="shared" si="393"/>
        <v>-101128.28880000021</v>
      </c>
      <c r="AF433" s="112"/>
    </row>
    <row r="434" spans="2:32" outlineLevel="1">
      <c r="B434" s="125">
        <v>403</v>
      </c>
      <c r="C434" s="120" t="s">
        <v>888</v>
      </c>
      <c r="D434" s="280" t="s">
        <v>928</v>
      </c>
      <c r="E434" s="126">
        <v>46044</v>
      </c>
      <c r="F434" s="126">
        <v>46104</v>
      </c>
      <c r="G434" s="126"/>
      <c r="H434" s="126"/>
      <c r="I434" s="127"/>
      <c r="J434" s="208">
        <f t="shared" ca="1" si="390"/>
        <v>0</v>
      </c>
      <c r="K434" s="134">
        <v>750.62</v>
      </c>
      <c r="L434" s="134">
        <v>750.62</v>
      </c>
      <c r="M434" s="129">
        <f t="shared" si="391"/>
        <v>0</v>
      </c>
      <c r="N434" s="130">
        <v>3706.97</v>
      </c>
      <c r="O434" s="130">
        <v>3660</v>
      </c>
      <c r="P434" s="168"/>
      <c r="Q434" s="168">
        <f t="shared" si="394"/>
        <v>2782525.8213999998</v>
      </c>
      <c r="R434" s="168">
        <f t="shared" si="377"/>
        <v>2747269.2</v>
      </c>
      <c r="S434" s="168">
        <f t="shared" si="395"/>
        <v>-35256.621399999596</v>
      </c>
      <c r="T434" s="216" t="str">
        <f t="shared" si="382"/>
        <v>No Monetizar</v>
      </c>
      <c r="U434" s="290"/>
      <c r="V434" s="394">
        <v>46066</v>
      </c>
      <c r="W434" s="393" t="s">
        <v>275</v>
      </c>
      <c r="X434" s="393" t="s">
        <v>275</v>
      </c>
      <c r="Y434" s="608" t="s">
        <v>1139</v>
      </c>
      <c r="Z434" s="211">
        <f t="shared" si="392"/>
        <v>2747269.2</v>
      </c>
      <c r="AA434" s="213">
        <f t="shared" si="393"/>
        <v>-35256.621399999596</v>
      </c>
      <c r="AF434" s="112"/>
    </row>
    <row r="435" spans="2:32" outlineLevel="1">
      <c r="B435" s="125">
        <v>404</v>
      </c>
      <c r="C435" s="120" t="s">
        <v>316</v>
      </c>
      <c r="D435" s="153">
        <v>6482</v>
      </c>
      <c r="E435" s="126">
        <v>46052</v>
      </c>
      <c r="F435" s="126">
        <v>46112</v>
      </c>
      <c r="G435" s="126"/>
      <c r="H435" s="126"/>
      <c r="I435" s="127"/>
      <c r="J435" s="208">
        <f t="shared" ca="1" si="390"/>
        <v>0</v>
      </c>
      <c r="K435" s="134">
        <v>3595.73</v>
      </c>
      <c r="L435" s="134">
        <v>3595.73</v>
      </c>
      <c r="M435" s="129">
        <f t="shared" si="391"/>
        <v>0</v>
      </c>
      <c r="N435" s="219">
        <v>3773.6</v>
      </c>
      <c r="O435" s="130">
        <v>3660</v>
      </c>
      <c r="P435" s="168"/>
      <c r="Q435" s="168">
        <f t="shared" si="394"/>
        <v>13568846.728</v>
      </c>
      <c r="R435" s="168">
        <f t="shared" ref="R435:R438" si="396">L435*O435</f>
        <v>13160371.800000001</v>
      </c>
      <c r="S435" s="168">
        <f t="shared" si="395"/>
        <v>-408474.92799999937</v>
      </c>
      <c r="T435" s="216" t="str">
        <f t="shared" si="382"/>
        <v>No Monetizar</v>
      </c>
      <c r="U435" s="290"/>
      <c r="V435" s="394">
        <v>46066</v>
      </c>
      <c r="W435" s="393" t="s">
        <v>275</v>
      </c>
      <c r="X435" s="393" t="s">
        <v>275</v>
      </c>
      <c r="Y435" s="608" t="s">
        <v>1139</v>
      </c>
      <c r="Z435" s="211">
        <f t="shared" si="392"/>
        <v>13160371.800000001</v>
      </c>
      <c r="AA435" s="213">
        <f t="shared" si="393"/>
        <v>-408474.92799999937</v>
      </c>
      <c r="AF435" s="112"/>
    </row>
    <row r="436" spans="2:32" outlineLevel="1">
      <c r="B436" s="125">
        <v>405</v>
      </c>
      <c r="C436" s="120" t="s">
        <v>316</v>
      </c>
      <c r="D436" s="153">
        <v>6483</v>
      </c>
      <c r="E436" s="126">
        <v>46052</v>
      </c>
      <c r="F436" s="126">
        <v>46112</v>
      </c>
      <c r="G436" s="126"/>
      <c r="H436" s="126"/>
      <c r="I436" s="127"/>
      <c r="J436" s="208">
        <f t="shared" ca="1" si="390"/>
        <v>0</v>
      </c>
      <c r="K436" s="134">
        <v>1240.3499999999999</v>
      </c>
      <c r="L436" s="134">
        <v>1240.3499999999999</v>
      </c>
      <c r="M436" s="129">
        <f t="shared" si="391"/>
        <v>0</v>
      </c>
      <c r="N436" s="219">
        <v>3773.6</v>
      </c>
      <c r="O436" s="130">
        <v>3660</v>
      </c>
      <c r="P436" s="168"/>
      <c r="Q436" s="168">
        <f t="shared" si="394"/>
        <v>4680584.76</v>
      </c>
      <c r="R436" s="168">
        <f t="shared" si="396"/>
        <v>4539681</v>
      </c>
      <c r="S436" s="168">
        <f t="shared" si="395"/>
        <v>-140903.75999999978</v>
      </c>
      <c r="T436" s="216" t="str">
        <f t="shared" si="382"/>
        <v>No Monetizar</v>
      </c>
      <c r="U436" s="290"/>
      <c r="V436" s="394">
        <v>46066</v>
      </c>
      <c r="W436" s="393" t="s">
        <v>275</v>
      </c>
      <c r="X436" s="393" t="s">
        <v>275</v>
      </c>
      <c r="Y436" s="608" t="s">
        <v>1139</v>
      </c>
      <c r="Z436" s="211">
        <f t="shared" si="392"/>
        <v>4539681</v>
      </c>
      <c r="AA436" s="213">
        <f t="shared" si="393"/>
        <v>-140903.75999999978</v>
      </c>
      <c r="AF436" s="112"/>
    </row>
    <row r="437" spans="2:32" outlineLevel="1">
      <c r="B437" s="125">
        <v>406</v>
      </c>
      <c r="C437" s="120" t="s">
        <v>316</v>
      </c>
      <c r="D437" s="153">
        <v>6484</v>
      </c>
      <c r="E437" s="126">
        <v>46052</v>
      </c>
      <c r="F437" s="126">
        <v>46112</v>
      </c>
      <c r="G437" s="126"/>
      <c r="H437" s="126"/>
      <c r="I437" s="127"/>
      <c r="J437" s="208">
        <f t="shared" ca="1" si="390"/>
        <v>0</v>
      </c>
      <c r="K437" s="134">
        <v>2280</v>
      </c>
      <c r="L437" s="134">
        <v>2280</v>
      </c>
      <c r="M437" s="129">
        <f t="shared" si="391"/>
        <v>0</v>
      </c>
      <c r="N437" s="219">
        <v>3773.6</v>
      </c>
      <c r="O437" s="130">
        <v>3660</v>
      </c>
      <c r="P437" s="168"/>
      <c r="Q437" s="168">
        <f t="shared" si="394"/>
        <v>8603808</v>
      </c>
      <c r="R437" s="168">
        <f t="shared" si="396"/>
        <v>8344800</v>
      </c>
      <c r="S437" s="168">
        <f t="shared" si="395"/>
        <v>-259008</v>
      </c>
      <c r="T437" s="216" t="str">
        <f t="shared" si="382"/>
        <v>No Monetizar</v>
      </c>
      <c r="U437" s="290"/>
      <c r="V437" s="394">
        <v>46066</v>
      </c>
      <c r="W437" s="393" t="s">
        <v>275</v>
      </c>
      <c r="X437" s="393" t="s">
        <v>275</v>
      </c>
      <c r="Y437" s="608" t="s">
        <v>1139</v>
      </c>
      <c r="Z437" s="211">
        <f t="shared" si="392"/>
        <v>8344800</v>
      </c>
      <c r="AA437" s="213">
        <f t="shared" si="393"/>
        <v>-259008</v>
      </c>
      <c r="AF437" s="112"/>
    </row>
    <row r="438" spans="2:32" outlineLevel="1">
      <c r="B438" s="125">
        <v>407</v>
      </c>
      <c r="C438" s="120" t="s">
        <v>264</v>
      </c>
      <c r="D438" s="153">
        <v>6354</v>
      </c>
      <c r="E438" s="126">
        <v>46058</v>
      </c>
      <c r="F438" s="126">
        <v>46118</v>
      </c>
      <c r="G438" s="126"/>
      <c r="H438" s="126"/>
      <c r="I438" s="127"/>
      <c r="J438" s="208">
        <f t="shared" ca="1" si="390"/>
        <v>0</v>
      </c>
      <c r="K438" s="134">
        <v>700</v>
      </c>
      <c r="L438" s="134">
        <v>695</v>
      </c>
      <c r="M438" s="129">
        <f t="shared" si="391"/>
        <v>5</v>
      </c>
      <c r="N438" s="130">
        <v>3913.24</v>
      </c>
      <c r="O438" s="130">
        <v>3660</v>
      </c>
      <c r="P438" s="168"/>
      <c r="Q438" s="168">
        <f t="shared" si="394"/>
        <v>2739268</v>
      </c>
      <c r="R438" s="168">
        <f t="shared" si="396"/>
        <v>2543700</v>
      </c>
      <c r="S438" s="168">
        <f t="shared" si="395"/>
        <v>-195568</v>
      </c>
      <c r="T438" s="216" t="str">
        <f t="shared" si="382"/>
        <v>No Monetizar</v>
      </c>
      <c r="U438" s="290"/>
      <c r="V438" s="394">
        <v>46066</v>
      </c>
      <c r="W438" s="393" t="s">
        <v>275</v>
      </c>
      <c r="X438" s="393" t="s">
        <v>275</v>
      </c>
      <c r="Y438" s="608" t="s">
        <v>1139</v>
      </c>
      <c r="Z438" s="211">
        <f t="shared" si="392"/>
        <v>2562000</v>
      </c>
      <c r="AA438" s="213">
        <f t="shared" si="393"/>
        <v>-177268</v>
      </c>
      <c r="AF438" s="112"/>
    </row>
    <row r="439" spans="2:32" ht="30" outlineLevel="1">
      <c r="B439" s="125">
        <v>408</v>
      </c>
      <c r="C439" s="120" t="s">
        <v>284</v>
      </c>
      <c r="D439" s="153">
        <v>6559</v>
      </c>
      <c r="E439" s="126">
        <v>46015</v>
      </c>
      <c r="F439" s="126">
        <v>46075</v>
      </c>
      <c r="G439" s="126"/>
      <c r="H439" s="126"/>
      <c r="I439" s="127"/>
      <c r="J439" s="208">
        <f t="shared" ca="1" si="390"/>
        <v>0</v>
      </c>
      <c r="K439" s="134">
        <v>749.7</v>
      </c>
      <c r="L439" s="134">
        <v>749.7</v>
      </c>
      <c r="M439" s="129">
        <f>K439-L439</f>
        <v>0</v>
      </c>
      <c r="N439" s="130">
        <v>3808.77</v>
      </c>
      <c r="O439" s="130">
        <v>3660</v>
      </c>
      <c r="P439" s="168"/>
      <c r="Q439" s="168">
        <f t="shared" ref="Q439:R441" si="397">K439*N439</f>
        <v>2855434.8689999999</v>
      </c>
      <c r="R439" s="168">
        <f t="shared" si="397"/>
        <v>2743902</v>
      </c>
      <c r="S439" s="168">
        <f t="shared" ref="S439:S448" si="398">R439-Q439</f>
        <v>-111532.86899999995</v>
      </c>
      <c r="T439" s="216" t="str">
        <f t="shared" ref="T439:T470" si="399">IF(R439&lt;= Q439,"No Monetizar","Monetizar")</f>
        <v>No Monetizar</v>
      </c>
      <c r="U439" s="290"/>
      <c r="V439" s="394">
        <v>46066</v>
      </c>
      <c r="W439" s="393" t="s">
        <v>275</v>
      </c>
      <c r="X439" s="393" t="s">
        <v>275</v>
      </c>
      <c r="Y439" s="608" t="s">
        <v>1139</v>
      </c>
      <c r="Z439" s="211">
        <f t="shared" si="392"/>
        <v>2743902</v>
      </c>
      <c r="AA439" s="213">
        <f t="shared" si="393"/>
        <v>-111532.86899999995</v>
      </c>
      <c r="AF439" s="112"/>
    </row>
    <row r="440" spans="2:32" ht="30" outlineLevel="1">
      <c r="B440" s="125">
        <v>409</v>
      </c>
      <c r="C440" s="120" t="s">
        <v>284</v>
      </c>
      <c r="D440" s="153" t="s">
        <v>704</v>
      </c>
      <c r="E440" s="126">
        <v>46015</v>
      </c>
      <c r="F440" s="126">
        <v>46075</v>
      </c>
      <c r="G440" s="126"/>
      <c r="H440" s="126"/>
      <c r="I440" s="127"/>
      <c r="J440" s="208">
        <f t="shared" ca="1" si="390"/>
        <v>0</v>
      </c>
      <c r="K440" s="134">
        <v>13987.83</v>
      </c>
      <c r="L440" s="134">
        <v>13987.83</v>
      </c>
      <c r="M440" s="129">
        <f>K440-L440</f>
        <v>0</v>
      </c>
      <c r="N440" s="130">
        <v>3808.77</v>
      </c>
      <c r="O440" s="130">
        <v>3660</v>
      </c>
      <c r="P440" s="168"/>
      <c r="Q440" s="168">
        <f t="shared" si="397"/>
        <v>53276427.269100003</v>
      </c>
      <c r="R440" s="168">
        <f t="shared" si="397"/>
        <v>51195457.799999997</v>
      </c>
      <c r="S440" s="168">
        <f t="shared" si="398"/>
        <v>-2080969.4691000059</v>
      </c>
      <c r="T440" s="216" t="str">
        <f t="shared" si="399"/>
        <v>No Monetizar</v>
      </c>
      <c r="U440" s="290"/>
      <c r="V440" s="394">
        <v>46066</v>
      </c>
      <c r="W440" s="393" t="s">
        <v>275</v>
      </c>
      <c r="X440" s="393" t="s">
        <v>275</v>
      </c>
      <c r="Y440" s="608" t="s">
        <v>1139</v>
      </c>
      <c r="Z440" s="211">
        <f t="shared" si="392"/>
        <v>51195457.799999997</v>
      </c>
      <c r="AA440" s="213">
        <f t="shared" si="393"/>
        <v>-2080969.4691000059</v>
      </c>
      <c r="AF440" s="112"/>
    </row>
    <row r="441" spans="2:32" outlineLevel="1">
      <c r="B441" s="125">
        <v>410</v>
      </c>
      <c r="C441" s="120" t="s">
        <v>117</v>
      </c>
      <c r="D441" s="153" t="s">
        <v>796</v>
      </c>
      <c r="E441" s="126">
        <v>46020</v>
      </c>
      <c r="F441" s="126">
        <v>46080</v>
      </c>
      <c r="G441" s="126"/>
      <c r="H441" s="126"/>
      <c r="I441" s="127"/>
      <c r="J441" s="208">
        <f t="shared" ca="1" si="390"/>
        <v>0</v>
      </c>
      <c r="K441" s="134">
        <v>1045.95</v>
      </c>
      <c r="L441" s="218">
        <v>1035.95</v>
      </c>
      <c r="M441" s="129">
        <f>K441-L441</f>
        <v>10</v>
      </c>
      <c r="N441" s="219">
        <v>3798.5</v>
      </c>
      <c r="O441" s="130">
        <v>3660</v>
      </c>
      <c r="P441" s="168"/>
      <c r="Q441" s="168">
        <f t="shared" si="397"/>
        <v>3973041.0750000002</v>
      </c>
      <c r="R441" s="168">
        <f t="shared" si="397"/>
        <v>3791577</v>
      </c>
      <c r="S441" s="168">
        <f t="shared" si="398"/>
        <v>-181464.07500000019</v>
      </c>
      <c r="T441" s="216" t="str">
        <f t="shared" si="399"/>
        <v>No Monetizar</v>
      </c>
      <c r="U441" s="290"/>
      <c r="V441" s="394">
        <v>46066</v>
      </c>
      <c r="W441" s="393" t="s">
        <v>275</v>
      </c>
      <c r="X441" s="393" t="s">
        <v>275</v>
      </c>
      <c r="Y441" s="608" t="s">
        <v>1139</v>
      </c>
      <c r="Z441" s="211">
        <f t="shared" si="392"/>
        <v>3828177</v>
      </c>
      <c r="AA441" s="213">
        <f t="shared" si="393"/>
        <v>-144864.07500000019</v>
      </c>
      <c r="AF441" s="112"/>
    </row>
    <row r="442" spans="2:32" outlineLevel="1">
      <c r="B442" s="125">
        <v>411</v>
      </c>
      <c r="C442" s="120" t="s">
        <v>119</v>
      </c>
      <c r="D442" s="153" t="s">
        <v>1059</v>
      </c>
      <c r="E442" s="126">
        <v>46051</v>
      </c>
      <c r="F442" s="126">
        <v>46111</v>
      </c>
      <c r="G442" s="126"/>
      <c r="H442" s="126"/>
      <c r="I442" s="127"/>
      <c r="J442" s="208">
        <f t="shared" ca="1" si="390"/>
        <v>0</v>
      </c>
      <c r="K442" s="134">
        <v>1507.63</v>
      </c>
      <c r="L442" s="218">
        <v>1502.7208305406516</v>
      </c>
      <c r="M442" s="129">
        <f t="shared" ref="M442:M447" si="400">K442-L442</f>
        <v>4.9091694593485045</v>
      </c>
      <c r="N442" s="219">
        <v>3644.55</v>
      </c>
      <c r="O442" s="130">
        <v>3660</v>
      </c>
      <c r="P442" s="168"/>
      <c r="Q442" s="168">
        <f t="shared" ref="Q442:Q445" si="401">K442*N442</f>
        <v>5494632.9165000003</v>
      </c>
      <c r="R442" s="168">
        <f t="shared" ref="R442:R445" si="402">L442*O442</f>
        <v>5499958.239778785</v>
      </c>
      <c r="S442" s="168">
        <f t="shared" si="398"/>
        <v>5325.3232787847519</v>
      </c>
      <c r="T442" s="216" t="str">
        <f t="shared" si="399"/>
        <v>Monetizar</v>
      </c>
      <c r="U442" s="290"/>
      <c r="V442" s="394">
        <v>46066</v>
      </c>
      <c r="W442" s="393" t="s">
        <v>275</v>
      </c>
      <c r="X442" s="393" t="s">
        <v>275</v>
      </c>
      <c r="Y442" s="608" t="s">
        <v>1139</v>
      </c>
      <c r="Z442" s="211">
        <f t="shared" si="392"/>
        <v>5517925.8000000007</v>
      </c>
      <c r="AA442" s="213">
        <f t="shared" si="393"/>
        <v>23292.883500000462</v>
      </c>
      <c r="AF442" s="112"/>
    </row>
    <row r="443" spans="2:32" outlineLevel="1">
      <c r="B443" s="125">
        <v>412</v>
      </c>
      <c r="C443" s="120" t="s">
        <v>119</v>
      </c>
      <c r="D443" s="153" t="s">
        <v>1060</v>
      </c>
      <c r="E443" s="126">
        <v>46051</v>
      </c>
      <c r="F443" s="126">
        <v>46111</v>
      </c>
      <c r="G443" s="126"/>
      <c r="H443" s="126"/>
      <c r="I443" s="127"/>
      <c r="J443" s="208">
        <f t="shared" ca="1" si="390"/>
        <v>0</v>
      </c>
      <c r="K443" s="134">
        <v>16369.899999999998</v>
      </c>
      <c r="L443" s="218">
        <v>16316.596063933064</v>
      </c>
      <c r="M443" s="129">
        <f t="shared" si="400"/>
        <v>53.303936066933602</v>
      </c>
      <c r="N443" s="219">
        <v>3644.55</v>
      </c>
      <c r="O443" s="130">
        <v>3660</v>
      </c>
      <c r="P443" s="168"/>
      <c r="Q443" s="168">
        <f t="shared" si="401"/>
        <v>59660919.044999994</v>
      </c>
      <c r="R443" s="168">
        <f t="shared" si="402"/>
        <v>59718741.593995012</v>
      </c>
      <c r="S443" s="168">
        <f t="shared" si="398"/>
        <v>57822.548995018005</v>
      </c>
      <c r="T443" s="216" t="str">
        <f t="shared" si="399"/>
        <v>Monetizar</v>
      </c>
      <c r="U443" s="293"/>
      <c r="V443" s="394">
        <v>46066</v>
      </c>
      <c r="W443" s="393" t="s">
        <v>275</v>
      </c>
      <c r="X443" s="393" t="s">
        <v>275</v>
      </c>
      <c r="Y443" s="553" t="s">
        <v>988</v>
      </c>
      <c r="Z443" s="211">
        <f t="shared" si="392"/>
        <v>59913833.999999993</v>
      </c>
      <c r="AA443" s="213">
        <f t="shared" si="393"/>
        <v>252914.95499999821</v>
      </c>
      <c r="AF443" s="112"/>
    </row>
    <row r="444" spans="2:32" outlineLevel="1">
      <c r="B444" s="125">
        <v>413</v>
      </c>
      <c r="C444" s="120" t="s">
        <v>119</v>
      </c>
      <c r="D444" s="153" t="s">
        <v>1061</v>
      </c>
      <c r="E444" s="126">
        <v>46051</v>
      </c>
      <c r="F444" s="126">
        <v>46111</v>
      </c>
      <c r="G444" s="126"/>
      <c r="H444" s="126"/>
      <c r="I444" s="127"/>
      <c r="J444" s="208">
        <f t="shared" ca="1" si="390"/>
        <v>0</v>
      </c>
      <c r="K444" s="134">
        <v>63.63</v>
      </c>
      <c r="L444" s="218">
        <v>63.422806953497641</v>
      </c>
      <c r="M444" s="129">
        <f t="shared" si="400"/>
        <v>0.20719304650236126</v>
      </c>
      <c r="N444" s="219">
        <v>3644.55</v>
      </c>
      <c r="O444" s="130">
        <v>3660</v>
      </c>
      <c r="P444" s="168"/>
      <c r="Q444" s="168">
        <f t="shared" si="401"/>
        <v>231902.71650000001</v>
      </c>
      <c r="R444" s="168">
        <f t="shared" si="402"/>
        <v>232127.47344980136</v>
      </c>
      <c r="S444" s="168">
        <f t="shared" si="398"/>
        <v>224.75694980134722</v>
      </c>
      <c r="T444" s="216" t="str">
        <f t="shared" si="399"/>
        <v>Monetizar</v>
      </c>
      <c r="U444" s="293"/>
      <c r="V444" s="394">
        <v>46066</v>
      </c>
      <c r="W444" s="393" t="s">
        <v>275</v>
      </c>
      <c r="X444" s="393" t="s">
        <v>275</v>
      </c>
      <c r="Y444" s="553" t="s">
        <v>988</v>
      </c>
      <c r="Z444" s="211">
        <f t="shared" ref="Z444:Z445" si="403">K444*O444</f>
        <v>232885.80000000002</v>
      </c>
      <c r="AA444" s="213">
        <f t="shared" ref="AA444:AA445" si="404">Z444-Q444</f>
        <v>983.08350000000792</v>
      </c>
      <c r="AF444" s="112"/>
    </row>
    <row r="445" spans="2:32" outlineLevel="1">
      <c r="B445" s="125">
        <v>414</v>
      </c>
      <c r="C445" s="120" t="s">
        <v>119</v>
      </c>
      <c r="D445" s="153" t="s">
        <v>1062</v>
      </c>
      <c r="E445" s="126">
        <v>46051</v>
      </c>
      <c r="F445" s="126">
        <v>46111</v>
      </c>
      <c r="G445" s="126"/>
      <c r="H445" s="126"/>
      <c r="I445" s="127"/>
      <c r="J445" s="208">
        <f t="shared" ca="1" si="390"/>
        <v>0</v>
      </c>
      <c r="K445" s="134">
        <v>795.31</v>
      </c>
      <c r="L445" s="218">
        <v>792.72029857278335</v>
      </c>
      <c r="M445" s="129">
        <f t="shared" si="400"/>
        <v>2.5897014272165961</v>
      </c>
      <c r="N445" s="219">
        <v>3644.55</v>
      </c>
      <c r="O445" s="130">
        <v>3660</v>
      </c>
      <c r="P445" s="168"/>
      <c r="Q445" s="168">
        <f t="shared" si="401"/>
        <v>2898547.0605000001</v>
      </c>
      <c r="R445" s="168">
        <f t="shared" si="402"/>
        <v>2901356.2927763872</v>
      </c>
      <c r="S445" s="168">
        <f t="shared" si="398"/>
        <v>2809.232276387047</v>
      </c>
      <c r="T445" s="216" t="str">
        <f t="shared" si="399"/>
        <v>Monetizar</v>
      </c>
      <c r="U445" s="293"/>
      <c r="V445" s="394">
        <v>46066</v>
      </c>
      <c r="W445" s="393" t="s">
        <v>275</v>
      </c>
      <c r="X445" s="393" t="s">
        <v>275</v>
      </c>
      <c r="Y445" s="553" t="s">
        <v>988</v>
      </c>
      <c r="Z445" s="211">
        <f t="shared" si="403"/>
        <v>2910834.5999999996</v>
      </c>
      <c r="AA445" s="213">
        <f t="shared" si="404"/>
        <v>12287.53949999949</v>
      </c>
      <c r="AF445" s="112"/>
    </row>
    <row r="446" spans="2:32" outlineLevel="1">
      <c r="B446" s="125">
        <v>415</v>
      </c>
      <c r="C446" s="120" t="s">
        <v>312</v>
      </c>
      <c r="D446" s="153" t="s">
        <v>1113</v>
      </c>
      <c r="E446" s="126">
        <v>46052</v>
      </c>
      <c r="F446" s="126">
        <v>46112</v>
      </c>
      <c r="G446" s="126"/>
      <c r="H446" s="126"/>
      <c r="I446" s="127"/>
      <c r="J446" s="208">
        <f t="shared" ca="1" si="390"/>
        <v>0</v>
      </c>
      <c r="K446" s="134">
        <v>123.08</v>
      </c>
      <c r="L446" s="218">
        <v>120.10710101286614</v>
      </c>
      <c r="M446" s="129">
        <f t="shared" si="400"/>
        <v>2.9728989871338598</v>
      </c>
      <c r="N446" s="219">
        <v>3632.01</v>
      </c>
      <c r="O446" s="130">
        <v>3660</v>
      </c>
      <c r="P446" s="168"/>
      <c r="Q446" s="168">
        <f t="shared" ref="Q446:R448" si="405">K446*N446</f>
        <v>447027.79080000002</v>
      </c>
      <c r="R446" s="168">
        <f t="shared" si="405"/>
        <v>439591.98970709008</v>
      </c>
      <c r="S446" s="168">
        <f t="shared" si="398"/>
        <v>-7435.8010929099401</v>
      </c>
      <c r="T446" s="216" t="str">
        <f t="shared" si="399"/>
        <v>No Monetizar</v>
      </c>
      <c r="U446" s="290"/>
      <c r="V446" s="394">
        <v>46066</v>
      </c>
      <c r="W446" s="393" t="s">
        <v>275</v>
      </c>
      <c r="X446" s="393" t="s">
        <v>275</v>
      </c>
      <c r="Y446" s="608" t="s">
        <v>1139</v>
      </c>
      <c r="Z446" s="211">
        <f t="shared" si="392"/>
        <v>450472.8</v>
      </c>
      <c r="AA446" s="213">
        <f t="shared" si="393"/>
        <v>3445.0091999999713</v>
      </c>
      <c r="AF446" s="112"/>
    </row>
    <row r="447" spans="2:32" outlineLevel="1">
      <c r="B447" s="125">
        <v>416</v>
      </c>
      <c r="C447" s="120" t="s">
        <v>312</v>
      </c>
      <c r="D447" s="153" t="s">
        <v>1114</v>
      </c>
      <c r="E447" s="126">
        <v>46052</v>
      </c>
      <c r="F447" s="126">
        <v>46112</v>
      </c>
      <c r="G447" s="126"/>
      <c r="H447" s="126"/>
      <c r="I447" s="127"/>
      <c r="J447" s="208">
        <f t="shared" ca="1" si="390"/>
        <v>0</v>
      </c>
      <c r="K447" s="134">
        <v>1118.94</v>
      </c>
      <c r="L447" s="218">
        <v>1091.912898987134</v>
      </c>
      <c r="M447" s="129">
        <f t="shared" si="400"/>
        <v>27.027101012866069</v>
      </c>
      <c r="N447" s="219">
        <v>3632.01</v>
      </c>
      <c r="O447" s="130">
        <v>3660</v>
      </c>
      <c r="P447" s="168"/>
      <c r="Q447" s="168">
        <f t="shared" si="405"/>
        <v>4064001.2694000006</v>
      </c>
      <c r="R447" s="168">
        <f t="shared" si="405"/>
        <v>3996401.2102929102</v>
      </c>
      <c r="S447" s="168">
        <f t="shared" si="398"/>
        <v>-67600.059107090347</v>
      </c>
      <c r="T447" s="216" t="str">
        <f t="shared" si="399"/>
        <v>No Monetizar</v>
      </c>
      <c r="U447" s="290"/>
      <c r="V447" s="394">
        <v>46066</v>
      </c>
      <c r="W447" s="393" t="s">
        <v>275</v>
      </c>
      <c r="X447" s="393" t="s">
        <v>275</v>
      </c>
      <c r="Y447" s="608" t="s">
        <v>1139</v>
      </c>
      <c r="Z447" s="211">
        <f t="shared" si="392"/>
        <v>4095320.4000000004</v>
      </c>
      <c r="AA447" s="213">
        <f t="shared" si="393"/>
        <v>31319.1305999998</v>
      </c>
      <c r="AF447" s="112"/>
    </row>
    <row r="448" spans="2:32" outlineLevel="1">
      <c r="B448" s="125">
        <v>417</v>
      </c>
      <c r="C448" s="120" t="s">
        <v>117</v>
      </c>
      <c r="D448" s="153">
        <v>188</v>
      </c>
      <c r="E448" s="126">
        <v>46066</v>
      </c>
      <c r="F448" s="126">
        <v>46126</v>
      </c>
      <c r="G448" s="126"/>
      <c r="H448" s="126"/>
      <c r="I448" s="127"/>
      <c r="J448" s="208">
        <f t="shared" ca="1" si="390"/>
        <v>0</v>
      </c>
      <c r="K448" s="134">
        <v>1579.46</v>
      </c>
      <c r="L448" s="218">
        <v>1564.46</v>
      </c>
      <c r="M448" s="129">
        <f>K448-L448</f>
        <v>15</v>
      </c>
      <c r="N448" s="219">
        <v>3632.46</v>
      </c>
      <c r="O448" s="130">
        <v>3628</v>
      </c>
      <c r="P448" s="210"/>
      <c r="Q448" s="168">
        <f t="shared" si="405"/>
        <v>5737325.2716000006</v>
      </c>
      <c r="R448" s="168">
        <f t="shared" si="405"/>
        <v>5675860.8799999999</v>
      </c>
      <c r="S448" s="168">
        <f t="shared" si="398"/>
        <v>-61464.391600000672</v>
      </c>
      <c r="T448" s="216" t="str">
        <f t="shared" si="399"/>
        <v>No Monetizar</v>
      </c>
      <c r="U448" s="290"/>
      <c r="V448" s="394">
        <v>46066</v>
      </c>
      <c r="W448" s="393" t="s">
        <v>275</v>
      </c>
      <c r="X448" s="393" t="s">
        <v>275</v>
      </c>
      <c r="Y448" s="608" t="s">
        <v>1139</v>
      </c>
      <c r="Z448" s="211">
        <f t="shared" si="392"/>
        <v>5730280.8799999999</v>
      </c>
      <c r="AA448" s="213">
        <f t="shared" si="393"/>
        <v>-7044.391600000672</v>
      </c>
      <c r="AF448" s="112"/>
    </row>
    <row r="449" spans="2:32" outlineLevel="1">
      <c r="B449" s="125">
        <v>418</v>
      </c>
      <c r="C449" s="120" t="s">
        <v>303</v>
      </c>
      <c r="D449" s="153" t="s">
        <v>1185</v>
      </c>
      <c r="E449" s="126">
        <v>46070</v>
      </c>
      <c r="F449" s="126">
        <v>46130</v>
      </c>
      <c r="G449" s="126"/>
      <c r="H449" s="126"/>
      <c r="I449" s="127"/>
      <c r="J449" s="208">
        <f t="shared" ca="1" si="390"/>
        <v>0</v>
      </c>
      <c r="K449" s="134">
        <v>341.18</v>
      </c>
      <c r="L449" s="218">
        <v>341.18</v>
      </c>
      <c r="M449" s="129">
        <f>K449-L449</f>
        <v>0</v>
      </c>
      <c r="N449" s="219">
        <v>3541.41</v>
      </c>
      <c r="O449" s="130">
        <v>3647</v>
      </c>
      <c r="P449" s="168"/>
      <c r="Q449" s="168">
        <f t="shared" ref="Q449" si="406">K449*N449</f>
        <v>1208258.2638000001</v>
      </c>
      <c r="R449" s="168">
        <f t="shared" ref="R449" si="407">L449*O449</f>
        <v>1244283.46</v>
      </c>
      <c r="S449" s="168">
        <f t="shared" ref="S449" si="408">R449-Q449</f>
        <v>36025.196199999889</v>
      </c>
      <c r="T449" s="216" t="str">
        <f t="shared" si="399"/>
        <v>Monetizar</v>
      </c>
      <c r="U449" s="293"/>
      <c r="V449" s="394">
        <v>46070</v>
      </c>
      <c r="W449" s="393" t="s">
        <v>275</v>
      </c>
      <c r="X449" s="393" t="s">
        <v>275</v>
      </c>
      <c r="Y449" s="608" t="s">
        <v>1139</v>
      </c>
      <c r="Z449" s="211">
        <f t="shared" ref="Z449:Z450" si="409">K449*O449</f>
        <v>1244283.46</v>
      </c>
      <c r="AA449" s="213">
        <f t="shared" ref="AA449:AA450" si="410">Z449-Q449</f>
        <v>36025.196199999889</v>
      </c>
      <c r="AF449" s="112"/>
    </row>
    <row r="450" spans="2:32" outlineLevel="1">
      <c r="B450" s="125">
        <v>419</v>
      </c>
      <c r="C450" s="120" t="s">
        <v>303</v>
      </c>
      <c r="D450" s="153" t="s">
        <v>1186</v>
      </c>
      <c r="E450" s="126">
        <v>46070</v>
      </c>
      <c r="F450" s="126">
        <v>46130</v>
      </c>
      <c r="G450" s="126"/>
      <c r="H450" s="126"/>
      <c r="I450" s="127"/>
      <c r="J450" s="208">
        <f t="shared" ref="J450:J458" ca="1" si="411">IFERROR(IF(TODAY()&gt;=E450,(TODAY()-E450)/I450,0),0)</f>
        <v>0</v>
      </c>
      <c r="K450" s="134">
        <v>3101.72</v>
      </c>
      <c r="L450" s="218">
        <v>3101.72</v>
      </c>
      <c r="M450" s="129">
        <f>K450-L450</f>
        <v>0</v>
      </c>
      <c r="N450" s="219">
        <v>3541.41</v>
      </c>
      <c r="O450" s="130">
        <v>3647</v>
      </c>
      <c r="P450" s="168"/>
      <c r="Q450" s="168">
        <f t="shared" ref="Q450:Q456" si="412">K450*N450</f>
        <v>10984462.225199999</v>
      </c>
      <c r="R450" s="168">
        <f t="shared" ref="R450:R470" si="413">L450*O450</f>
        <v>11311972.84</v>
      </c>
      <c r="S450" s="168">
        <f t="shared" ref="S450:S456" si="414">R450-Q450</f>
        <v>327510.61480000056</v>
      </c>
      <c r="T450" s="216" t="str">
        <f t="shared" si="399"/>
        <v>Monetizar</v>
      </c>
      <c r="U450" s="293"/>
      <c r="V450" s="394">
        <v>46070</v>
      </c>
      <c r="W450" s="393" t="s">
        <v>275</v>
      </c>
      <c r="X450" s="393" t="s">
        <v>275</v>
      </c>
      <c r="Y450" s="608" t="s">
        <v>1139</v>
      </c>
      <c r="Z450" s="211">
        <f t="shared" si="409"/>
        <v>11311972.84</v>
      </c>
      <c r="AA450" s="213">
        <f t="shared" si="410"/>
        <v>327510.61480000056</v>
      </c>
      <c r="AF450" s="112"/>
    </row>
    <row r="451" spans="2:32" outlineLevel="1">
      <c r="B451" s="125">
        <v>420</v>
      </c>
      <c r="C451" s="120" t="s">
        <v>287</v>
      </c>
      <c r="D451" s="153" t="s">
        <v>1207</v>
      </c>
      <c r="E451" s="126">
        <v>46071</v>
      </c>
      <c r="F451" s="126">
        <v>46131</v>
      </c>
      <c r="G451" s="126"/>
      <c r="H451" s="126"/>
      <c r="I451" s="127"/>
      <c r="J451" s="208">
        <f t="shared" ca="1" si="411"/>
        <v>0</v>
      </c>
      <c r="K451" s="218">
        <v>189.02</v>
      </c>
      <c r="L451" s="218">
        <v>189.02</v>
      </c>
      <c r="M451" s="129">
        <f t="shared" ref="M451:M454" si="415">K451-L451</f>
        <v>0</v>
      </c>
      <c r="N451" s="130">
        <v>3779.41</v>
      </c>
      <c r="O451" s="130">
        <v>3648</v>
      </c>
      <c r="P451" s="168"/>
      <c r="Q451" s="168">
        <f t="shared" si="412"/>
        <v>714384.07819999999</v>
      </c>
      <c r="R451" s="168">
        <f t="shared" si="413"/>
        <v>689544.96000000008</v>
      </c>
      <c r="S451" s="168">
        <f t="shared" si="414"/>
        <v>-24839.11819999991</v>
      </c>
      <c r="T451" s="216" t="str">
        <f t="shared" si="399"/>
        <v>No Monetizar</v>
      </c>
      <c r="U451" s="626"/>
      <c r="V451" s="394">
        <v>46071</v>
      </c>
      <c r="W451" s="393" t="s">
        <v>275</v>
      </c>
      <c r="X451" s="393" t="s">
        <v>275</v>
      </c>
      <c r="Y451" s="608" t="s">
        <v>1139</v>
      </c>
      <c r="Z451" s="211">
        <f t="shared" ref="Z451:Z454" si="416">K451*O451</f>
        <v>689544.96000000008</v>
      </c>
      <c r="AA451" s="213">
        <f t="shared" ref="AA451:AA454" si="417">Z451-Q451</f>
        <v>-24839.11819999991</v>
      </c>
      <c r="AF451" s="112"/>
    </row>
    <row r="452" spans="2:32" outlineLevel="1">
      <c r="B452" s="125">
        <v>421</v>
      </c>
      <c r="C452" s="120" t="s">
        <v>287</v>
      </c>
      <c r="D452" s="153" t="s">
        <v>1208</v>
      </c>
      <c r="E452" s="126">
        <v>46071</v>
      </c>
      <c r="F452" s="126">
        <v>46131</v>
      </c>
      <c r="G452" s="126"/>
      <c r="H452" s="126"/>
      <c r="I452" s="127"/>
      <c r="J452" s="208">
        <f t="shared" ca="1" si="411"/>
        <v>0</v>
      </c>
      <c r="K452" s="218">
        <v>126.25</v>
      </c>
      <c r="L452" s="218">
        <v>126.25</v>
      </c>
      <c r="M452" s="129">
        <f t="shared" si="415"/>
        <v>0</v>
      </c>
      <c r="N452" s="130">
        <v>3779.41</v>
      </c>
      <c r="O452" s="130">
        <f>O451</f>
        <v>3648</v>
      </c>
      <c r="P452" s="168"/>
      <c r="Q452" s="168">
        <f t="shared" si="412"/>
        <v>477150.51249999995</v>
      </c>
      <c r="R452" s="168">
        <f t="shared" si="413"/>
        <v>460560</v>
      </c>
      <c r="S452" s="168">
        <f t="shared" si="414"/>
        <v>-16590.512499999953</v>
      </c>
      <c r="T452" s="216" t="str">
        <f t="shared" si="399"/>
        <v>No Monetizar</v>
      </c>
      <c r="U452" s="561"/>
      <c r="V452" s="394">
        <v>46071</v>
      </c>
      <c r="W452" s="393" t="s">
        <v>275</v>
      </c>
      <c r="X452" s="393" t="s">
        <v>275</v>
      </c>
      <c r="Y452" s="638" t="s">
        <v>1213</v>
      </c>
      <c r="Z452" s="211">
        <f t="shared" si="416"/>
        <v>460560</v>
      </c>
      <c r="AA452" s="213">
        <f t="shared" si="417"/>
        <v>-16590.512499999953</v>
      </c>
      <c r="AF452" s="112"/>
    </row>
    <row r="453" spans="2:32" outlineLevel="1">
      <c r="B453" s="125">
        <v>422</v>
      </c>
      <c r="C453" s="120" t="s">
        <v>287</v>
      </c>
      <c r="D453" s="153" t="s">
        <v>1209</v>
      </c>
      <c r="E453" s="126">
        <v>46071</v>
      </c>
      <c r="F453" s="126">
        <v>46131</v>
      </c>
      <c r="G453" s="126"/>
      <c r="H453" s="126"/>
      <c r="I453" s="127"/>
      <c r="J453" s="208">
        <f t="shared" ca="1" si="411"/>
        <v>0</v>
      </c>
      <c r="K453" s="218">
        <v>1890.25</v>
      </c>
      <c r="L453" s="218">
        <v>1890.25</v>
      </c>
      <c r="M453" s="129">
        <f t="shared" si="415"/>
        <v>0</v>
      </c>
      <c r="N453" s="130">
        <v>3779.41</v>
      </c>
      <c r="O453" s="130">
        <f t="shared" ref="O453:O454" si="418">O452</f>
        <v>3648</v>
      </c>
      <c r="P453" s="168"/>
      <c r="Q453" s="168">
        <f t="shared" si="412"/>
        <v>7144029.7524999995</v>
      </c>
      <c r="R453" s="168">
        <f t="shared" si="413"/>
        <v>6895632</v>
      </c>
      <c r="S453" s="168">
        <f t="shared" si="414"/>
        <v>-248397.75249999948</v>
      </c>
      <c r="T453" s="216" t="str">
        <f t="shared" si="399"/>
        <v>No Monetizar</v>
      </c>
      <c r="U453" s="561"/>
      <c r="V453" s="394">
        <v>46071</v>
      </c>
      <c r="W453" s="393" t="s">
        <v>275</v>
      </c>
      <c r="X453" s="393" t="s">
        <v>275</v>
      </c>
      <c r="Y453" s="608" t="s">
        <v>1213</v>
      </c>
      <c r="Z453" s="211">
        <f t="shared" si="416"/>
        <v>6895632</v>
      </c>
      <c r="AA453" s="213">
        <f t="shared" si="417"/>
        <v>-248397.75249999948</v>
      </c>
      <c r="AF453" s="112"/>
    </row>
    <row r="454" spans="2:32" outlineLevel="1">
      <c r="B454" s="125">
        <v>423</v>
      </c>
      <c r="C454" s="120" t="s">
        <v>287</v>
      </c>
      <c r="D454" s="153" t="s">
        <v>1210</v>
      </c>
      <c r="E454" s="126">
        <v>46071</v>
      </c>
      <c r="F454" s="126">
        <v>46131</v>
      </c>
      <c r="G454" s="126"/>
      <c r="H454" s="126"/>
      <c r="I454" s="127"/>
      <c r="J454" s="208">
        <f t="shared" ca="1" si="411"/>
        <v>0</v>
      </c>
      <c r="K454" s="218">
        <v>1262.48</v>
      </c>
      <c r="L454" s="218">
        <v>1262.48</v>
      </c>
      <c r="M454" s="129">
        <f t="shared" si="415"/>
        <v>0</v>
      </c>
      <c r="N454" s="130">
        <v>3779.41</v>
      </c>
      <c r="O454" s="130">
        <f t="shared" si="418"/>
        <v>3648</v>
      </c>
      <c r="P454" s="168"/>
      <c r="Q454" s="168">
        <f t="shared" si="412"/>
        <v>4771429.5367999999</v>
      </c>
      <c r="R454" s="168">
        <f t="shared" si="413"/>
        <v>4605527.04</v>
      </c>
      <c r="S454" s="168">
        <f t="shared" si="414"/>
        <v>-165902.49679999985</v>
      </c>
      <c r="T454" s="216" t="str">
        <f t="shared" si="399"/>
        <v>No Monetizar</v>
      </c>
      <c r="U454" s="561"/>
      <c r="V454" s="394">
        <v>46071</v>
      </c>
      <c r="W454" s="393" t="s">
        <v>275</v>
      </c>
      <c r="X454" s="393" t="s">
        <v>275</v>
      </c>
      <c r="Y454" s="608" t="s">
        <v>1139</v>
      </c>
      <c r="Z454" s="211">
        <f t="shared" si="416"/>
        <v>4605527.04</v>
      </c>
      <c r="AA454" s="213">
        <f t="shared" si="417"/>
        <v>-165902.49679999985</v>
      </c>
      <c r="AF454" s="112"/>
    </row>
    <row r="455" spans="2:32" outlineLevel="1">
      <c r="B455" s="125">
        <v>424</v>
      </c>
      <c r="C455" s="120" t="s">
        <v>277</v>
      </c>
      <c r="D455" s="153" t="s">
        <v>1199</v>
      </c>
      <c r="E455" s="126">
        <v>46071</v>
      </c>
      <c r="F455" s="126">
        <v>46131</v>
      </c>
      <c r="G455" s="126"/>
      <c r="H455" s="126"/>
      <c r="I455" s="127"/>
      <c r="J455" s="208">
        <f t="shared" ca="1" si="411"/>
        <v>0</v>
      </c>
      <c r="K455" s="218">
        <v>6309.27</v>
      </c>
      <c r="L455" s="218">
        <v>6309.27</v>
      </c>
      <c r="M455" s="129">
        <f>K455-L455</f>
        <v>0</v>
      </c>
      <c r="N455" s="130">
        <v>3743.01</v>
      </c>
      <c r="O455" s="130">
        <v>3648.1</v>
      </c>
      <c r="P455" s="168"/>
      <c r="Q455" s="168">
        <f t="shared" si="412"/>
        <v>23615660.702700004</v>
      </c>
      <c r="R455" s="168">
        <f t="shared" si="413"/>
        <v>23016847.887000002</v>
      </c>
      <c r="S455" s="168">
        <f t="shared" si="414"/>
        <v>-598812.81570000201</v>
      </c>
      <c r="T455" s="216" t="str">
        <f t="shared" si="399"/>
        <v>No Monetizar</v>
      </c>
      <c r="U455" s="561"/>
      <c r="V455" s="394">
        <v>46071</v>
      </c>
      <c r="W455" s="393" t="s">
        <v>275</v>
      </c>
      <c r="X455" s="393" t="s">
        <v>275</v>
      </c>
      <c r="Y455" s="638" t="s">
        <v>1214</v>
      </c>
      <c r="Z455" s="211">
        <f t="shared" ref="Z455:Z458" si="419">K455*O455</f>
        <v>23016847.887000002</v>
      </c>
      <c r="AA455" s="213">
        <f t="shared" ref="AA455:AA458" si="420">Z455-Q455</f>
        <v>-598812.81570000201</v>
      </c>
      <c r="AF455" s="112"/>
    </row>
    <row r="456" spans="2:32" outlineLevel="1">
      <c r="B456" s="125">
        <v>425</v>
      </c>
      <c r="C456" s="120" t="s">
        <v>277</v>
      </c>
      <c r="D456" s="153" t="s">
        <v>1200</v>
      </c>
      <c r="E456" s="126">
        <v>46071</v>
      </c>
      <c r="F456" s="126">
        <v>46131</v>
      </c>
      <c r="G456" s="126"/>
      <c r="H456" s="126"/>
      <c r="I456" s="127"/>
      <c r="J456" s="208">
        <f t="shared" ca="1" si="411"/>
        <v>0</v>
      </c>
      <c r="K456" s="218">
        <v>714</v>
      </c>
      <c r="L456" s="218">
        <v>714</v>
      </c>
      <c r="M456" s="129">
        <f>K456-L456</f>
        <v>0</v>
      </c>
      <c r="N456" s="130">
        <v>3743.01</v>
      </c>
      <c r="O456" s="130">
        <v>3648.1</v>
      </c>
      <c r="P456" s="168"/>
      <c r="Q456" s="168">
        <f t="shared" si="412"/>
        <v>2672509.14</v>
      </c>
      <c r="R456" s="168">
        <f t="shared" si="413"/>
        <v>2604743.4</v>
      </c>
      <c r="S456" s="168">
        <f t="shared" si="414"/>
        <v>-67765.740000000224</v>
      </c>
      <c r="T456" s="216" t="str">
        <f t="shared" si="399"/>
        <v>No Monetizar</v>
      </c>
      <c r="U456" s="561"/>
      <c r="V456" s="394">
        <v>46071</v>
      </c>
      <c r="W456" s="393" t="s">
        <v>275</v>
      </c>
      <c r="X456" s="393" t="s">
        <v>275</v>
      </c>
      <c r="Y456" s="638" t="s">
        <v>1213</v>
      </c>
      <c r="Z456" s="211">
        <f t="shared" si="419"/>
        <v>2604743.4</v>
      </c>
      <c r="AA456" s="213">
        <f t="shared" si="420"/>
        <v>-67765.740000000224</v>
      </c>
      <c r="AF456" s="112"/>
    </row>
    <row r="457" spans="2:32" outlineLevel="1">
      <c r="B457" s="125">
        <v>426</v>
      </c>
      <c r="C457" s="120" t="s">
        <v>1197</v>
      </c>
      <c r="D457" s="153" t="s">
        <v>1198</v>
      </c>
      <c r="E457" s="126">
        <v>46071</v>
      </c>
      <c r="F457" s="126">
        <v>46131</v>
      </c>
      <c r="G457" s="126"/>
      <c r="H457" s="126"/>
      <c r="I457" s="127"/>
      <c r="J457" s="208">
        <f t="shared" ca="1" si="411"/>
        <v>0</v>
      </c>
      <c r="K457" s="218">
        <v>3827.76</v>
      </c>
      <c r="L457" s="218">
        <v>3827</v>
      </c>
      <c r="M457" s="129">
        <f>K457-L457</f>
        <v>0.76000000000021828</v>
      </c>
      <c r="N457" s="130">
        <v>3661.29</v>
      </c>
      <c r="O457" s="130">
        <v>3653.2</v>
      </c>
      <c r="P457" s="168"/>
      <c r="Q457" s="168">
        <f>K457*N457</f>
        <v>14014539.410400001</v>
      </c>
      <c r="R457" s="168">
        <f t="shared" si="413"/>
        <v>13980796.399999999</v>
      </c>
      <c r="S457" s="168">
        <f>R457-Q457</f>
        <v>-33743.010400002822</v>
      </c>
      <c r="T457" s="216" t="str">
        <f t="shared" si="399"/>
        <v>No Monetizar</v>
      </c>
      <c r="U457" s="561"/>
      <c r="V457" s="394">
        <v>46071</v>
      </c>
      <c r="W457" s="393" t="s">
        <v>275</v>
      </c>
      <c r="X457" s="393" t="s">
        <v>275</v>
      </c>
      <c r="Y457" s="608" t="s">
        <v>1213</v>
      </c>
      <c r="Z457" s="211">
        <f t="shared" si="419"/>
        <v>13983572.832</v>
      </c>
      <c r="AA457" s="213">
        <f t="shared" si="420"/>
        <v>-30966.57840000093</v>
      </c>
      <c r="AF457" s="112"/>
    </row>
    <row r="458" spans="2:32" outlineLevel="1">
      <c r="B458" s="125">
        <v>427</v>
      </c>
      <c r="C458" s="120" t="s">
        <v>1197</v>
      </c>
      <c r="D458" s="153" t="s">
        <v>1219</v>
      </c>
      <c r="E458" s="126">
        <v>46071</v>
      </c>
      <c r="F458" s="126">
        <v>46131</v>
      </c>
      <c r="G458" s="126"/>
      <c r="H458" s="126"/>
      <c r="I458" s="127"/>
      <c r="J458" s="208">
        <f t="shared" ca="1" si="411"/>
        <v>0</v>
      </c>
      <c r="K458" s="218">
        <f>8661.12+10</f>
        <v>8671.1200000000008</v>
      </c>
      <c r="L458" s="218">
        <v>8661.1200000000008</v>
      </c>
      <c r="M458" s="129">
        <f>K458-L458</f>
        <v>10</v>
      </c>
      <c r="N458" s="130">
        <v>3661.29</v>
      </c>
      <c r="O458" s="130">
        <v>3653.2</v>
      </c>
      <c r="P458" s="168"/>
      <c r="Q458" s="168">
        <f t="shared" ref="Q458:Q472" si="421">K458*N458</f>
        <v>31747484.944800004</v>
      </c>
      <c r="R458" s="168">
        <f t="shared" si="413"/>
        <v>31640803.584000003</v>
      </c>
      <c r="S458" s="168">
        <f t="shared" ref="S458:S470" si="422">R458-Q458</f>
        <v>-106681.36080000177</v>
      </c>
      <c r="T458" s="216" t="str">
        <f t="shared" si="399"/>
        <v>No Monetizar</v>
      </c>
      <c r="U458" s="561"/>
      <c r="V458" s="394">
        <v>46071</v>
      </c>
      <c r="W458" s="393" t="s">
        <v>275</v>
      </c>
      <c r="X458" s="393" t="s">
        <v>275</v>
      </c>
      <c r="Y458" s="638" t="s">
        <v>1213</v>
      </c>
      <c r="Z458" s="211">
        <f t="shared" si="419"/>
        <v>31677335.584000003</v>
      </c>
      <c r="AA458" s="213">
        <f t="shared" si="420"/>
        <v>-70149.36080000177</v>
      </c>
      <c r="AF458" s="112"/>
    </row>
    <row r="459" spans="2:32" outlineLevel="1">
      <c r="B459" s="125">
        <v>428</v>
      </c>
      <c r="C459" s="120" t="s">
        <v>80</v>
      </c>
      <c r="D459" s="153" t="s">
        <v>1225</v>
      </c>
      <c r="E459" s="126">
        <v>46072</v>
      </c>
      <c r="F459" s="126">
        <v>46132</v>
      </c>
      <c r="G459" s="126"/>
      <c r="H459" s="126"/>
      <c r="I459" s="127"/>
      <c r="J459" s="208">
        <f t="shared" ref="J459:J472" ca="1" si="423">IFERROR(IF(TODAY()&gt;=E459,(TODAY()-E459)/I459,0),0)</f>
        <v>0</v>
      </c>
      <c r="K459" s="218">
        <v>524.44000000000005</v>
      </c>
      <c r="L459" s="218">
        <v>524.44000000000005</v>
      </c>
      <c r="M459" s="129">
        <f t="shared" ref="M459:M494" si="424">K459-L459</f>
        <v>0</v>
      </c>
      <c r="N459" s="130">
        <v>3543.31</v>
      </c>
      <c r="O459" s="130">
        <v>3694</v>
      </c>
      <c r="P459" s="168"/>
      <c r="Q459" s="168">
        <f t="shared" si="421"/>
        <v>1858253.4964000001</v>
      </c>
      <c r="R459" s="168">
        <f t="shared" si="413"/>
        <v>1937281.36</v>
      </c>
      <c r="S459" s="168">
        <f t="shared" si="422"/>
        <v>79027.863600000041</v>
      </c>
      <c r="T459" s="216" t="str">
        <f t="shared" si="399"/>
        <v>Monetizar</v>
      </c>
      <c r="U459" s="293"/>
      <c r="V459" s="394">
        <v>46077</v>
      </c>
      <c r="W459" s="393" t="s">
        <v>275</v>
      </c>
      <c r="X459" s="393" t="s">
        <v>275</v>
      </c>
      <c r="Y459" s="393" t="s">
        <v>276</v>
      </c>
      <c r="Z459" s="211">
        <f t="shared" ref="Z459:Z470" si="425">K459*O459</f>
        <v>1937281.36</v>
      </c>
      <c r="AA459" s="213">
        <f t="shared" ref="AA459:AA470" si="426">Z459-Q459</f>
        <v>79027.863600000041</v>
      </c>
      <c r="AF459" s="112"/>
    </row>
    <row r="460" spans="2:32" outlineLevel="1">
      <c r="B460" s="125">
        <v>429</v>
      </c>
      <c r="C460" s="120" t="s">
        <v>80</v>
      </c>
      <c r="D460" s="153" t="s">
        <v>1226</v>
      </c>
      <c r="E460" s="126">
        <v>46072</v>
      </c>
      <c r="F460" s="126">
        <v>46132</v>
      </c>
      <c r="G460" s="126"/>
      <c r="H460" s="126"/>
      <c r="I460" s="127"/>
      <c r="J460" s="208">
        <f t="shared" ca="1" si="423"/>
        <v>0</v>
      </c>
      <c r="K460" s="218">
        <v>5836.34</v>
      </c>
      <c r="L460" s="218">
        <v>5836.34</v>
      </c>
      <c r="M460" s="129">
        <f t="shared" si="424"/>
        <v>0</v>
      </c>
      <c r="N460" s="130">
        <v>3543.31</v>
      </c>
      <c r="O460" s="130">
        <v>3694</v>
      </c>
      <c r="P460" s="168"/>
      <c r="Q460" s="168">
        <f t="shared" si="421"/>
        <v>20679961.885400001</v>
      </c>
      <c r="R460" s="168">
        <f t="shared" si="413"/>
        <v>21559439.960000001</v>
      </c>
      <c r="S460" s="168">
        <f t="shared" si="422"/>
        <v>879478.07459999993</v>
      </c>
      <c r="T460" s="216" t="str">
        <f t="shared" si="399"/>
        <v>Monetizar</v>
      </c>
      <c r="U460" s="293"/>
      <c r="V460" s="394">
        <v>46077</v>
      </c>
      <c r="W460" s="393" t="s">
        <v>275</v>
      </c>
      <c r="X460" s="393" t="s">
        <v>275</v>
      </c>
      <c r="Y460" s="393" t="s">
        <v>276</v>
      </c>
      <c r="Z460" s="211">
        <f t="shared" si="425"/>
        <v>21559439.960000001</v>
      </c>
      <c r="AA460" s="213">
        <f t="shared" si="426"/>
        <v>879478.07459999993</v>
      </c>
      <c r="AF460" s="112"/>
    </row>
    <row r="461" spans="2:32" outlineLevel="1">
      <c r="B461" s="125">
        <v>430</v>
      </c>
      <c r="C461" s="120" t="s">
        <v>116</v>
      </c>
      <c r="D461" s="153" t="s">
        <v>1227</v>
      </c>
      <c r="E461" s="126">
        <v>46072</v>
      </c>
      <c r="F461" s="126">
        <v>46132</v>
      </c>
      <c r="G461" s="126"/>
      <c r="H461" s="126"/>
      <c r="I461" s="127"/>
      <c r="J461" s="208">
        <f t="shared" ca="1" si="423"/>
        <v>0</v>
      </c>
      <c r="K461" s="218">
        <v>352.69</v>
      </c>
      <c r="L461" s="218">
        <v>351.86431042313399</v>
      </c>
      <c r="M461" s="129">
        <f t="shared" si="424"/>
        <v>0.82568957686601152</v>
      </c>
      <c r="N461" s="130">
        <v>3543.31</v>
      </c>
      <c r="O461" s="130">
        <v>3694</v>
      </c>
      <c r="P461" s="168"/>
      <c r="Q461" s="168">
        <f t="shared" si="421"/>
        <v>1249690.0038999999</v>
      </c>
      <c r="R461" s="168">
        <f t="shared" si="413"/>
        <v>1299786.7627030569</v>
      </c>
      <c r="S461" s="168">
        <f t="shared" si="422"/>
        <v>50096.758803057019</v>
      </c>
      <c r="T461" s="216" t="str">
        <f t="shared" si="399"/>
        <v>Monetizar</v>
      </c>
      <c r="U461" s="293"/>
      <c r="V461" s="394">
        <v>46077</v>
      </c>
      <c r="W461" s="393" t="s">
        <v>275</v>
      </c>
      <c r="X461" s="393" t="s">
        <v>275</v>
      </c>
      <c r="Y461" s="393" t="s">
        <v>276</v>
      </c>
      <c r="Z461" s="211">
        <f t="shared" si="425"/>
        <v>1302836.8600000001</v>
      </c>
      <c r="AA461" s="213">
        <f t="shared" si="426"/>
        <v>53146.856100000208</v>
      </c>
      <c r="AF461" s="112"/>
    </row>
    <row r="462" spans="2:32" outlineLevel="1">
      <c r="B462" s="125">
        <v>431</v>
      </c>
      <c r="C462" s="120" t="s">
        <v>116</v>
      </c>
      <c r="D462" s="153" t="s">
        <v>1228</v>
      </c>
      <c r="E462" s="126">
        <v>46072</v>
      </c>
      <c r="F462" s="126">
        <v>46132</v>
      </c>
      <c r="G462" s="126"/>
      <c r="H462" s="126"/>
      <c r="I462" s="127"/>
      <c r="J462" s="208">
        <f t="shared" ca="1" si="423"/>
        <v>0</v>
      </c>
      <c r="K462" s="218">
        <v>3918.77</v>
      </c>
      <c r="L462" s="218">
        <v>3909.5956895768659</v>
      </c>
      <c r="M462" s="129">
        <f t="shared" si="424"/>
        <v>9.1743104231341022</v>
      </c>
      <c r="N462" s="130">
        <v>3543.31</v>
      </c>
      <c r="O462" s="130">
        <v>3694</v>
      </c>
      <c r="P462" s="168"/>
      <c r="Q462" s="168">
        <f t="shared" si="421"/>
        <v>13885416.9287</v>
      </c>
      <c r="R462" s="168">
        <f t="shared" si="413"/>
        <v>14442046.477296943</v>
      </c>
      <c r="S462" s="168">
        <f t="shared" si="422"/>
        <v>556629.5485969428</v>
      </c>
      <c r="T462" s="216" t="str">
        <f t="shared" si="399"/>
        <v>Monetizar</v>
      </c>
      <c r="U462" s="293"/>
      <c r="V462" s="394">
        <v>46077</v>
      </c>
      <c r="W462" s="393" t="s">
        <v>275</v>
      </c>
      <c r="X462" s="393" t="s">
        <v>275</v>
      </c>
      <c r="Y462" s="393" t="s">
        <v>276</v>
      </c>
      <c r="Z462" s="211">
        <f t="shared" si="425"/>
        <v>14475936.380000001</v>
      </c>
      <c r="AA462" s="213">
        <f t="shared" si="426"/>
        <v>590519.45130000077</v>
      </c>
      <c r="AF462" s="112"/>
    </row>
    <row r="463" spans="2:32" outlineLevel="1">
      <c r="B463" s="125">
        <v>432</v>
      </c>
      <c r="C463" s="120" t="s">
        <v>120</v>
      </c>
      <c r="D463" s="153" t="s">
        <v>1229</v>
      </c>
      <c r="E463" s="126">
        <v>46072</v>
      </c>
      <c r="F463" s="126">
        <v>46132</v>
      </c>
      <c r="G463" s="126"/>
      <c r="H463" s="126"/>
      <c r="I463" s="127"/>
      <c r="J463" s="208">
        <f t="shared" ca="1" si="423"/>
        <v>0</v>
      </c>
      <c r="K463" s="218">
        <v>240</v>
      </c>
      <c r="L463" s="218">
        <v>238.63495981662959</v>
      </c>
      <c r="M463" s="129">
        <f t="shared" si="424"/>
        <v>1.3650401833704109</v>
      </c>
      <c r="N463" s="130">
        <v>3581.27</v>
      </c>
      <c r="O463" s="130">
        <v>3694</v>
      </c>
      <c r="P463" s="168"/>
      <c r="Q463" s="168">
        <f t="shared" si="421"/>
        <v>859504.8</v>
      </c>
      <c r="R463" s="168">
        <f t="shared" si="413"/>
        <v>881517.54156262975</v>
      </c>
      <c r="S463" s="168">
        <f t="shared" si="422"/>
        <v>22012.741562629701</v>
      </c>
      <c r="T463" s="216" t="str">
        <f t="shared" si="399"/>
        <v>Monetizar</v>
      </c>
      <c r="U463" s="293"/>
      <c r="V463" s="394">
        <v>46077</v>
      </c>
      <c r="W463" s="393" t="s">
        <v>275</v>
      </c>
      <c r="X463" s="393" t="s">
        <v>275</v>
      </c>
      <c r="Y463" s="393" t="s">
        <v>276</v>
      </c>
      <c r="Z463" s="211">
        <f t="shared" si="425"/>
        <v>886560</v>
      </c>
      <c r="AA463" s="213">
        <f t="shared" si="426"/>
        <v>27055.199999999953</v>
      </c>
      <c r="AF463" s="112"/>
    </row>
    <row r="464" spans="2:32" outlineLevel="1">
      <c r="B464" s="125">
        <v>433</v>
      </c>
      <c r="C464" s="120" t="s">
        <v>120</v>
      </c>
      <c r="D464" s="153" t="s">
        <v>1230</v>
      </c>
      <c r="E464" s="126">
        <v>46072</v>
      </c>
      <c r="F464" s="126">
        <v>46132</v>
      </c>
      <c r="G464" s="126"/>
      <c r="H464" s="126"/>
      <c r="I464" s="127"/>
      <c r="J464" s="208">
        <f t="shared" ca="1" si="423"/>
        <v>0</v>
      </c>
      <c r="K464" s="218">
        <v>3276.38</v>
      </c>
      <c r="L464" s="218">
        <v>3257.7450401833703</v>
      </c>
      <c r="M464" s="129">
        <f t="shared" si="424"/>
        <v>18.634959816629816</v>
      </c>
      <c r="N464" s="130">
        <v>3581.27</v>
      </c>
      <c r="O464" s="130">
        <v>3694</v>
      </c>
      <c r="P464" s="168"/>
      <c r="Q464" s="168">
        <f t="shared" si="421"/>
        <v>11733601.4026</v>
      </c>
      <c r="R464" s="168">
        <f t="shared" si="413"/>
        <v>12034110.178437369</v>
      </c>
      <c r="S464" s="168">
        <f t="shared" si="422"/>
        <v>300508.77583736926</v>
      </c>
      <c r="T464" s="216" t="str">
        <f t="shared" si="399"/>
        <v>Monetizar</v>
      </c>
      <c r="U464" s="293"/>
      <c r="V464" s="394">
        <v>46077</v>
      </c>
      <c r="W464" s="393" t="s">
        <v>275</v>
      </c>
      <c r="X464" s="393" t="s">
        <v>275</v>
      </c>
      <c r="Y464" s="393" t="s">
        <v>276</v>
      </c>
      <c r="Z464" s="211">
        <f t="shared" si="425"/>
        <v>12102947.720000001</v>
      </c>
      <c r="AA464" s="213">
        <f t="shared" si="426"/>
        <v>369346.31740000099</v>
      </c>
      <c r="AF464" s="112"/>
    </row>
    <row r="465" spans="2:32" outlineLevel="1">
      <c r="B465" s="125">
        <v>434</v>
      </c>
      <c r="C465" s="120" t="s">
        <v>118</v>
      </c>
      <c r="D465" s="153" t="s">
        <v>1231</v>
      </c>
      <c r="E465" s="126">
        <v>46072</v>
      </c>
      <c r="F465" s="126">
        <v>46132</v>
      </c>
      <c r="G465" s="126"/>
      <c r="H465" s="126"/>
      <c r="I465" s="127"/>
      <c r="J465" s="208">
        <f t="shared" ca="1" si="423"/>
        <v>0</v>
      </c>
      <c r="K465" s="218">
        <v>140.78</v>
      </c>
      <c r="L465" s="218">
        <v>140.78</v>
      </c>
      <c r="M465" s="129">
        <f t="shared" si="424"/>
        <v>0</v>
      </c>
      <c r="N465" s="130">
        <v>3543.31</v>
      </c>
      <c r="O465" s="130">
        <v>3694</v>
      </c>
      <c r="P465" s="168"/>
      <c r="Q465" s="168">
        <f t="shared" si="421"/>
        <v>498827.18180000002</v>
      </c>
      <c r="R465" s="168">
        <f t="shared" si="413"/>
        <v>520041.32</v>
      </c>
      <c r="S465" s="168">
        <f t="shared" si="422"/>
        <v>21214.138199999987</v>
      </c>
      <c r="T465" s="216" t="str">
        <f t="shared" si="399"/>
        <v>Monetizar</v>
      </c>
      <c r="U465" s="293"/>
      <c r="V465" s="394">
        <v>46077</v>
      </c>
      <c r="W465" s="393" t="s">
        <v>275</v>
      </c>
      <c r="X465" s="393" t="s">
        <v>275</v>
      </c>
      <c r="Y465" s="393" t="s">
        <v>276</v>
      </c>
      <c r="Z465" s="211">
        <f t="shared" si="425"/>
        <v>520041.32</v>
      </c>
      <c r="AA465" s="213">
        <f t="shared" si="426"/>
        <v>21214.138199999987</v>
      </c>
      <c r="AF465" s="112"/>
    </row>
    <row r="466" spans="2:32" outlineLevel="1">
      <c r="B466" s="125">
        <v>435</v>
      </c>
      <c r="C466" s="120" t="s">
        <v>118</v>
      </c>
      <c r="D466" s="153" t="s">
        <v>1232</v>
      </c>
      <c r="E466" s="126">
        <v>46072</v>
      </c>
      <c r="F466" s="126">
        <v>46132</v>
      </c>
      <c r="G466" s="126"/>
      <c r="H466" s="126"/>
      <c r="I466" s="127"/>
      <c r="J466" s="208">
        <f t="shared" ca="1" si="423"/>
        <v>0</v>
      </c>
      <c r="K466" s="218">
        <v>1279.81</v>
      </c>
      <c r="L466" s="218">
        <v>1279.81</v>
      </c>
      <c r="M466" s="129">
        <f t="shared" si="424"/>
        <v>0</v>
      </c>
      <c r="N466" s="130">
        <v>3543.31</v>
      </c>
      <c r="O466" s="130">
        <v>3694</v>
      </c>
      <c r="P466" s="168"/>
      <c r="Q466" s="168">
        <f t="shared" si="421"/>
        <v>4534763.5710999994</v>
      </c>
      <c r="R466" s="168">
        <f t="shared" si="413"/>
        <v>4727618.1399999997</v>
      </c>
      <c r="S466" s="168">
        <f t="shared" si="422"/>
        <v>192854.5689000003</v>
      </c>
      <c r="T466" s="216" t="str">
        <f t="shared" si="399"/>
        <v>Monetizar</v>
      </c>
      <c r="U466" s="293"/>
      <c r="V466" s="394">
        <v>46077</v>
      </c>
      <c r="W466" s="393" t="s">
        <v>275</v>
      </c>
      <c r="X466" s="393" t="s">
        <v>275</v>
      </c>
      <c r="Y466" s="393" t="s">
        <v>276</v>
      </c>
      <c r="Z466" s="211">
        <f t="shared" si="425"/>
        <v>4727618.1399999997</v>
      </c>
      <c r="AA466" s="213">
        <f t="shared" si="426"/>
        <v>192854.5689000003</v>
      </c>
      <c r="AF466" s="112"/>
    </row>
    <row r="467" spans="2:32" outlineLevel="1">
      <c r="B467" s="125">
        <v>436</v>
      </c>
      <c r="C467" s="652" t="s">
        <v>119</v>
      </c>
      <c r="D467" s="153" t="s">
        <v>1257</v>
      </c>
      <c r="E467" s="126">
        <v>46073</v>
      </c>
      <c r="F467" s="126">
        <v>46133</v>
      </c>
      <c r="G467" s="126"/>
      <c r="H467" s="126"/>
      <c r="I467" s="127"/>
      <c r="J467" s="208">
        <f t="shared" ca="1" si="423"/>
        <v>0</v>
      </c>
      <c r="K467" s="218">
        <v>1616.1</v>
      </c>
      <c r="L467" s="218">
        <v>1611.5814794104137</v>
      </c>
      <c r="M467" s="129">
        <f t="shared" si="424"/>
        <v>4.51852058958616</v>
      </c>
      <c r="N467" s="130">
        <v>3543.31</v>
      </c>
      <c r="O467" s="130">
        <v>3694</v>
      </c>
      <c r="P467" s="168"/>
      <c r="Q467" s="168">
        <f t="shared" si="421"/>
        <v>5726343.2909999993</v>
      </c>
      <c r="R467" s="168">
        <f t="shared" si="413"/>
        <v>5953181.9849420683</v>
      </c>
      <c r="S467" s="168">
        <f t="shared" si="422"/>
        <v>226838.69394206908</v>
      </c>
      <c r="T467" s="216" t="str">
        <f t="shared" si="399"/>
        <v>Monetizar</v>
      </c>
      <c r="U467" s="293"/>
      <c r="V467" s="394">
        <v>46077</v>
      </c>
      <c r="W467" s="393" t="s">
        <v>275</v>
      </c>
      <c r="X467" s="393" t="s">
        <v>275</v>
      </c>
      <c r="Y467" s="393" t="s">
        <v>276</v>
      </c>
      <c r="Z467" s="211">
        <f t="shared" si="425"/>
        <v>5969873.3999999994</v>
      </c>
      <c r="AA467" s="213">
        <f t="shared" si="426"/>
        <v>243530.10900000017</v>
      </c>
      <c r="AF467" s="112"/>
    </row>
    <row r="468" spans="2:32" outlineLevel="1">
      <c r="B468" s="125">
        <v>437</v>
      </c>
      <c r="C468" s="652" t="s">
        <v>119</v>
      </c>
      <c r="D468" s="153" t="s">
        <v>1258</v>
      </c>
      <c r="E468" s="126">
        <v>46073</v>
      </c>
      <c r="F468" s="126">
        <v>46133</v>
      </c>
      <c r="G468" s="126"/>
      <c r="H468" s="126"/>
      <c r="I468" s="127"/>
      <c r="J468" s="208">
        <f t="shared" ca="1" si="423"/>
        <v>0</v>
      </c>
      <c r="K468" s="218">
        <v>20201.240000000002</v>
      </c>
      <c r="L468" s="218">
        <v>20144.758520589588</v>
      </c>
      <c r="M468" s="129">
        <f t="shared" si="424"/>
        <v>56.481479410413158</v>
      </c>
      <c r="N468" s="130">
        <v>3543.31</v>
      </c>
      <c r="O468" s="130">
        <v>3694</v>
      </c>
      <c r="P468" s="168"/>
      <c r="Q468" s="168">
        <f t="shared" si="421"/>
        <v>71579255.704400003</v>
      </c>
      <c r="R468" s="168">
        <f t="shared" si="413"/>
        <v>74414737.975057945</v>
      </c>
      <c r="S468" s="168">
        <f t="shared" si="422"/>
        <v>2835482.2706579417</v>
      </c>
      <c r="T468" s="216" t="str">
        <f t="shared" si="399"/>
        <v>Monetizar</v>
      </c>
      <c r="U468" s="293"/>
      <c r="V468" s="394">
        <v>46077</v>
      </c>
      <c r="W468" s="393" t="s">
        <v>275</v>
      </c>
      <c r="X468" s="393" t="s">
        <v>275</v>
      </c>
      <c r="Y468" s="393" t="s">
        <v>276</v>
      </c>
      <c r="Z468" s="211">
        <f t="shared" si="425"/>
        <v>74623380.560000002</v>
      </c>
      <c r="AA468" s="213">
        <f t="shared" si="426"/>
        <v>3044124.8555999994</v>
      </c>
      <c r="AF468" s="112"/>
    </row>
    <row r="469" spans="2:32" outlineLevel="1">
      <c r="B469" s="125">
        <v>438</v>
      </c>
      <c r="C469" s="120" t="s">
        <v>890</v>
      </c>
      <c r="D469" s="153" t="s">
        <v>1259</v>
      </c>
      <c r="E469" s="126">
        <v>46073</v>
      </c>
      <c r="F469" s="126">
        <v>46133</v>
      </c>
      <c r="G469" s="126"/>
      <c r="H469" s="126"/>
      <c r="I469" s="127"/>
      <c r="J469" s="208">
        <f t="shared" ca="1" si="423"/>
        <v>0</v>
      </c>
      <c r="K469" s="218">
        <v>178.5</v>
      </c>
      <c r="L469" s="218">
        <v>177.95721683682874</v>
      </c>
      <c r="M469" s="129">
        <f t="shared" si="424"/>
        <v>0.54278316317126496</v>
      </c>
      <c r="N469" s="130">
        <v>3543.31</v>
      </c>
      <c r="O469" s="130">
        <v>3694</v>
      </c>
      <c r="P469" s="168"/>
      <c r="Q469" s="168">
        <f t="shared" si="421"/>
        <v>632480.83499999996</v>
      </c>
      <c r="R469" s="168">
        <f t="shared" si="413"/>
        <v>657373.9589952454</v>
      </c>
      <c r="S469" s="168">
        <f t="shared" si="422"/>
        <v>24893.123995245434</v>
      </c>
      <c r="T469" s="216" t="str">
        <f t="shared" si="399"/>
        <v>Monetizar</v>
      </c>
      <c r="U469" s="293"/>
      <c r="V469" s="394">
        <v>46077</v>
      </c>
      <c r="W469" s="393" t="s">
        <v>275</v>
      </c>
      <c r="X469" s="393" t="s">
        <v>275</v>
      </c>
      <c r="Y469" s="393" t="s">
        <v>276</v>
      </c>
      <c r="Z469" s="211">
        <f t="shared" si="425"/>
        <v>659379</v>
      </c>
      <c r="AA469" s="213">
        <f t="shared" si="426"/>
        <v>26898.165000000037</v>
      </c>
      <c r="AF469" s="112"/>
    </row>
    <row r="470" spans="2:32" outlineLevel="1">
      <c r="B470" s="125">
        <v>439</v>
      </c>
      <c r="C470" s="120" t="s">
        <v>890</v>
      </c>
      <c r="D470" s="153" t="s">
        <v>1260</v>
      </c>
      <c r="E470" s="126">
        <v>46073</v>
      </c>
      <c r="F470" s="126">
        <v>46133</v>
      </c>
      <c r="G470" s="126"/>
      <c r="H470" s="126"/>
      <c r="I470" s="127"/>
      <c r="J470" s="208">
        <f t="shared" ca="1" si="423"/>
        <v>0</v>
      </c>
      <c r="K470" s="218">
        <v>1449.36</v>
      </c>
      <c r="L470" s="218">
        <v>1444.9527831631713</v>
      </c>
      <c r="M470" s="129">
        <f t="shared" si="424"/>
        <v>4.4072168368286384</v>
      </c>
      <c r="N470" s="130">
        <v>3543.31</v>
      </c>
      <c r="O470" s="130">
        <v>3694</v>
      </c>
      <c r="P470" s="168"/>
      <c r="Q470" s="168">
        <f t="shared" si="421"/>
        <v>5135531.7815999994</v>
      </c>
      <c r="R470" s="168">
        <f t="shared" si="413"/>
        <v>5337655.5810047546</v>
      </c>
      <c r="S470" s="168">
        <f t="shared" si="422"/>
        <v>202123.79940475523</v>
      </c>
      <c r="T470" s="216" t="str">
        <f t="shared" si="399"/>
        <v>Monetizar</v>
      </c>
      <c r="U470" s="293"/>
      <c r="V470" s="394">
        <v>46077</v>
      </c>
      <c r="W470" s="393" t="s">
        <v>275</v>
      </c>
      <c r="X470" s="393" t="s">
        <v>275</v>
      </c>
      <c r="Y470" s="393" t="s">
        <v>276</v>
      </c>
      <c r="Z470" s="211">
        <f t="shared" si="425"/>
        <v>5353935.84</v>
      </c>
      <c r="AA470" s="213">
        <f t="shared" si="426"/>
        <v>218404.05840000045</v>
      </c>
      <c r="AF470" s="112"/>
    </row>
    <row r="471" spans="2:32" outlineLevel="1">
      <c r="B471" s="125">
        <v>440</v>
      </c>
      <c r="C471" s="120" t="s">
        <v>117</v>
      </c>
      <c r="D471" s="153" t="s">
        <v>1272</v>
      </c>
      <c r="E471" s="126">
        <v>46078</v>
      </c>
      <c r="F471" s="126">
        <v>46138</v>
      </c>
      <c r="G471" s="126"/>
      <c r="H471" s="126"/>
      <c r="I471" s="127"/>
      <c r="J471" s="208">
        <f t="shared" ca="1" si="423"/>
        <v>0</v>
      </c>
      <c r="K471" s="134">
        <v>5426.4</v>
      </c>
      <c r="L471" s="218">
        <v>5425.9859903858578</v>
      </c>
      <c r="M471" s="129">
        <f t="shared" si="424"/>
        <v>0.41400961414183257</v>
      </c>
      <c r="N471" s="219">
        <v>3623.41</v>
      </c>
      <c r="O471" s="130">
        <v>3679.05</v>
      </c>
      <c r="P471" s="168"/>
      <c r="Q471" s="168">
        <f t="shared" si="421"/>
        <v>19662072.023999996</v>
      </c>
      <c r="R471" s="168">
        <f t="shared" ref="R471:R472" si="427">L471*O471</f>
        <v>19962473.75792909</v>
      </c>
      <c r="S471" s="168">
        <f t="shared" ref="S471:S472" si="428">R471-Q471</f>
        <v>300401.73392909393</v>
      </c>
      <c r="T471" s="216" t="str">
        <f t="shared" ref="T471:T472" si="429">IF(R471&lt;= Q471,"No Monetizar","Monetizar")</f>
        <v>Monetizar</v>
      </c>
      <c r="U471" s="293"/>
      <c r="V471" s="394">
        <v>46078</v>
      </c>
      <c r="W471" s="393" t="s">
        <v>275</v>
      </c>
      <c r="X471" s="393" t="s">
        <v>275</v>
      </c>
      <c r="Y471" s="393" t="s">
        <v>276</v>
      </c>
      <c r="Z471" s="211">
        <f t="shared" ref="Z471:Z472" si="430">K471*O471</f>
        <v>19963996.919999998</v>
      </c>
      <c r="AA471" s="213">
        <f t="shared" ref="AA471:AA472" si="431">Z471-Q471</f>
        <v>301924.89600000158</v>
      </c>
      <c r="AF471" s="112"/>
    </row>
    <row r="472" spans="2:32" outlineLevel="1">
      <c r="B472" s="125">
        <v>441</v>
      </c>
      <c r="C472" s="120" t="s">
        <v>117</v>
      </c>
      <c r="D472" s="153" t="s">
        <v>1273</v>
      </c>
      <c r="E472" s="126">
        <v>46078</v>
      </c>
      <c r="F472" s="126">
        <v>46138</v>
      </c>
      <c r="G472" s="126"/>
      <c r="H472" s="126"/>
      <c r="I472" s="127"/>
      <c r="J472" s="208">
        <f t="shared" ca="1" si="423"/>
        <v>0</v>
      </c>
      <c r="K472" s="134">
        <v>191177.73</v>
      </c>
      <c r="L472" s="218">
        <v>191163.14400961416</v>
      </c>
      <c r="M472" s="129">
        <f t="shared" si="424"/>
        <v>14.585990385850891</v>
      </c>
      <c r="N472" s="219">
        <v>3623.41</v>
      </c>
      <c r="O472" s="130">
        <v>3679.05</v>
      </c>
      <c r="P472" s="168"/>
      <c r="Q472" s="168">
        <f t="shared" si="421"/>
        <v>692715298.65929997</v>
      </c>
      <c r="R472" s="168">
        <f t="shared" si="427"/>
        <v>703298764.96857107</v>
      </c>
      <c r="S472" s="168">
        <f t="shared" si="428"/>
        <v>10583466.309271097</v>
      </c>
      <c r="T472" s="216" t="str">
        <f t="shared" si="429"/>
        <v>Monetizar</v>
      </c>
      <c r="U472" s="293"/>
      <c r="V472" s="394">
        <v>46078</v>
      </c>
      <c r="W472" s="393" t="s">
        <v>275</v>
      </c>
      <c r="X472" s="393" t="s">
        <v>275</v>
      </c>
      <c r="Y472" s="393" t="s">
        <v>276</v>
      </c>
      <c r="Z472" s="211">
        <f t="shared" si="430"/>
        <v>703352427.55650008</v>
      </c>
      <c r="AA472" s="213">
        <f t="shared" si="431"/>
        <v>10637128.897200108</v>
      </c>
      <c r="AF472" s="112"/>
    </row>
    <row r="473" spans="2:32" ht="30" outlineLevel="1">
      <c r="B473" s="125">
        <v>442</v>
      </c>
      <c r="C473" s="120" t="s">
        <v>284</v>
      </c>
      <c r="D473" s="153" t="s">
        <v>1274</v>
      </c>
      <c r="E473" s="126">
        <v>46078</v>
      </c>
      <c r="F473" s="126">
        <v>46138</v>
      </c>
      <c r="G473" s="126"/>
      <c r="H473" s="126"/>
      <c r="I473" s="127"/>
      <c r="J473" s="208">
        <f t="shared" ref="J473:J480" ca="1" si="432">IFERROR(IF(TODAY()&gt;=E473,(TODAY()-E473)/I473,0),0)</f>
        <v>0</v>
      </c>
      <c r="K473" s="134">
        <v>749.7</v>
      </c>
      <c r="L473" s="134">
        <v>749.7</v>
      </c>
      <c r="M473" s="129">
        <f t="shared" si="424"/>
        <v>0</v>
      </c>
      <c r="N473" s="219">
        <v>3584.85</v>
      </c>
      <c r="O473" s="130">
        <v>3677.4</v>
      </c>
      <c r="P473" s="168"/>
      <c r="Q473" s="168">
        <f t="shared" ref="Q473:Q483" si="433">K473*N473</f>
        <v>2687562.0449999999</v>
      </c>
      <c r="R473" s="168">
        <f t="shared" ref="R473:R483" si="434">L473*O473</f>
        <v>2756946.7800000003</v>
      </c>
      <c r="S473" s="168">
        <f t="shared" ref="S473:S483" si="435">R473-Q473</f>
        <v>69384.735000000335</v>
      </c>
      <c r="T473" s="216" t="str">
        <f t="shared" ref="T473:T483" si="436">IF(R473&lt;= Q473,"No Monetizar","Monetizar")</f>
        <v>Monetizar</v>
      </c>
      <c r="U473" s="293"/>
      <c r="V473" s="394">
        <v>46078</v>
      </c>
      <c r="W473" s="393" t="s">
        <v>275</v>
      </c>
      <c r="X473" s="393" t="s">
        <v>275</v>
      </c>
      <c r="Y473" s="393" t="s">
        <v>276</v>
      </c>
      <c r="Z473" s="211">
        <f t="shared" ref="Z473:Z474" si="437">K473*O473</f>
        <v>2756946.7800000003</v>
      </c>
      <c r="AA473" s="213">
        <f t="shared" ref="AA473:AA474" si="438">Z473-Q473</f>
        <v>69384.735000000335</v>
      </c>
      <c r="AF473" s="112"/>
    </row>
    <row r="474" spans="2:32" ht="30" outlineLevel="1">
      <c r="B474" s="125">
        <v>443</v>
      </c>
      <c r="C474" s="120" t="s">
        <v>284</v>
      </c>
      <c r="D474" s="153" t="s">
        <v>1275</v>
      </c>
      <c r="E474" s="126">
        <v>46078</v>
      </c>
      <c r="F474" s="126">
        <v>46138</v>
      </c>
      <c r="G474" s="126"/>
      <c r="H474" s="126"/>
      <c r="I474" s="127"/>
      <c r="J474" s="208">
        <f t="shared" ca="1" si="432"/>
        <v>0</v>
      </c>
      <c r="K474" s="134">
        <v>13860.56</v>
      </c>
      <c r="L474" s="134">
        <v>13860.56</v>
      </c>
      <c r="M474" s="129">
        <f t="shared" si="424"/>
        <v>0</v>
      </c>
      <c r="N474" s="219">
        <v>3584.85</v>
      </c>
      <c r="O474" s="130">
        <v>3677.4</v>
      </c>
      <c r="P474" s="168"/>
      <c r="Q474" s="168">
        <f t="shared" si="433"/>
        <v>49688028.515999995</v>
      </c>
      <c r="R474" s="168">
        <f t="shared" si="434"/>
        <v>50970823.343999997</v>
      </c>
      <c r="S474" s="168">
        <f t="shared" si="435"/>
        <v>1282794.8280000016</v>
      </c>
      <c r="T474" s="216" t="str">
        <f t="shared" si="436"/>
        <v>Monetizar</v>
      </c>
      <c r="U474" s="293"/>
      <c r="V474" s="394">
        <v>46078</v>
      </c>
      <c r="W474" s="393" t="s">
        <v>275</v>
      </c>
      <c r="X474" s="393" t="s">
        <v>275</v>
      </c>
      <c r="Y474" s="393" t="s">
        <v>276</v>
      </c>
      <c r="Z474" s="211">
        <f t="shared" si="437"/>
        <v>50970823.343999997</v>
      </c>
      <c r="AA474" s="213">
        <f t="shared" si="438"/>
        <v>1282794.8280000016</v>
      </c>
      <c r="AF474" s="112"/>
    </row>
    <row r="475" spans="2:32" outlineLevel="1">
      <c r="B475" s="125">
        <v>444</v>
      </c>
      <c r="C475" s="120" t="s">
        <v>265</v>
      </c>
      <c r="D475" s="153" t="s">
        <v>1201</v>
      </c>
      <c r="E475" s="126">
        <v>46071</v>
      </c>
      <c r="F475" s="126">
        <v>46131</v>
      </c>
      <c r="G475" s="126"/>
      <c r="H475" s="126"/>
      <c r="I475" s="127"/>
      <c r="J475" s="208">
        <f t="shared" ca="1" si="432"/>
        <v>0</v>
      </c>
      <c r="K475" s="218">
        <v>612.48</v>
      </c>
      <c r="L475" s="218">
        <v>612.48</v>
      </c>
      <c r="M475" s="661">
        <f t="shared" si="424"/>
        <v>0</v>
      </c>
      <c r="N475" s="219">
        <v>3541.41</v>
      </c>
      <c r="O475" s="219">
        <v>3645.44</v>
      </c>
      <c r="P475" s="662"/>
      <c r="Q475" s="662">
        <f t="shared" si="433"/>
        <v>2169042.7968000001</v>
      </c>
      <c r="R475" s="662">
        <f t="shared" si="434"/>
        <v>2232759.0912000001</v>
      </c>
      <c r="S475" s="662">
        <f t="shared" si="435"/>
        <v>63716.294400000013</v>
      </c>
      <c r="T475" s="663" t="str">
        <f t="shared" si="436"/>
        <v>Monetizar</v>
      </c>
      <c r="U475" s="293"/>
      <c r="V475" s="394">
        <v>46079</v>
      </c>
      <c r="W475" s="393" t="s">
        <v>275</v>
      </c>
      <c r="X475" s="393" t="s">
        <v>275</v>
      </c>
      <c r="Y475" s="393" t="s">
        <v>276</v>
      </c>
      <c r="Z475" s="211">
        <f t="shared" ref="Z475:Z480" si="439">K475*O475</f>
        <v>2232759.0912000001</v>
      </c>
      <c r="AA475" s="213">
        <f t="shared" ref="AA475:AA480" si="440">Z475-Q475</f>
        <v>63716.294400000013</v>
      </c>
      <c r="AF475" s="112"/>
    </row>
    <row r="476" spans="2:32" outlineLevel="1">
      <c r="B476" s="125">
        <v>445</v>
      </c>
      <c r="C476" s="120" t="s">
        <v>265</v>
      </c>
      <c r="D476" s="153" t="s">
        <v>1202</v>
      </c>
      <c r="E476" s="126">
        <v>46071</v>
      </c>
      <c r="F476" s="126">
        <v>46131</v>
      </c>
      <c r="G476" s="126"/>
      <c r="H476" s="126"/>
      <c r="I476" s="127"/>
      <c r="J476" s="208">
        <f t="shared" ca="1" si="432"/>
        <v>0</v>
      </c>
      <c r="K476" s="218">
        <v>11136.08</v>
      </c>
      <c r="L476" s="218">
        <v>11136.08</v>
      </c>
      <c r="M476" s="661">
        <f t="shared" si="424"/>
        <v>0</v>
      </c>
      <c r="N476" s="219">
        <v>3541.41</v>
      </c>
      <c r="O476" s="219">
        <v>3645.44</v>
      </c>
      <c r="P476" s="662"/>
      <c r="Q476" s="662">
        <f t="shared" si="433"/>
        <v>39437425.072799996</v>
      </c>
      <c r="R476" s="662">
        <f t="shared" si="434"/>
        <v>40595911.475199997</v>
      </c>
      <c r="S476" s="662">
        <f t="shared" si="435"/>
        <v>1158486.4024000019</v>
      </c>
      <c r="T476" s="663" t="str">
        <f t="shared" si="436"/>
        <v>Monetizar</v>
      </c>
      <c r="U476" s="293"/>
      <c r="V476" s="394">
        <v>46079</v>
      </c>
      <c r="W476" s="393" t="s">
        <v>275</v>
      </c>
      <c r="X476" s="393" t="s">
        <v>275</v>
      </c>
      <c r="Y476" s="393" t="s">
        <v>276</v>
      </c>
      <c r="Z476" s="211">
        <f t="shared" si="439"/>
        <v>40595911.475199997</v>
      </c>
      <c r="AA476" s="213">
        <f t="shared" si="440"/>
        <v>1158486.4024000019</v>
      </c>
      <c r="AF476" s="112"/>
    </row>
    <row r="477" spans="2:32" outlineLevel="1">
      <c r="B477" s="125">
        <v>446</v>
      </c>
      <c r="C477" s="120" t="s">
        <v>121</v>
      </c>
      <c r="D477" s="153" t="s">
        <v>1255</v>
      </c>
      <c r="E477" s="126">
        <v>46073</v>
      </c>
      <c r="F477" s="126">
        <v>46133</v>
      </c>
      <c r="G477" s="126"/>
      <c r="H477" s="126"/>
      <c r="I477" s="127"/>
      <c r="J477" s="208">
        <f t="shared" ca="1" si="432"/>
        <v>0</v>
      </c>
      <c r="K477" s="218">
        <v>12852</v>
      </c>
      <c r="L477" s="218">
        <v>12852</v>
      </c>
      <c r="M477" s="661">
        <f t="shared" si="424"/>
        <v>0</v>
      </c>
      <c r="N477" s="219">
        <v>3541.41</v>
      </c>
      <c r="O477" s="219">
        <v>3645.44</v>
      </c>
      <c r="P477" s="662"/>
      <c r="Q477" s="662">
        <f t="shared" si="433"/>
        <v>45514201.32</v>
      </c>
      <c r="R477" s="662">
        <f t="shared" si="434"/>
        <v>46851194.880000003</v>
      </c>
      <c r="S477" s="662">
        <f t="shared" si="435"/>
        <v>1336993.5600000024</v>
      </c>
      <c r="T477" s="663" t="str">
        <f t="shared" si="436"/>
        <v>Monetizar</v>
      </c>
      <c r="U477" s="293"/>
      <c r="V477" s="394">
        <v>46079</v>
      </c>
      <c r="W477" s="393" t="s">
        <v>275</v>
      </c>
      <c r="X477" s="393" t="s">
        <v>275</v>
      </c>
      <c r="Y477" s="393" t="s">
        <v>276</v>
      </c>
      <c r="Z477" s="211">
        <f t="shared" si="439"/>
        <v>46851194.880000003</v>
      </c>
      <c r="AA477" s="213">
        <f t="shared" si="440"/>
        <v>1336993.5600000024</v>
      </c>
      <c r="AF477" s="112"/>
    </row>
    <row r="478" spans="2:32" outlineLevel="1">
      <c r="B478" s="125">
        <v>447</v>
      </c>
      <c r="C478" s="120" t="s">
        <v>121</v>
      </c>
      <c r="D478" s="153" t="s">
        <v>1256</v>
      </c>
      <c r="E478" s="126">
        <v>46073</v>
      </c>
      <c r="F478" s="126">
        <v>46133</v>
      </c>
      <c r="G478" s="126"/>
      <c r="H478" s="126"/>
      <c r="I478" s="127"/>
      <c r="J478" s="208">
        <f t="shared" ca="1" si="432"/>
        <v>0</v>
      </c>
      <c r="K478" s="218">
        <v>319895.88</v>
      </c>
      <c r="L478" s="218">
        <v>319895.88</v>
      </c>
      <c r="M478" s="661">
        <f t="shared" si="424"/>
        <v>0</v>
      </c>
      <c r="N478" s="219">
        <v>3541.41</v>
      </c>
      <c r="O478" s="219">
        <v>3645.44</v>
      </c>
      <c r="P478" s="662"/>
      <c r="Q478" s="662">
        <f t="shared" si="433"/>
        <v>1132882468.3908</v>
      </c>
      <c r="R478" s="662">
        <f t="shared" si="434"/>
        <v>1166161236.7872</v>
      </c>
      <c r="S478" s="662">
        <f t="shared" si="435"/>
        <v>33278768.396399975</v>
      </c>
      <c r="T478" s="663" t="str">
        <f t="shared" si="436"/>
        <v>Monetizar</v>
      </c>
      <c r="U478" s="293"/>
      <c r="V478" s="394">
        <v>46079</v>
      </c>
      <c r="W478" s="393" t="s">
        <v>275</v>
      </c>
      <c r="X478" s="393" t="s">
        <v>275</v>
      </c>
      <c r="Y478" s="393" t="s">
        <v>276</v>
      </c>
      <c r="Z478" s="211">
        <f t="shared" si="439"/>
        <v>1166161236.7872</v>
      </c>
      <c r="AA478" s="213">
        <f t="shared" si="440"/>
        <v>33278768.396399975</v>
      </c>
      <c r="AF478" s="112"/>
    </row>
    <row r="479" spans="2:32" outlineLevel="1">
      <c r="B479" s="125">
        <v>448</v>
      </c>
      <c r="C479" s="120" t="s">
        <v>115</v>
      </c>
      <c r="D479" s="153" t="s">
        <v>1267</v>
      </c>
      <c r="E479" s="126">
        <v>46078</v>
      </c>
      <c r="F479" s="126">
        <v>46138</v>
      </c>
      <c r="G479" s="126"/>
      <c r="H479" s="126"/>
      <c r="I479" s="127"/>
      <c r="J479" s="208">
        <f t="shared" ca="1" si="432"/>
        <v>0</v>
      </c>
      <c r="K479" s="218">
        <v>825.96</v>
      </c>
      <c r="L479" s="218">
        <v>825.16418216879822</v>
      </c>
      <c r="M479" s="661">
        <f t="shared" si="424"/>
        <v>0.79581783120181626</v>
      </c>
      <c r="N479" s="219">
        <v>3549.42</v>
      </c>
      <c r="O479" s="219">
        <v>3645.44</v>
      </c>
      <c r="P479" s="662"/>
      <c r="Q479" s="662">
        <f t="shared" si="433"/>
        <v>2931678.9432000001</v>
      </c>
      <c r="R479" s="662">
        <f t="shared" si="434"/>
        <v>3008086.5162454238</v>
      </c>
      <c r="S479" s="662">
        <f t="shared" si="435"/>
        <v>76407.57304542372</v>
      </c>
      <c r="T479" s="663" t="str">
        <f t="shared" si="436"/>
        <v>Monetizar</v>
      </c>
      <c r="U479" s="293"/>
      <c r="V479" s="394">
        <v>46079</v>
      </c>
      <c r="W479" s="393" t="s">
        <v>275</v>
      </c>
      <c r="X479" s="393" t="s">
        <v>275</v>
      </c>
      <c r="Y479" s="393" t="s">
        <v>276</v>
      </c>
      <c r="Z479" s="211">
        <f t="shared" si="439"/>
        <v>3010987.6224000002</v>
      </c>
      <c r="AA479" s="213">
        <f t="shared" si="440"/>
        <v>79308.67920000013</v>
      </c>
      <c r="AF479" s="112"/>
    </row>
    <row r="480" spans="2:32" outlineLevel="1">
      <c r="B480" s="125">
        <v>449</v>
      </c>
      <c r="C480" s="120" t="s">
        <v>115</v>
      </c>
      <c r="D480" s="153" t="s">
        <v>1268</v>
      </c>
      <c r="E480" s="126">
        <v>46078</v>
      </c>
      <c r="F480" s="126">
        <v>46138</v>
      </c>
      <c r="G480" s="126"/>
      <c r="H480" s="126"/>
      <c r="I480" s="127"/>
      <c r="J480" s="208">
        <f t="shared" ca="1" si="432"/>
        <v>0</v>
      </c>
      <c r="K480" s="218">
        <v>13704.3</v>
      </c>
      <c r="L480" s="218">
        <v>13691.095817831203</v>
      </c>
      <c r="M480" s="661">
        <f t="shared" si="424"/>
        <v>13.204182168796251</v>
      </c>
      <c r="N480" s="219">
        <v>3549.42</v>
      </c>
      <c r="O480" s="219">
        <v>3645.44</v>
      </c>
      <c r="P480" s="662"/>
      <c r="Q480" s="662">
        <f t="shared" si="433"/>
        <v>48642316.505999997</v>
      </c>
      <c r="R480" s="662">
        <f t="shared" si="434"/>
        <v>49910068.338154584</v>
      </c>
      <c r="S480" s="662">
        <f t="shared" si="435"/>
        <v>1267751.8321545869</v>
      </c>
      <c r="T480" s="663" t="str">
        <f t="shared" si="436"/>
        <v>Monetizar</v>
      </c>
      <c r="U480" s="293"/>
      <c r="V480" s="394">
        <v>46079</v>
      </c>
      <c r="W480" s="393" t="s">
        <v>275</v>
      </c>
      <c r="X480" s="393" t="s">
        <v>275</v>
      </c>
      <c r="Y480" s="393" t="s">
        <v>276</v>
      </c>
      <c r="Z480" s="211">
        <f t="shared" si="439"/>
        <v>49958203.391999997</v>
      </c>
      <c r="AA480" s="213">
        <f t="shared" si="440"/>
        <v>1315886.8859999999</v>
      </c>
      <c r="AF480" s="112"/>
    </row>
    <row r="481" spans="2:32" outlineLevel="1">
      <c r="B481" s="125">
        <v>450</v>
      </c>
      <c r="C481" s="120" t="s">
        <v>920</v>
      </c>
      <c r="D481" s="153" t="s">
        <v>1269</v>
      </c>
      <c r="E481" s="126">
        <v>46078</v>
      </c>
      <c r="F481" s="126">
        <v>46138</v>
      </c>
      <c r="G481" s="126"/>
      <c r="H481" s="126"/>
      <c r="I481" s="127"/>
      <c r="J481" s="208">
        <f t="shared" ref="J481:J488" ca="1" si="441">IFERROR(IF(TODAY()&gt;=E481,(TODAY()-E481)/I481,0),0)</f>
        <v>0</v>
      </c>
      <c r="K481" s="218">
        <f>800-320</f>
        <v>480</v>
      </c>
      <c r="L481" s="218">
        <f>800-320</f>
        <v>480</v>
      </c>
      <c r="M481" s="661">
        <f t="shared" si="424"/>
        <v>0</v>
      </c>
      <c r="N481" s="219">
        <v>3580.82</v>
      </c>
      <c r="O481" s="219">
        <v>3645.02</v>
      </c>
      <c r="P481" s="662"/>
      <c r="Q481" s="662">
        <f t="shared" si="433"/>
        <v>1718793.6</v>
      </c>
      <c r="R481" s="662">
        <f t="shared" si="434"/>
        <v>1749609.6</v>
      </c>
      <c r="S481" s="662">
        <f t="shared" si="435"/>
        <v>30816</v>
      </c>
      <c r="T481" s="663" t="str">
        <f t="shared" si="436"/>
        <v>Monetizar</v>
      </c>
      <c r="U481" s="293"/>
      <c r="V481" s="394">
        <v>46079</v>
      </c>
      <c r="W481" s="393" t="s">
        <v>275</v>
      </c>
      <c r="X481" s="393" t="s">
        <v>275</v>
      </c>
      <c r="Y481" s="393" t="s">
        <v>276</v>
      </c>
      <c r="Z481" s="211">
        <f t="shared" ref="Z481:Z483" si="442">K481*O481</f>
        <v>1749609.6</v>
      </c>
      <c r="AA481" s="213">
        <f t="shared" ref="AA481:AA483" si="443">Z481-Q481</f>
        <v>30816</v>
      </c>
      <c r="AF481" s="112"/>
    </row>
    <row r="482" spans="2:32" outlineLevel="1">
      <c r="B482" s="125">
        <v>451</v>
      </c>
      <c r="C482" s="120" t="s">
        <v>920</v>
      </c>
      <c r="D482" s="153" t="s">
        <v>1270</v>
      </c>
      <c r="E482" s="126">
        <v>46078</v>
      </c>
      <c r="F482" s="126">
        <v>46138</v>
      </c>
      <c r="G482" s="126"/>
      <c r="H482" s="126"/>
      <c r="I482" s="127"/>
      <c r="J482" s="208">
        <f t="shared" ca="1" si="441"/>
        <v>0</v>
      </c>
      <c r="K482" s="218">
        <v>2199.9499999999998</v>
      </c>
      <c r="L482" s="218">
        <v>2199.9499999999998</v>
      </c>
      <c r="M482" s="661">
        <f t="shared" si="424"/>
        <v>0</v>
      </c>
      <c r="N482" s="219">
        <v>3580.82</v>
      </c>
      <c r="O482" s="219">
        <v>3645.02</v>
      </c>
      <c r="P482" s="662"/>
      <c r="Q482" s="662">
        <f t="shared" si="433"/>
        <v>7877624.9589999998</v>
      </c>
      <c r="R482" s="662">
        <f t="shared" si="434"/>
        <v>8018861.7489999989</v>
      </c>
      <c r="S482" s="662">
        <f t="shared" si="435"/>
        <v>141236.78999999911</v>
      </c>
      <c r="T482" s="663" t="str">
        <f t="shared" si="436"/>
        <v>Monetizar</v>
      </c>
      <c r="U482" s="293"/>
      <c r="V482" s="394">
        <v>46079</v>
      </c>
      <c r="W482" s="393" t="s">
        <v>275</v>
      </c>
      <c r="X482" s="393" t="s">
        <v>275</v>
      </c>
      <c r="Y482" s="393" t="s">
        <v>276</v>
      </c>
      <c r="Z482" s="211">
        <f t="shared" si="442"/>
        <v>8018861.7489999989</v>
      </c>
      <c r="AA482" s="213">
        <f t="shared" si="443"/>
        <v>141236.78999999911</v>
      </c>
      <c r="AF482" s="112"/>
    </row>
    <row r="483" spans="2:32" outlineLevel="1">
      <c r="B483" s="125">
        <v>452</v>
      </c>
      <c r="C483" s="120" t="s">
        <v>920</v>
      </c>
      <c r="D483" s="153" t="s">
        <v>1271</v>
      </c>
      <c r="E483" s="126">
        <v>46078</v>
      </c>
      <c r="F483" s="126">
        <v>46138</v>
      </c>
      <c r="G483" s="126"/>
      <c r="H483" s="126"/>
      <c r="I483" s="127"/>
      <c r="J483" s="208">
        <f t="shared" ca="1" si="441"/>
        <v>0</v>
      </c>
      <c r="K483" s="218">
        <v>329</v>
      </c>
      <c r="L483" s="218">
        <v>329</v>
      </c>
      <c r="M483" s="661">
        <f t="shared" si="424"/>
        <v>0</v>
      </c>
      <c r="N483" s="219">
        <v>3580.82</v>
      </c>
      <c r="O483" s="219">
        <v>3645.02</v>
      </c>
      <c r="P483" s="662"/>
      <c r="Q483" s="662">
        <f t="shared" si="433"/>
        <v>1178089.78</v>
      </c>
      <c r="R483" s="662">
        <f t="shared" si="434"/>
        <v>1199211.58</v>
      </c>
      <c r="S483" s="662">
        <f t="shared" si="435"/>
        <v>21121.800000000047</v>
      </c>
      <c r="T483" s="663" t="str">
        <f t="shared" si="436"/>
        <v>Monetizar</v>
      </c>
      <c r="U483" s="293"/>
      <c r="V483" s="394">
        <v>46079</v>
      </c>
      <c r="W483" s="393" t="s">
        <v>275</v>
      </c>
      <c r="X483" s="393" t="s">
        <v>275</v>
      </c>
      <c r="Y483" s="393" t="s">
        <v>276</v>
      </c>
      <c r="Z483" s="211">
        <f t="shared" si="442"/>
        <v>1199211.58</v>
      </c>
      <c r="AA483" s="213">
        <f t="shared" si="443"/>
        <v>21121.800000000047</v>
      </c>
      <c r="AF483" s="112"/>
    </row>
    <row r="484" spans="2:32" outlineLevel="1">
      <c r="B484" s="125">
        <v>453</v>
      </c>
      <c r="C484" s="120" t="s">
        <v>279</v>
      </c>
      <c r="D484" s="153" t="s">
        <v>1321</v>
      </c>
      <c r="E484" s="126">
        <v>46079</v>
      </c>
      <c r="F484" s="126">
        <v>46139</v>
      </c>
      <c r="G484" s="126"/>
      <c r="H484" s="126"/>
      <c r="I484" s="127"/>
      <c r="J484" s="208">
        <f t="shared" ca="1" si="441"/>
        <v>0</v>
      </c>
      <c r="K484" s="134">
        <v>987.19</v>
      </c>
      <c r="L484" s="134">
        <v>986.3409411243266</v>
      </c>
      <c r="M484" s="661">
        <f t="shared" si="424"/>
        <v>0.84905887567344962</v>
      </c>
      <c r="N484" s="219">
        <v>3584.85</v>
      </c>
      <c r="O484" s="219">
        <v>3731</v>
      </c>
      <c r="P484" s="168"/>
      <c r="Q484" s="662">
        <f t="shared" ref="Q484:Q489" si="444">K484*N484</f>
        <v>3538928.0715000001</v>
      </c>
      <c r="R484" s="662">
        <f t="shared" ref="R484:R488" si="445">L484*O484</f>
        <v>3680038.0513348626</v>
      </c>
      <c r="S484" s="662">
        <f t="shared" ref="S484:S489" si="446">R484-Q484</f>
        <v>141109.97983486252</v>
      </c>
      <c r="T484" s="663" t="str">
        <f t="shared" ref="T484:T489" si="447">IF(R484&lt;= Q484,"No Monetizar","Monetizar")</f>
        <v>Monetizar</v>
      </c>
      <c r="U484" s="293"/>
      <c r="V484" s="394">
        <v>46080</v>
      </c>
      <c r="W484" s="393" t="s">
        <v>275</v>
      </c>
      <c r="X484" s="393" t="s">
        <v>275</v>
      </c>
      <c r="Y484" s="393" t="s">
        <v>276</v>
      </c>
      <c r="Z484" s="211">
        <f t="shared" ref="Z484:Z489" si="448">K484*O484</f>
        <v>3683205.89</v>
      </c>
      <c r="AA484" s="213">
        <f t="shared" ref="AA484:AA489" si="449">Z484-Q484</f>
        <v>144277.81850000005</v>
      </c>
      <c r="AF484" s="112"/>
    </row>
    <row r="485" spans="2:32" outlineLevel="1">
      <c r="B485" s="125">
        <v>454</v>
      </c>
      <c r="C485" s="120" t="s">
        <v>279</v>
      </c>
      <c r="D485" s="153" t="s">
        <v>1322</v>
      </c>
      <c r="E485" s="126">
        <v>46079</v>
      </c>
      <c r="F485" s="126">
        <v>46139</v>
      </c>
      <c r="G485" s="126"/>
      <c r="H485" s="126"/>
      <c r="I485" s="127"/>
      <c r="J485" s="208">
        <f t="shared" ca="1" si="441"/>
        <v>0</v>
      </c>
      <c r="K485" s="134">
        <v>16453.12</v>
      </c>
      <c r="L485" s="134">
        <v>16438.969058875675</v>
      </c>
      <c r="M485" s="661">
        <f t="shared" si="424"/>
        <v>14.150941124324163</v>
      </c>
      <c r="N485" s="219">
        <v>3584.85</v>
      </c>
      <c r="O485" s="219">
        <v>3731</v>
      </c>
      <c r="P485" s="168"/>
      <c r="Q485" s="662">
        <f t="shared" si="444"/>
        <v>58981967.231999993</v>
      </c>
      <c r="R485" s="662">
        <f t="shared" si="445"/>
        <v>61333793.558665141</v>
      </c>
      <c r="S485" s="662">
        <f t="shared" si="446"/>
        <v>2351826.3266651481</v>
      </c>
      <c r="T485" s="663" t="str">
        <f t="shared" si="447"/>
        <v>Monetizar</v>
      </c>
      <c r="U485" s="293"/>
      <c r="V485" s="394">
        <v>46080</v>
      </c>
      <c r="W485" s="393" t="s">
        <v>275</v>
      </c>
      <c r="X485" s="393" t="s">
        <v>275</v>
      </c>
      <c r="Y485" s="393" t="s">
        <v>276</v>
      </c>
      <c r="Z485" s="211">
        <f t="shared" si="448"/>
        <v>61386590.719999999</v>
      </c>
      <c r="AA485" s="213">
        <f t="shared" si="449"/>
        <v>2404623.4880000055</v>
      </c>
      <c r="AF485" s="112"/>
    </row>
    <row r="486" spans="2:32" outlineLevel="1">
      <c r="B486" s="125">
        <v>455</v>
      </c>
      <c r="C486" s="120" t="s">
        <v>1323</v>
      </c>
      <c r="D486" s="153" t="s">
        <v>1324</v>
      </c>
      <c r="E486" s="126">
        <v>46079</v>
      </c>
      <c r="F486" s="126">
        <v>46139</v>
      </c>
      <c r="G486" s="126"/>
      <c r="H486" s="126"/>
      <c r="I486" s="127"/>
      <c r="J486" s="208">
        <f t="shared" ca="1" si="441"/>
        <v>0</v>
      </c>
      <c r="K486" s="134">
        <v>574.4</v>
      </c>
      <c r="L486" s="134">
        <v>573.19937018258395</v>
      </c>
      <c r="M486" s="661">
        <f t="shared" si="424"/>
        <v>1.2006298174160293</v>
      </c>
      <c r="N486" s="219">
        <v>3646.66</v>
      </c>
      <c r="O486" s="219">
        <v>3731</v>
      </c>
      <c r="P486" s="168"/>
      <c r="Q486" s="662">
        <f t="shared" si="444"/>
        <v>2094641.5039999997</v>
      </c>
      <c r="R486" s="662">
        <f t="shared" si="445"/>
        <v>2138606.8501512208</v>
      </c>
      <c r="S486" s="662">
        <f t="shared" si="446"/>
        <v>43965.346151221078</v>
      </c>
      <c r="T486" s="663" t="str">
        <f t="shared" si="447"/>
        <v>Monetizar</v>
      </c>
      <c r="U486" s="293"/>
      <c r="V486" s="394">
        <v>46080</v>
      </c>
      <c r="W486" s="393" t="s">
        <v>275</v>
      </c>
      <c r="X486" s="393" t="s">
        <v>275</v>
      </c>
      <c r="Y486" s="393" t="s">
        <v>276</v>
      </c>
      <c r="Z486" s="211">
        <f t="shared" si="448"/>
        <v>2143086.4</v>
      </c>
      <c r="AA486" s="213">
        <f t="shared" si="449"/>
        <v>48444.896000000183</v>
      </c>
      <c r="AF486" s="112"/>
    </row>
    <row r="487" spans="2:32" outlineLevel="1">
      <c r="B487" s="125">
        <v>456</v>
      </c>
      <c r="C487" s="120" t="s">
        <v>1323</v>
      </c>
      <c r="D487" s="153" t="s">
        <v>1325</v>
      </c>
      <c r="E487" s="126">
        <v>46079</v>
      </c>
      <c r="F487" s="126">
        <v>46139</v>
      </c>
      <c r="G487" s="126"/>
      <c r="H487" s="126"/>
      <c r="I487" s="127"/>
      <c r="J487" s="208">
        <f t="shared" ca="1" si="441"/>
        <v>0</v>
      </c>
      <c r="K487" s="134">
        <v>1626.26</v>
      </c>
      <c r="L487" s="134">
        <v>1622.8607377317699</v>
      </c>
      <c r="M487" s="661">
        <f t="shared" si="424"/>
        <v>3.3992622682301317</v>
      </c>
      <c r="N487" s="219">
        <v>3646.66</v>
      </c>
      <c r="O487" s="219">
        <v>3731</v>
      </c>
      <c r="P487" s="168"/>
      <c r="Q487" s="662">
        <f t="shared" si="444"/>
        <v>5930417.2916000001</v>
      </c>
      <c r="R487" s="662">
        <f t="shared" si="445"/>
        <v>6054893.4124772334</v>
      </c>
      <c r="S487" s="662">
        <f t="shared" si="446"/>
        <v>124476.12087723333</v>
      </c>
      <c r="T487" s="663" t="str">
        <f t="shared" si="447"/>
        <v>Monetizar</v>
      </c>
      <c r="U487" s="293"/>
      <c r="V487" s="394">
        <v>46080</v>
      </c>
      <c r="W487" s="393" t="s">
        <v>275</v>
      </c>
      <c r="X487" s="393" t="s">
        <v>275</v>
      </c>
      <c r="Y487" s="393" t="s">
        <v>276</v>
      </c>
      <c r="Z487" s="211">
        <f t="shared" si="448"/>
        <v>6067576.0599999996</v>
      </c>
      <c r="AA487" s="213">
        <f t="shared" si="449"/>
        <v>137158.76839999948</v>
      </c>
      <c r="AF487" s="112"/>
    </row>
    <row r="488" spans="2:32" outlineLevel="1">
      <c r="B488" s="125">
        <v>457</v>
      </c>
      <c r="C488" s="120" t="s">
        <v>1323</v>
      </c>
      <c r="D488" s="153" t="s">
        <v>1326</v>
      </c>
      <c r="E488" s="126">
        <v>46079</v>
      </c>
      <c r="F488" s="126">
        <v>46139</v>
      </c>
      <c r="G488" s="126"/>
      <c r="H488" s="126"/>
      <c r="I488" s="127"/>
      <c r="J488" s="208">
        <f t="shared" ca="1" si="441"/>
        <v>0</v>
      </c>
      <c r="K488" s="134">
        <v>2530.87</v>
      </c>
      <c r="L488" s="134">
        <v>2525.5798920856473</v>
      </c>
      <c r="M488" s="661">
        <f t="shared" si="424"/>
        <v>5.2901079143525749</v>
      </c>
      <c r="N488" s="219">
        <v>3646.66</v>
      </c>
      <c r="O488" s="219">
        <v>3731</v>
      </c>
      <c r="P488" s="168"/>
      <c r="Q488" s="662">
        <f t="shared" si="444"/>
        <v>9229222.394199999</v>
      </c>
      <c r="R488" s="662">
        <f t="shared" si="445"/>
        <v>9422938.5773715507</v>
      </c>
      <c r="S488" s="662">
        <f t="shared" si="446"/>
        <v>193716.18317155167</v>
      </c>
      <c r="T488" s="663" t="str">
        <f t="shared" si="447"/>
        <v>Monetizar</v>
      </c>
      <c r="U488" s="293"/>
      <c r="V488" s="394">
        <v>46080</v>
      </c>
      <c r="W488" s="393" t="s">
        <v>275</v>
      </c>
      <c r="X488" s="393" t="s">
        <v>275</v>
      </c>
      <c r="Y488" s="393" t="s">
        <v>276</v>
      </c>
      <c r="Z488" s="211">
        <f t="shared" si="448"/>
        <v>9442675.9699999988</v>
      </c>
      <c r="AA488" s="213">
        <f t="shared" si="449"/>
        <v>213453.57579999976</v>
      </c>
      <c r="AF488" s="112"/>
    </row>
    <row r="489" spans="2:32" outlineLevel="1">
      <c r="B489" s="125">
        <v>458</v>
      </c>
      <c r="C489" s="120" t="s">
        <v>312</v>
      </c>
      <c r="D489" s="153" t="s">
        <v>1327</v>
      </c>
      <c r="E489" s="126">
        <v>46079</v>
      </c>
      <c r="F489" s="126">
        <v>46139</v>
      </c>
      <c r="G489" s="126"/>
      <c r="H489" s="126"/>
      <c r="I489" s="127"/>
      <c r="J489" s="208">
        <f t="shared" ref="J489:J494" ca="1" si="450">IFERROR(IF(TODAY()&gt;=E489,(TODAY()-E489)/I489,0),0)</f>
        <v>0</v>
      </c>
      <c r="K489" s="134">
        <v>126.29</v>
      </c>
      <c r="L489" s="134">
        <v>123.31702490622895</v>
      </c>
      <c r="M489" s="661">
        <f t="shared" si="424"/>
        <v>2.9729750937710548</v>
      </c>
      <c r="N489" s="219">
        <v>3543.31</v>
      </c>
      <c r="O489" s="219">
        <v>3731</v>
      </c>
      <c r="P489" s="168"/>
      <c r="Q489" s="662">
        <f t="shared" si="444"/>
        <v>447484.61989999999</v>
      </c>
      <c r="R489" s="662">
        <f>L489*O489</f>
        <v>460095.81992514024</v>
      </c>
      <c r="S489" s="662">
        <f t="shared" si="446"/>
        <v>12611.20002514025</v>
      </c>
      <c r="T489" s="663" t="str">
        <f t="shared" si="447"/>
        <v>Monetizar</v>
      </c>
      <c r="U489" s="293"/>
      <c r="V489" s="394">
        <v>46080</v>
      </c>
      <c r="W489" s="393" t="s">
        <v>275</v>
      </c>
      <c r="X489" s="393" t="s">
        <v>275</v>
      </c>
      <c r="Y489" s="393" t="s">
        <v>276</v>
      </c>
      <c r="Z489" s="211">
        <f t="shared" si="448"/>
        <v>471187.99000000005</v>
      </c>
      <c r="AA489" s="213">
        <f t="shared" si="449"/>
        <v>23703.370100000058</v>
      </c>
      <c r="AF489" s="112"/>
    </row>
    <row r="490" spans="2:32" outlineLevel="1">
      <c r="B490" s="125">
        <v>459</v>
      </c>
      <c r="C490" s="120" t="s">
        <v>312</v>
      </c>
      <c r="D490" s="153" t="s">
        <v>1328</v>
      </c>
      <c r="E490" s="126">
        <v>46079</v>
      </c>
      <c r="F490" s="126">
        <v>46139</v>
      </c>
      <c r="G490" s="126"/>
      <c r="H490" s="126"/>
      <c r="I490" s="127"/>
      <c r="J490" s="208">
        <f t="shared" ca="1" si="450"/>
        <v>0</v>
      </c>
      <c r="K490" s="134">
        <v>1148.0899999999999</v>
      </c>
      <c r="L490" s="134">
        <v>1121.0629750937712</v>
      </c>
      <c r="M490" s="661">
        <f t="shared" si="424"/>
        <v>27.027024906228689</v>
      </c>
      <c r="N490" s="219">
        <v>3543.31</v>
      </c>
      <c r="O490" s="219">
        <v>3731</v>
      </c>
      <c r="P490" s="168"/>
      <c r="Q490" s="662">
        <f t="shared" ref="Q490" si="451">K490*N490</f>
        <v>4068038.7778999996</v>
      </c>
      <c r="R490" s="662">
        <f t="shared" ref="R490" si="452">L490*O490</f>
        <v>4182685.9600748606</v>
      </c>
      <c r="S490" s="662">
        <f t="shared" ref="S490" si="453">R490-Q490</f>
        <v>114647.18217486097</v>
      </c>
      <c r="T490" s="663" t="str">
        <f t="shared" ref="T490" si="454">IF(R490&lt;= Q490,"No Monetizar","Monetizar")</f>
        <v>Monetizar</v>
      </c>
      <c r="U490" s="293"/>
      <c r="V490" s="394">
        <v>46080</v>
      </c>
      <c r="W490" s="393" t="s">
        <v>275</v>
      </c>
      <c r="X490" s="393" t="s">
        <v>275</v>
      </c>
      <c r="Y490" s="393" t="s">
        <v>276</v>
      </c>
      <c r="Z490" s="211">
        <f t="shared" ref="Z490" si="455">K490*O490</f>
        <v>4283523.79</v>
      </c>
      <c r="AA490" s="213">
        <f t="shared" ref="AA490" si="456">Z490-Q490</f>
        <v>215485.0121000004</v>
      </c>
      <c r="AF490" s="112"/>
    </row>
    <row r="491" spans="2:32" outlineLevel="1">
      <c r="B491" s="125">
        <v>460</v>
      </c>
      <c r="C491" s="120" t="s">
        <v>287</v>
      </c>
      <c r="D491" s="153" t="s">
        <v>1396</v>
      </c>
      <c r="E491" s="126">
        <v>46086</v>
      </c>
      <c r="F491" s="126">
        <v>46146</v>
      </c>
      <c r="G491" s="126"/>
      <c r="H491" s="126"/>
      <c r="I491" s="127"/>
      <c r="J491" s="208">
        <f t="shared" ca="1" si="450"/>
        <v>0</v>
      </c>
      <c r="K491" s="134">
        <v>191</v>
      </c>
      <c r="L491" s="134">
        <v>191</v>
      </c>
      <c r="M491" s="661">
        <f t="shared" si="424"/>
        <v>0</v>
      </c>
      <c r="N491" s="219">
        <v>3543.31</v>
      </c>
      <c r="O491" s="219">
        <v>3757.15</v>
      </c>
      <c r="P491" s="168"/>
      <c r="Q491" s="168">
        <f t="shared" ref="Q491:Q494" si="457">K491*N491</f>
        <v>676772.21</v>
      </c>
      <c r="R491" s="168">
        <f t="shared" ref="R491:R494" si="458">L491*O491</f>
        <v>717615.65</v>
      </c>
      <c r="S491" s="168">
        <f t="shared" ref="S491:S494" si="459">R491-Q491</f>
        <v>40843.440000000061</v>
      </c>
      <c r="T491" s="216" t="str">
        <f t="shared" ref="T491:T494" si="460">IF(R491&lt;= Q491,"No Monetizar","Monetizar")</f>
        <v>Monetizar</v>
      </c>
      <c r="U491" s="293"/>
      <c r="V491" s="394">
        <v>46086</v>
      </c>
      <c r="W491" s="393" t="s">
        <v>275</v>
      </c>
      <c r="X491" s="393" t="s">
        <v>275</v>
      </c>
      <c r="Y491" s="393" t="s">
        <v>276</v>
      </c>
      <c r="Z491" s="211">
        <f t="shared" ref="Z491:Z494" si="461">K491*O491</f>
        <v>717615.65</v>
      </c>
      <c r="AA491" s="213">
        <f t="shared" ref="AA491:AA494" si="462">Z491-Q491</f>
        <v>40843.440000000061</v>
      </c>
      <c r="AF491" s="112"/>
    </row>
    <row r="492" spans="2:32" outlineLevel="1">
      <c r="B492" s="125">
        <v>461</v>
      </c>
      <c r="C492" s="120" t="s">
        <v>287</v>
      </c>
      <c r="D492" s="153" t="s">
        <v>1397</v>
      </c>
      <c r="E492" s="126">
        <v>46086</v>
      </c>
      <c r="F492" s="126">
        <v>46146</v>
      </c>
      <c r="G492" s="126"/>
      <c r="H492" s="126"/>
      <c r="I492" s="127"/>
      <c r="J492" s="208">
        <f t="shared" ca="1" si="450"/>
        <v>0</v>
      </c>
      <c r="K492" s="134">
        <v>1909.97</v>
      </c>
      <c r="L492" s="134">
        <v>1909.97</v>
      </c>
      <c r="M492" s="661">
        <f t="shared" si="424"/>
        <v>0</v>
      </c>
      <c r="N492" s="219">
        <v>3543.31</v>
      </c>
      <c r="O492" s="219">
        <v>3757.15</v>
      </c>
      <c r="P492" s="168"/>
      <c r="Q492" s="168">
        <f t="shared" si="457"/>
        <v>6767615.8006999996</v>
      </c>
      <c r="R492" s="168">
        <f t="shared" si="458"/>
        <v>7176043.7855000002</v>
      </c>
      <c r="S492" s="168">
        <f t="shared" si="459"/>
        <v>408427.98480000068</v>
      </c>
      <c r="T492" s="216" t="str">
        <f t="shared" si="460"/>
        <v>Monetizar</v>
      </c>
      <c r="U492" s="293"/>
      <c r="V492" s="394">
        <v>46086</v>
      </c>
      <c r="W492" s="393" t="s">
        <v>275</v>
      </c>
      <c r="X492" s="393" t="s">
        <v>275</v>
      </c>
      <c r="Y492" s="393" t="s">
        <v>276</v>
      </c>
      <c r="Z492" s="211">
        <f t="shared" si="461"/>
        <v>7176043.7855000002</v>
      </c>
      <c r="AA492" s="213">
        <f t="shared" si="462"/>
        <v>408427.98480000068</v>
      </c>
      <c r="AF492" s="112"/>
    </row>
    <row r="493" spans="2:32" outlineLevel="1">
      <c r="B493" s="125">
        <v>462</v>
      </c>
      <c r="C493" s="120" t="s">
        <v>287</v>
      </c>
      <c r="D493" s="153" t="s">
        <v>1398</v>
      </c>
      <c r="E493" s="126">
        <v>46086</v>
      </c>
      <c r="F493" s="126">
        <v>46146</v>
      </c>
      <c r="G493" s="126"/>
      <c r="H493" s="126"/>
      <c r="I493" s="127"/>
      <c r="J493" s="208">
        <f t="shared" ca="1" si="450"/>
        <v>0</v>
      </c>
      <c r="K493" s="134">
        <v>127.57</v>
      </c>
      <c r="L493" s="134">
        <v>127.57</v>
      </c>
      <c r="M493" s="661">
        <f t="shared" si="424"/>
        <v>0</v>
      </c>
      <c r="N493" s="219">
        <v>3543.31</v>
      </c>
      <c r="O493" s="219">
        <v>3757.15</v>
      </c>
      <c r="P493" s="168"/>
      <c r="Q493" s="168">
        <f t="shared" si="457"/>
        <v>452020.05669999996</v>
      </c>
      <c r="R493" s="168">
        <f t="shared" si="458"/>
        <v>479299.62549999997</v>
      </c>
      <c r="S493" s="168">
        <f t="shared" si="459"/>
        <v>27279.568800000008</v>
      </c>
      <c r="T493" s="216" t="str">
        <f t="shared" si="460"/>
        <v>Monetizar</v>
      </c>
      <c r="U493" s="293"/>
      <c r="V493" s="394">
        <v>46086</v>
      </c>
      <c r="W493" s="393" t="s">
        <v>275</v>
      </c>
      <c r="X493" s="393" t="s">
        <v>275</v>
      </c>
      <c r="Y493" s="393" t="s">
        <v>276</v>
      </c>
      <c r="Z493" s="211">
        <f t="shared" si="461"/>
        <v>479299.62549999997</v>
      </c>
      <c r="AA493" s="213">
        <f t="shared" si="462"/>
        <v>27279.568800000008</v>
      </c>
      <c r="AF493" s="112"/>
    </row>
    <row r="494" spans="2:32" outlineLevel="1">
      <c r="B494" s="125">
        <v>463</v>
      </c>
      <c r="C494" s="120" t="s">
        <v>287</v>
      </c>
      <c r="D494" s="153" t="s">
        <v>1399</v>
      </c>
      <c r="E494" s="126">
        <v>46086</v>
      </c>
      <c r="F494" s="126">
        <v>46146</v>
      </c>
      <c r="G494" s="126"/>
      <c r="H494" s="126"/>
      <c r="I494" s="127"/>
      <c r="J494" s="208">
        <f t="shared" ca="1" si="450"/>
        <v>0</v>
      </c>
      <c r="K494" s="134">
        <v>1275.67</v>
      </c>
      <c r="L494" s="134">
        <v>1275.67</v>
      </c>
      <c r="M494" s="661">
        <f t="shared" si="424"/>
        <v>0</v>
      </c>
      <c r="N494" s="219">
        <v>3543.31</v>
      </c>
      <c r="O494" s="219">
        <v>3757.15</v>
      </c>
      <c r="P494" s="168"/>
      <c r="Q494" s="168">
        <f t="shared" si="457"/>
        <v>4520094.2676999997</v>
      </c>
      <c r="R494" s="168">
        <f t="shared" si="458"/>
        <v>4792883.5405000001</v>
      </c>
      <c r="S494" s="168">
        <f t="shared" si="459"/>
        <v>272789.27280000038</v>
      </c>
      <c r="T494" s="216" t="str">
        <f t="shared" si="460"/>
        <v>Monetizar</v>
      </c>
      <c r="U494" s="293"/>
      <c r="V494" s="394">
        <v>46086</v>
      </c>
      <c r="W494" s="393" t="s">
        <v>275</v>
      </c>
      <c r="X494" s="393" t="s">
        <v>275</v>
      </c>
      <c r="Y494" s="393" t="s">
        <v>276</v>
      </c>
      <c r="Z494" s="211">
        <f t="shared" si="461"/>
        <v>4792883.5405000001</v>
      </c>
      <c r="AA494" s="213">
        <f t="shared" si="462"/>
        <v>272789.27280000038</v>
      </c>
      <c r="AF494" s="112"/>
    </row>
    <row r="495" spans="2:32" outlineLevel="1">
      <c r="B495" s="125">
        <v>464</v>
      </c>
      <c r="C495" s="120" t="s">
        <v>1431</v>
      </c>
      <c r="D495" s="153" t="s">
        <v>38</v>
      </c>
      <c r="E495" s="126">
        <v>46085</v>
      </c>
      <c r="F495" s="126">
        <v>46147</v>
      </c>
      <c r="G495" s="126"/>
      <c r="H495" s="126"/>
      <c r="I495" s="127"/>
      <c r="J495" s="208">
        <f ca="1">IFERROR(IF(TODAY()&gt;=E495,(TODAY()-E495)/I495,0),0)</f>
        <v>0</v>
      </c>
      <c r="K495" s="134">
        <v>15784.99</v>
      </c>
      <c r="L495" s="134">
        <v>15784.99</v>
      </c>
      <c r="M495" s="661">
        <f>K495-L495</f>
        <v>0</v>
      </c>
      <c r="N495" s="219">
        <v>3768.73</v>
      </c>
      <c r="O495" s="219">
        <v>3782</v>
      </c>
      <c r="P495" s="168"/>
      <c r="Q495" s="168">
        <f t="shared" ref="Q495:R497" si="463">K495*N495</f>
        <v>59489365.3627</v>
      </c>
      <c r="R495" s="168">
        <f t="shared" si="463"/>
        <v>59698832.18</v>
      </c>
      <c r="S495" s="168">
        <f>R495-Q495</f>
        <v>209466.8172999993</v>
      </c>
      <c r="T495" s="216" t="str">
        <f>IF(R495&lt;= Q495,"No Monetizar","Monetizar")</f>
        <v>Monetizar</v>
      </c>
      <c r="U495" s="293"/>
      <c r="V495" s="394">
        <v>46087</v>
      </c>
      <c r="W495" s="393" t="s">
        <v>275</v>
      </c>
      <c r="X495" s="393" t="s">
        <v>275</v>
      </c>
      <c r="Y495" s="393" t="s">
        <v>276</v>
      </c>
      <c r="Z495" s="211">
        <f>K495*O495</f>
        <v>59698832.18</v>
      </c>
      <c r="AA495" s="213">
        <f>Z495-Q495</f>
        <v>209466.8172999993</v>
      </c>
      <c r="AF495" s="112"/>
    </row>
    <row r="496" spans="2:32" outlineLevel="1">
      <c r="B496" s="125">
        <v>474</v>
      </c>
      <c r="C496" s="120" t="s">
        <v>1197</v>
      </c>
      <c r="D496" s="153" t="s">
        <v>1444</v>
      </c>
      <c r="E496" s="126">
        <v>46087</v>
      </c>
      <c r="F496" s="126">
        <v>46147</v>
      </c>
      <c r="G496" s="126"/>
      <c r="H496" s="126"/>
      <c r="I496" s="127"/>
      <c r="J496" s="208">
        <f ca="1">IFERROR(IF(TODAY()&gt;=E496,(TODAY()-E496)/I496,0),0)</f>
        <v>0</v>
      </c>
      <c r="K496" s="134">
        <v>11437.18</v>
      </c>
      <c r="L496" s="134">
        <v>11437.18</v>
      </c>
      <c r="M496" s="661">
        <f>K496-L496</f>
        <v>0</v>
      </c>
      <c r="N496" s="219">
        <v>3661.29</v>
      </c>
      <c r="O496" s="130">
        <v>3719.05</v>
      </c>
      <c r="P496" s="168"/>
      <c r="Q496" s="168">
        <f t="shared" si="463"/>
        <v>41874832.762199998</v>
      </c>
      <c r="R496" s="168">
        <f t="shared" si="463"/>
        <v>42535444.279000007</v>
      </c>
      <c r="S496" s="168">
        <f>R496-Q496</f>
        <v>660611.51680000871</v>
      </c>
      <c r="T496" s="216" t="str">
        <f>IF(R496&lt;= Q496,"No Monetizar","Monetizar")</f>
        <v>Monetizar</v>
      </c>
      <c r="U496" s="293"/>
      <c r="V496" s="394">
        <v>46090</v>
      </c>
      <c r="W496" s="393" t="s">
        <v>275</v>
      </c>
      <c r="X496" s="393" t="s">
        <v>275</v>
      </c>
      <c r="Y496" s="393" t="s">
        <v>276</v>
      </c>
      <c r="Z496" s="211">
        <f>K496*O496</f>
        <v>42535444.279000007</v>
      </c>
      <c r="AA496" s="213">
        <f>Z496-Q496</f>
        <v>660611.51680000871</v>
      </c>
      <c r="AF496" s="112"/>
    </row>
    <row r="497" spans="2:32" outlineLevel="1">
      <c r="B497" s="125">
        <v>475</v>
      </c>
      <c r="C497" s="120" t="s">
        <v>1197</v>
      </c>
      <c r="D497" s="153" t="s">
        <v>1445</v>
      </c>
      <c r="E497" s="126">
        <v>46087</v>
      </c>
      <c r="F497" s="126">
        <v>46147</v>
      </c>
      <c r="G497" s="126"/>
      <c r="H497" s="126"/>
      <c r="I497" s="127"/>
      <c r="J497" s="208">
        <f ca="1">IFERROR(IF(TODAY()&gt;=E497,(TODAY()-E497)/I497,0),0)</f>
        <v>0</v>
      </c>
      <c r="K497" s="134">
        <v>10705.7</v>
      </c>
      <c r="L497" s="134">
        <v>10690.7</v>
      </c>
      <c r="M497" s="661">
        <f>K497-L497</f>
        <v>15</v>
      </c>
      <c r="N497" s="219">
        <v>3661.29</v>
      </c>
      <c r="O497" s="130">
        <v>3719.05</v>
      </c>
      <c r="P497" s="168"/>
      <c r="Q497" s="168">
        <f t="shared" si="463"/>
        <v>39196672.353</v>
      </c>
      <c r="R497" s="168">
        <f t="shared" si="463"/>
        <v>39759247.835000008</v>
      </c>
      <c r="S497" s="168">
        <f>R497-Q497</f>
        <v>562575.48200000823</v>
      </c>
      <c r="T497" s="216" t="str">
        <f>IF(R497&lt;= Q497,"No Monetizar","Monetizar")</f>
        <v>Monetizar</v>
      </c>
      <c r="U497" s="293"/>
      <c r="V497" s="394">
        <v>46090</v>
      </c>
      <c r="W497" s="393" t="s">
        <v>275</v>
      </c>
      <c r="X497" s="393" t="s">
        <v>275</v>
      </c>
      <c r="Y497" s="393" t="s">
        <v>276</v>
      </c>
      <c r="Z497" s="211">
        <f>K497*O497</f>
        <v>39815033.585000008</v>
      </c>
      <c r="AA497" s="213">
        <f>Z497-Q497</f>
        <v>618361.23200000823</v>
      </c>
      <c r="AF497" s="112"/>
    </row>
    <row r="498" spans="2:32" s="706" customFormat="1" outlineLevel="1">
      <c r="B498" s="125">
        <v>476</v>
      </c>
      <c r="C498" s="120" t="s">
        <v>117</v>
      </c>
      <c r="D498" s="153" t="s">
        <v>1470</v>
      </c>
      <c r="E498" s="126">
        <v>46094</v>
      </c>
      <c r="F498" s="126">
        <v>46154</v>
      </c>
      <c r="G498" s="703"/>
      <c r="H498" s="703"/>
      <c r="I498" s="704"/>
      <c r="J498" s="208">
        <f ca="1">IFERROR(IF(TODAY()&gt;=E498,(TODAY()-E498)/I498,0),0)</f>
        <v>0</v>
      </c>
      <c r="K498" s="134">
        <v>2101.5</v>
      </c>
      <c r="L498" s="134">
        <v>2086.5</v>
      </c>
      <c r="M498" s="661">
        <f>K498-L498</f>
        <v>15</v>
      </c>
      <c r="N498" s="219">
        <v>3650.99</v>
      </c>
      <c r="O498" s="130">
        <v>3692.55</v>
      </c>
      <c r="P498" s="705"/>
      <c r="Q498" s="168">
        <f t="shared" ref="Q498:Q505" si="464">K498*N498</f>
        <v>7672555.4849999994</v>
      </c>
      <c r="R498" s="168">
        <f t="shared" ref="R498:R505" si="465">L498*O498</f>
        <v>7704505.5750000002</v>
      </c>
      <c r="S498" s="168">
        <f>R498-Q498</f>
        <v>31950.090000000782</v>
      </c>
      <c r="T498" s="216" t="str">
        <f>IF(R498&lt;= Q498,"No Monetizar","Monetizar")</f>
        <v>Monetizar</v>
      </c>
      <c r="U498" s="293"/>
      <c r="V498" s="394">
        <v>46090</v>
      </c>
      <c r="W498" s="393" t="s">
        <v>275</v>
      </c>
      <c r="X498" s="393" t="s">
        <v>275</v>
      </c>
      <c r="Y498" s="393" t="s">
        <v>276</v>
      </c>
      <c r="Z498" s="211">
        <f>K498*O498</f>
        <v>7759893.8250000002</v>
      </c>
      <c r="AA498" s="213">
        <f>Z498-Q498</f>
        <v>87338.340000000782</v>
      </c>
      <c r="AF498" s="707"/>
    </row>
    <row r="499" spans="2:32" s="706" customFormat="1" outlineLevel="1">
      <c r="B499" s="125">
        <v>477</v>
      </c>
      <c r="C499" s="120" t="s">
        <v>264</v>
      </c>
      <c r="D499" s="153" t="s">
        <v>1464</v>
      </c>
      <c r="E499" s="126">
        <v>46094</v>
      </c>
      <c r="F499" s="126">
        <v>46154</v>
      </c>
      <c r="G499" s="703"/>
      <c r="H499" s="703"/>
      <c r="I499" s="704"/>
      <c r="J499" s="208">
        <f t="shared" ref="J499:J506" ca="1" si="466">IFERROR(IF(TODAY()&gt;=E499,(TODAY()-E499)/I499,0),0)</f>
        <v>0</v>
      </c>
      <c r="K499" s="134">
        <v>700</v>
      </c>
      <c r="L499" s="134">
        <v>699.17091866949022</v>
      </c>
      <c r="M499" s="661">
        <f t="shared" ref="M499:M505" si="467">K499-L499</f>
        <v>0.82908133050977995</v>
      </c>
      <c r="N499" s="219">
        <v>3870.42</v>
      </c>
      <c r="O499" s="130">
        <v>3671.5</v>
      </c>
      <c r="P499" s="168"/>
      <c r="Q499" s="168">
        <f t="shared" si="464"/>
        <v>2709294</v>
      </c>
      <c r="R499" s="168">
        <f t="shared" si="465"/>
        <v>2567006.0278950334</v>
      </c>
      <c r="S499" s="168">
        <f t="shared" ref="S499:S505" si="468">R499-Q499</f>
        <v>-142287.97210496664</v>
      </c>
      <c r="T499" s="216" t="str">
        <f t="shared" ref="T499:T504" si="469">IF(R499&lt;= Q499,"No Monetizar","Monetizar")</f>
        <v>No Monetizar</v>
      </c>
      <c r="U499" s="561"/>
      <c r="V499" s="726">
        <v>46097</v>
      </c>
      <c r="W499" s="393" t="s">
        <v>275</v>
      </c>
      <c r="X499" s="393" t="s">
        <v>275</v>
      </c>
      <c r="Y499" s="751" t="s">
        <v>1480</v>
      </c>
      <c r="Z499" s="211">
        <f t="shared" ref="Z499:Z504" si="470">K499*O499</f>
        <v>2570050</v>
      </c>
      <c r="AA499" s="213">
        <f t="shared" ref="AA499:AA504" si="471">Z499-Q499</f>
        <v>-139244</v>
      </c>
      <c r="AF499" s="707"/>
    </row>
    <row r="500" spans="2:32" s="706" customFormat="1" outlineLevel="1">
      <c r="B500" s="125">
        <v>478</v>
      </c>
      <c r="C500" s="120" t="s">
        <v>264</v>
      </c>
      <c r="D500" s="153" t="s">
        <v>1465</v>
      </c>
      <c r="E500" s="126">
        <v>46094</v>
      </c>
      <c r="F500" s="126">
        <v>46154</v>
      </c>
      <c r="G500" s="703"/>
      <c r="H500" s="703"/>
      <c r="I500" s="704"/>
      <c r="J500" s="208">
        <f t="shared" ca="1" si="466"/>
        <v>0</v>
      </c>
      <c r="K500" s="134">
        <v>700</v>
      </c>
      <c r="L500" s="134">
        <v>699.17091866949022</v>
      </c>
      <c r="M500" s="661">
        <f t="shared" si="467"/>
        <v>0.82908133050977995</v>
      </c>
      <c r="N500" s="219">
        <v>3817.66</v>
      </c>
      <c r="O500" s="130">
        <v>3671.5</v>
      </c>
      <c r="P500" s="168"/>
      <c r="Q500" s="168">
        <f t="shared" si="464"/>
        <v>2672362</v>
      </c>
      <c r="R500" s="168">
        <f t="shared" si="465"/>
        <v>2567006.0278950334</v>
      </c>
      <c r="S500" s="168">
        <f t="shared" si="468"/>
        <v>-105355.97210496664</v>
      </c>
      <c r="T500" s="216" t="str">
        <f t="shared" si="469"/>
        <v>No Monetizar</v>
      </c>
      <c r="U500" s="561"/>
      <c r="V500" s="726">
        <v>46097</v>
      </c>
      <c r="W500" s="393" t="s">
        <v>275</v>
      </c>
      <c r="X500" s="393" t="s">
        <v>275</v>
      </c>
      <c r="Y500" s="725" t="s">
        <v>1480</v>
      </c>
      <c r="Z500" s="211">
        <f t="shared" si="470"/>
        <v>2570050</v>
      </c>
      <c r="AA500" s="213">
        <f t="shared" si="471"/>
        <v>-102312</v>
      </c>
      <c r="AF500" s="707"/>
    </row>
    <row r="501" spans="2:32" s="706" customFormat="1" outlineLevel="1">
      <c r="B501" s="125">
        <v>479</v>
      </c>
      <c r="C501" s="120" t="s">
        <v>264</v>
      </c>
      <c r="D501" s="153" t="s">
        <v>1466</v>
      </c>
      <c r="E501" s="126">
        <v>46094</v>
      </c>
      <c r="F501" s="126">
        <v>46154</v>
      </c>
      <c r="G501" s="703"/>
      <c r="H501" s="703"/>
      <c r="I501" s="704"/>
      <c r="J501" s="208">
        <f t="shared" ca="1" si="466"/>
        <v>0</v>
      </c>
      <c r="K501" s="134">
        <v>1282.24</v>
      </c>
      <c r="L501" s="134">
        <v>1280.7213125068104</v>
      </c>
      <c r="M501" s="661">
        <f t="shared" si="467"/>
        <v>1.5186874931896455</v>
      </c>
      <c r="N501" s="219">
        <v>3933.31</v>
      </c>
      <c r="O501" s="130">
        <v>3671.5</v>
      </c>
      <c r="P501" s="168"/>
      <c r="Q501" s="168">
        <f t="shared" si="464"/>
        <v>5043447.4144000001</v>
      </c>
      <c r="R501" s="168">
        <f t="shared" si="465"/>
        <v>4702168.2988687539</v>
      </c>
      <c r="S501" s="168">
        <f t="shared" si="468"/>
        <v>-341279.11553124618</v>
      </c>
      <c r="T501" s="216" t="str">
        <f t="shared" si="469"/>
        <v>No Monetizar</v>
      </c>
      <c r="U501" s="561"/>
      <c r="V501" s="726">
        <v>46097</v>
      </c>
      <c r="W501" s="393" t="s">
        <v>275</v>
      </c>
      <c r="X501" s="393" t="s">
        <v>275</v>
      </c>
      <c r="Y501" s="725" t="s">
        <v>1480</v>
      </c>
      <c r="Z501" s="211">
        <f t="shared" si="470"/>
        <v>4707744.16</v>
      </c>
      <c r="AA501" s="213">
        <f t="shared" si="471"/>
        <v>-335703.25439999998</v>
      </c>
      <c r="AF501" s="707"/>
    </row>
    <row r="502" spans="2:32" s="706" customFormat="1" outlineLevel="1">
      <c r="B502" s="125">
        <v>480</v>
      </c>
      <c r="C502" s="120" t="s">
        <v>264</v>
      </c>
      <c r="D502" s="153" t="s">
        <v>1467</v>
      </c>
      <c r="E502" s="126">
        <v>46094</v>
      </c>
      <c r="F502" s="126">
        <v>46154</v>
      </c>
      <c r="G502" s="703"/>
      <c r="H502" s="703"/>
      <c r="I502" s="704"/>
      <c r="J502" s="208">
        <f t="shared" ca="1" si="466"/>
        <v>0</v>
      </c>
      <c r="K502" s="134">
        <v>697.19</v>
      </c>
      <c r="L502" s="134">
        <v>696.36424683883138</v>
      </c>
      <c r="M502" s="661">
        <f t="shared" si="467"/>
        <v>0.82575316116867725</v>
      </c>
      <c r="N502" s="219">
        <v>3808.77</v>
      </c>
      <c r="O502" s="130">
        <v>3671.5</v>
      </c>
      <c r="P502" s="168"/>
      <c r="Q502" s="168">
        <f t="shared" si="464"/>
        <v>2655436.3563000001</v>
      </c>
      <c r="R502" s="168">
        <f t="shared" si="465"/>
        <v>2556701.3322687694</v>
      </c>
      <c r="S502" s="168">
        <f t="shared" si="468"/>
        <v>-98735.024031230714</v>
      </c>
      <c r="T502" s="216" t="str">
        <f t="shared" si="469"/>
        <v>No Monetizar</v>
      </c>
      <c r="U502" s="561"/>
      <c r="V502" s="726">
        <v>46097</v>
      </c>
      <c r="W502" s="393" t="s">
        <v>275</v>
      </c>
      <c r="X502" s="393" t="s">
        <v>275</v>
      </c>
      <c r="Y502" s="725" t="s">
        <v>1480</v>
      </c>
      <c r="Z502" s="211">
        <f t="shared" si="470"/>
        <v>2559733.0850000004</v>
      </c>
      <c r="AA502" s="213">
        <f t="shared" si="471"/>
        <v>-95703.271299999673</v>
      </c>
      <c r="AF502" s="707"/>
    </row>
    <row r="503" spans="2:32" s="706" customFormat="1" outlineLevel="1">
      <c r="B503" s="125">
        <v>481</v>
      </c>
      <c r="C503" s="120" t="s">
        <v>264</v>
      </c>
      <c r="D503" s="153" t="s">
        <v>1468</v>
      </c>
      <c r="E503" s="126">
        <v>46094</v>
      </c>
      <c r="F503" s="126">
        <v>46154</v>
      </c>
      <c r="G503" s="703"/>
      <c r="H503" s="703"/>
      <c r="I503" s="704"/>
      <c r="J503" s="208">
        <f t="shared" ca="1" si="466"/>
        <v>0</v>
      </c>
      <c r="K503" s="134">
        <v>376.72</v>
      </c>
      <c r="L503" s="134">
        <v>376.2738121159577</v>
      </c>
      <c r="M503" s="661">
        <f t="shared" si="467"/>
        <v>0.44618788404233101</v>
      </c>
      <c r="N503" s="219">
        <v>3792.59</v>
      </c>
      <c r="O503" s="130">
        <v>3671.5</v>
      </c>
      <c r="P503" s="168"/>
      <c r="Q503" s="168">
        <f t="shared" si="464"/>
        <v>1428744.5048000002</v>
      </c>
      <c r="R503" s="168">
        <f t="shared" si="465"/>
        <v>1381489.3011837387</v>
      </c>
      <c r="S503" s="168">
        <f t="shared" si="468"/>
        <v>-47255.203616261482</v>
      </c>
      <c r="T503" s="216" t="str">
        <f t="shared" si="469"/>
        <v>No Monetizar</v>
      </c>
      <c r="U503" s="561"/>
      <c r="V503" s="726">
        <v>46097</v>
      </c>
      <c r="W503" s="393" t="s">
        <v>275</v>
      </c>
      <c r="X503" s="393" t="s">
        <v>275</v>
      </c>
      <c r="Y503" s="725" t="s">
        <v>1480</v>
      </c>
      <c r="Z503" s="211">
        <f t="shared" si="470"/>
        <v>1383127.4800000002</v>
      </c>
      <c r="AA503" s="213">
        <f t="shared" si="471"/>
        <v>-45617.024800000014</v>
      </c>
      <c r="AF503" s="707"/>
    </row>
    <row r="504" spans="2:32" s="706" customFormat="1" outlineLevel="1">
      <c r="B504" s="125">
        <v>482</v>
      </c>
      <c r="C504" s="120" t="s">
        <v>264</v>
      </c>
      <c r="D504" s="153" t="s">
        <v>1469</v>
      </c>
      <c r="E504" s="126">
        <v>46094</v>
      </c>
      <c r="F504" s="126">
        <v>46154</v>
      </c>
      <c r="G504" s="703"/>
      <c r="H504" s="703"/>
      <c r="I504" s="704"/>
      <c r="J504" s="208">
        <f t="shared" ca="1" si="466"/>
        <v>0</v>
      </c>
      <c r="K504" s="134">
        <v>4686.93</v>
      </c>
      <c r="L504" s="134">
        <v>4681.3787911994204</v>
      </c>
      <c r="M504" s="661">
        <f t="shared" si="467"/>
        <v>5.5512088005798432</v>
      </c>
      <c r="N504" s="219">
        <v>3678.59</v>
      </c>
      <c r="O504" s="130">
        <v>3671.5</v>
      </c>
      <c r="P504" s="168"/>
      <c r="Q504" s="168">
        <f t="shared" si="464"/>
        <v>17241293.828700002</v>
      </c>
      <c r="R504" s="168">
        <f t="shared" si="465"/>
        <v>17187682.23188867</v>
      </c>
      <c r="S504" s="168">
        <f t="shared" si="468"/>
        <v>-53611.596811331809</v>
      </c>
      <c r="T504" s="216" t="str">
        <f t="shared" si="469"/>
        <v>No Monetizar</v>
      </c>
      <c r="U504" s="561"/>
      <c r="V504" s="726">
        <v>46097</v>
      </c>
      <c r="W504" s="393" t="s">
        <v>275</v>
      </c>
      <c r="X504" s="393" t="s">
        <v>275</v>
      </c>
      <c r="Y504" s="725" t="s">
        <v>1480</v>
      </c>
      <c r="Z504" s="211">
        <f t="shared" si="470"/>
        <v>17208063.495000001</v>
      </c>
      <c r="AA504" s="213">
        <f t="shared" si="471"/>
        <v>-33230.33370000124</v>
      </c>
      <c r="AF504" s="707"/>
    </row>
    <row r="505" spans="2:32" s="706" customFormat="1" outlineLevel="1">
      <c r="B505" s="125">
        <v>483</v>
      </c>
      <c r="C505" s="120" t="s">
        <v>303</v>
      </c>
      <c r="D505" s="153">
        <v>6783</v>
      </c>
      <c r="E505" s="126">
        <v>46098</v>
      </c>
      <c r="F505" s="126">
        <v>46158</v>
      </c>
      <c r="G505" s="703"/>
      <c r="H505" s="703"/>
      <c r="I505" s="704"/>
      <c r="J505" s="208">
        <f t="shared" ca="1" si="466"/>
        <v>0</v>
      </c>
      <c r="K505" s="134">
        <v>350.74</v>
      </c>
      <c r="L505" s="134">
        <v>350.74</v>
      </c>
      <c r="M505" s="215">
        <f t="shared" si="467"/>
        <v>0</v>
      </c>
      <c r="N505" s="130">
        <v>3646.68</v>
      </c>
      <c r="O505" s="130">
        <v>3670</v>
      </c>
      <c r="P505" s="168"/>
      <c r="Q505" s="168">
        <f t="shared" si="464"/>
        <v>1279036.5432</v>
      </c>
      <c r="R505" s="168">
        <f t="shared" si="465"/>
        <v>1287215.8</v>
      </c>
      <c r="S505" s="168">
        <f t="shared" si="468"/>
        <v>8179.2568000000902</v>
      </c>
      <c r="T505" s="216" t="str">
        <f>IF(R505&lt;= Q505,"No Monetizar","Monetizar")</f>
        <v>Monetizar</v>
      </c>
      <c r="U505" s="293"/>
      <c r="V505" s="394">
        <v>46098</v>
      </c>
      <c r="W505" s="393" t="s">
        <v>275</v>
      </c>
      <c r="X505" s="393" t="s">
        <v>275</v>
      </c>
      <c r="Y505" s="393" t="s">
        <v>276</v>
      </c>
      <c r="Z505" s="211">
        <f t="shared" ref="Z505:Z510" si="472">K505*O505</f>
        <v>1287215.8</v>
      </c>
      <c r="AA505" s="213">
        <f t="shared" ref="AA505:AA510" si="473">Z505-Q505</f>
        <v>8179.2568000000902</v>
      </c>
      <c r="AF505" s="707"/>
    </row>
    <row r="506" spans="2:32" s="706" customFormat="1" outlineLevel="1">
      <c r="B506" s="125">
        <v>484</v>
      </c>
      <c r="C506" s="120" t="s">
        <v>303</v>
      </c>
      <c r="D506" s="153" t="s">
        <v>1505</v>
      </c>
      <c r="E506" s="126">
        <v>46098</v>
      </c>
      <c r="F506" s="126">
        <v>46158</v>
      </c>
      <c r="G506" s="703"/>
      <c r="H506" s="703"/>
      <c r="I506" s="704"/>
      <c r="J506" s="208">
        <f t="shared" ca="1" si="466"/>
        <v>0</v>
      </c>
      <c r="K506" s="134">
        <v>3188.52</v>
      </c>
      <c r="L506" s="134">
        <v>3188.52</v>
      </c>
      <c r="M506" s="215">
        <f t="shared" ref="M506:M522" si="474">K506-L506</f>
        <v>0</v>
      </c>
      <c r="N506" s="130">
        <v>3646.68</v>
      </c>
      <c r="O506" s="130">
        <v>3670</v>
      </c>
      <c r="P506" s="168"/>
      <c r="Q506" s="168">
        <f t="shared" ref="Q506:Q526" si="475">K506*N506</f>
        <v>11627512.113599999</v>
      </c>
      <c r="R506" s="168">
        <f t="shared" ref="R506:R526" si="476">L506*O506</f>
        <v>11701868.4</v>
      </c>
      <c r="S506" s="168">
        <f t="shared" ref="S506:S526" si="477">R506-Q506</f>
        <v>74356.286400001496</v>
      </c>
      <c r="T506" s="216" t="str">
        <f>IF(R506&lt;= Q506,"No Monetizar","Monetizar")</f>
        <v>Monetizar</v>
      </c>
      <c r="U506" s="293"/>
      <c r="V506" s="394">
        <v>46098</v>
      </c>
      <c r="W506" s="393" t="s">
        <v>275</v>
      </c>
      <c r="X506" s="393" t="s">
        <v>275</v>
      </c>
      <c r="Y506" s="393" t="s">
        <v>276</v>
      </c>
      <c r="Z506" s="211">
        <f t="shared" si="472"/>
        <v>11701868.4</v>
      </c>
      <c r="AA506" s="213">
        <f t="shared" si="473"/>
        <v>74356.286400001496</v>
      </c>
      <c r="AF506" s="707"/>
    </row>
    <row r="507" spans="2:32" s="706" customFormat="1" outlineLevel="1">
      <c r="B507" s="125">
        <v>485</v>
      </c>
      <c r="C507" s="120" t="s">
        <v>1109</v>
      </c>
      <c r="D507" s="153" t="s">
        <v>1528</v>
      </c>
      <c r="E507" s="126">
        <v>46099</v>
      </c>
      <c r="F507" s="126">
        <v>46159</v>
      </c>
      <c r="G507" s="703"/>
      <c r="H507" s="703"/>
      <c r="I507" s="704"/>
      <c r="J507" s="208">
        <f t="shared" ref="J507:J512" ca="1" si="478">IFERROR(IF(TODAY()&gt;=E507,(TODAY()-E507)/I507,0),0)</f>
        <v>0</v>
      </c>
      <c r="K507" s="134">
        <v>509.61</v>
      </c>
      <c r="L507" s="134">
        <v>509.61</v>
      </c>
      <c r="M507" s="661">
        <f t="shared" si="474"/>
        <v>0</v>
      </c>
      <c r="N507" s="219">
        <v>3650.99</v>
      </c>
      <c r="O507" s="130">
        <v>3671.55</v>
      </c>
      <c r="P507" s="168"/>
      <c r="Q507" s="168">
        <f t="shared" si="475"/>
        <v>1860581.0138999999</v>
      </c>
      <c r="R507" s="168">
        <f t="shared" si="476"/>
        <v>1871058.5955000001</v>
      </c>
      <c r="S507" s="168">
        <f t="shared" si="477"/>
        <v>10477.581600000151</v>
      </c>
      <c r="T507" s="216" t="str">
        <f t="shared" ref="T507:T526" si="479">IF(R507&lt;= Q507,"No Monetizar","Monetizar")</f>
        <v>Monetizar</v>
      </c>
      <c r="U507" s="293"/>
      <c r="V507" s="394">
        <v>46100</v>
      </c>
      <c r="W507" s="393" t="s">
        <v>275</v>
      </c>
      <c r="X507" s="393" t="s">
        <v>275</v>
      </c>
      <c r="Y507" s="393" t="s">
        <v>276</v>
      </c>
      <c r="Z507" s="211">
        <f t="shared" si="472"/>
        <v>1871058.5955000001</v>
      </c>
      <c r="AA507" s="213">
        <f t="shared" si="473"/>
        <v>10477.581600000151</v>
      </c>
      <c r="AF507" s="707"/>
    </row>
    <row r="508" spans="2:32" outlineLevel="1">
      <c r="B508" s="125">
        <v>486</v>
      </c>
      <c r="C508" s="120" t="s">
        <v>1109</v>
      </c>
      <c r="D508" s="153" t="s">
        <v>1529</v>
      </c>
      <c r="E508" s="126">
        <v>46099</v>
      </c>
      <c r="F508" s="126">
        <v>46159</v>
      </c>
      <c r="G508" s="703"/>
      <c r="H508" s="703"/>
      <c r="I508" s="704"/>
      <c r="J508" s="208">
        <f t="shared" ca="1" si="478"/>
        <v>0</v>
      </c>
      <c r="K508" s="134">
        <v>5671.47</v>
      </c>
      <c r="L508" s="134">
        <v>5671.47</v>
      </c>
      <c r="M508" s="661">
        <f t="shared" si="474"/>
        <v>0</v>
      </c>
      <c r="N508" s="219">
        <v>3650.99</v>
      </c>
      <c r="O508" s="130">
        <v>3671.55</v>
      </c>
      <c r="P508" s="168"/>
      <c r="Q508" s="168">
        <f t="shared" si="475"/>
        <v>20706480.2553</v>
      </c>
      <c r="R508" s="168">
        <f t="shared" si="476"/>
        <v>20823085.6785</v>
      </c>
      <c r="S508" s="168">
        <f t="shared" si="477"/>
        <v>116605.42320000008</v>
      </c>
      <c r="T508" s="216" t="str">
        <f t="shared" si="479"/>
        <v>Monetizar</v>
      </c>
      <c r="U508" s="293"/>
      <c r="V508" s="394">
        <v>46100</v>
      </c>
      <c r="W508" s="393" t="s">
        <v>275</v>
      </c>
      <c r="X508" s="393" t="s">
        <v>275</v>
      </c>
      <c r="Y508" s="393" t="s">
        <v>276</v>
      </c>
      <c r="Z508" s="211">
        <f t="shared" si="472"/>
        <v>20823085.6785</v>
      </c>
      <c r="AA508" s="213">
        <f t="shared" si="473"/>
        <v>116605.42320000008</v>
      </c>
      <c r="AF508" s="112"/>
    </row>
    <row r="509" spans="2:32" outlineLevel="1">
      <c r="B509" s="125">
        <v>487</v>
      </c>
      <c r="C509" s="120" t="s">
        <v>120</v>
      </c>
      <c r="D509" s="153" t="s">
        <v>1545</v>
      </c>
      <c r="E509" s="126">
        <v>46105</v>
      </c>
      <c r="F509" s="126">
        <v>46165</v>
      </c>
      <c r="G509" s="718"/>
      <c r="H509" s="718"/>
      <c r="I509" s="719"/>
      <c r="J509" s="720">
        <f t="shared" ca="1" si="478"/>
        <v>0</v>
      </c>
      <c r="K509" s="134">
        <v>240</v>
      </c>
      <c r="L509" s="134">
        <v>238.63893882597131</v>
      </c>
      <c r="M509" s="661">
        <f t="shared" si="474"/>
        <v>1.3610611740286913</v>
      </c>
      <c r="N509" s="219">
        <v>3615.56</v>
      </c>
      <c r="O509" s="130">
        <v>3677</v>
      </c>
      <c r="P509" s="168"/>
      <c r="Q509" s="168">
        <f t="shared" si="475"/>
        <v>867734.4</v>
      </c>
      <c r="R509" s="168">
        <f t="shared" si="476"/>
        <v>877475.37806309655</v>
      </c>
      <c r="S509" s="168">
        <f t="shared" si="477"/>
        <v>9740.9780630965251</v>
      </c>
      <c r="T509" s="216" t="str">
        <f t="shared" si="479"/>
        <v>Monetizar</v>
      </c>
      <c r="U509" s="293"/>
      <c r="V509" s="394">
        <v>46105</v>
      </c>
      <c r="W509" s="393" t="s">
        <v>275</v>
      </c>
      <c r="X509" s="393" t="s">
        <v>275</v>
      </c>
      <c r="Y509" s="393" t="s">
        <v>276</v>
      </c>
      <c r="Z509" s="211">
        <f t="shared" si="472"/>
        <v>882480</v>
      </c>
      <c r="AA509" s="213">
        <f t="shared" si="473"/>
        <v>14745.599999999977</v>
      </c>
      <c r="AF509" s="112"/>
    </row>
    <row r="510" spans="2:32" outlineLevel="1">
      <c r="B510" s="125">
        <v>488</v>
      </c>
      <c r="C510" s="120" t="s">
        <v>120</v>
      </c>
      <c r="D510" s="153" t="s">
        <v>1546</v>
      </c>
      <c r="E510" s="126">
        <v>46105</v>
      </c>
      <c r="F510" s="126">
        <v>46165</v>
      </c>
      <c r="G510" s="718"/>
      <c r="H510" s="718"/>
      <c r="I510" s="719"/>
      <c r="J510" s="720">
        <f t="shared" ca="1" si="478"/>
        <v>0</v>
      </c>
      <c r="K510" s="134">
        <v>3286.66</v>
      </c>
      <c r="L510" s="134">
        <v>3268.0210611740285</v>
      </c>
      <c r="M510" s="661">
        <f t="shared" si="474"/>
        <v>18.638938825971309</v>
      </c>
      <c r="N510" s="219">
        <v>3615.56</v>
      </c>
      <c r="O510" s="130">
        <v>3677</v>
      </c>
      <c r="P510" s="168"/>
      <c r="Q510" s="168">
        <f t="shared" si="475"/>
        <v>11883116.429599999</v>
      </c>
      <c r="R510" s="168">
        <f t="shared" si="476"/>
        <v>12016513.441936903</v>
      </c>
      <c r="S510" s="168">
        <f t="shared" si="477"/>
        <v>133397.01233690418</v>
      </c>
      <c r="T510" s="216" t="str">
        <f t="shared" si="479"/>
        <v>Monetizar</v>
      </c>
      <c r="U510" s="293"/>
      <c r="V510" s="394">
        <v>46105</v>
      </c>
      <c r="W510" s="393" t="s">
        <v>275</v>
      </c>
      <c r="X510" s="393" t="s">
        <v>275</v>
      </c>
      <c r="Y510" s="393" t="s">
        <v>276</v>
      </c>
      <c r="Z510" s="211">
        <f t="shared" si="472"/>
        <v>12085048.82</v>
      </c>
      <c r="AA510" s="213">
        <f t="shared" si="473"/>
        <v>201932.39040000178</v>
      </c>
      <c r="AF510" s="112"/>
    </row>
    <row r="511" spans="2:32" outlineLevel="1">
      <c r="B511" s="125">
        <v>489</v>
      </c>
      <c r="C511" s="120" t="s">
        <v>310</v>
      </c>
      <c r="D511" s="153" t="s">
        <v>1557</v>
      </c>
      <c r="E511" s="126">
        <v>46105</v>
      </c>
      <c r="F511" s="126">
        <v>46165</v>
      </c>
      <c r="G511" s="718"/>
      <c r="H511" s="718"/>
      <c r="I511" s="719"/>
      <c r="J511" s="720">
        <f t="shared" ca="1" si="478"/>
        <v>0</v>
      </c>
      <c r="K511" s="134">
        <v>178.5</v>
      </c>
      <c r="L511" s="134">
        <v>178.5</v>
      </c>
      <c r="M511" s="661">
        <f t="shared" si="474"/>
        <v>0</v>
      </c>
      <c r="N511" s="219">
        <v>3633.4</v>
      </c>
      <c r="O511" s="130">
        <v>3671.66</v>
      </c>
      <c r="P511" s="168"/>
      <c r="Q511" s="168">
        <f t="shared" si="475"/>
        <v>648561.9</v>
      </c>
      <c r="R511" s="168">
        <f t="shared" si="476"/>
        <v>655391.30999999994</v>
      </c>
      <c r="S511" s="168">
        <f t="shared" si="477"/>
        <v>6829.4099999999162</v>
      </c>
      <c r="T511" s="216" t="str">
        <f t="shared" si="479"/>
        <v>Monetizar</v>
      </c>
      <c r="U511" s="293"/>
      <c r="V511" s="394">
        <v>46106</v>
      </c>
      <c r="W511" s="393" t="s">
        <v>275</v>
      </c>
      <c r="X511" s="393" t="s">
        <v>275</v>
      </c>
      <c r="Y511" s="393" t="s">
        <v>276</v>
      </c>
      <c r="Z511" s="211">
        <f t="shared" ref="Z511:Z512" si="480">K511*O511</f>
        <v>655391.30999999994</v>
      </c>
      <c r="AA511" s="213">
        <f t="shared" ref="AA511:AA512" si="481">Z511-Q511</f>
        <v>6829.4099999999162</v>
      </c>
      <c r="AF511" s="112"/>
    </row>
    <row r="512" spans="2:32" outlineLevel="1">
      <c r="B512" s="125">
        <v>490</v>
      </c>
      <c r="C512" s="120" t="s">
        <v>310</v>
      </c>
      <c r="D512" s="153" t="s">
        <v>1558</v>
      </c>
      <c r="E512" s="126">
        <v>46105</v>
      </c>
      <c r="F512" s="126">
        <v>46165</v>
      </c>
      <c r="G512" s="718"/>
      <c r="H512" s="718"/>
      <c r="I512" s="719"/>
      <c r="J512" s="720">
        <f t="shared" ca="1" si="478"/>
        <v>0</v>
      </c>
      <c r="K512" s="134">
        <v>445.95</v>
      </c>
      <c r="L512" s="134">
        <v>445.95</v>
      </c>
      <c r="M512" s="661">
        <f t="shared" si="474"/>
        <v>0</v>
      </c>
      <c r="N512" s="219">
        <v>3633.4</v>
      </c>
      <c r="O512" s="130">
        <v>3671.66</v>
      </c>
      <c r="P512" s="168"/>
      <c r="Q512" s="168">
        <f t="shared" si="475"/>
        <v>1620314.73</v>
      </c>
      <c r="R512" s="168">
        <f t="shared" si="476"/>
        <v>1637376.777</v>
      </c>
      <c r="S512" s="168">
        <f t="shared" si="477"/>
        <v>17062.04700000002</v>
      </c>
      <c r="T512" s="216" t="str">
        <f t="shared" si="479"/>
        <v>Monetizar</v>
      </c>
      <c r="U512" s="293"/>
      <c r="V512" s="394">
        <v>46106</v>
      </c>
      <c r="W512" s="393" t="s">
        <v>275</v>
      </c>
      <c r="X512" s="393" t="s">
        <v>275</v>
      </c>
      <c r="Y512" s="393" t="s">
        <v>276</v>
      </c>
      <c r="Z512" s="211">
        <f t="shared" si="480"/>
        <v>1637376.777</v>
      </c>
      <c r="AA512" s="213">
        <f t="shared" si="481"/>
        <v>17062.04700000002</v>
      </c>
      <c r="AF512" s="112"/>
    </row>
    <row r="513" spans="2:32" outlineLevel="1">
      <c r="B513" s="125">
        <v>491</v>
      </c>
      <c r="C513" s="120" t="s">
        <v>277</v>
      </c>
      <c r="D513" s="153" t="s">
        <v>1551</v>
      </c>
      <c r="E513" s="126">
        <v>46105</v>
      </c>
      <c r="F513" s="126">
        <v>46165</v>
      </c>
      <c r="G513" s="718"/>
      <c r="H513" s="718"/>
      <c r="I513" s="719"/>
      <c r="J513" s="720">
        <f t="shared" ref="J513:J516" ca="1" si="482">IFERROR(IF(TODAY()&gt;=E513,(TODAY()-E513)/I513,0),0)</f>
        <v>0</v>
      </c>
      <c r="K513" s="134">
        <v>9520</v>
      </c>
      <c r="L513" s="134">
        <v>9520</v>
      </c>
      <c r="M513" s="661">
        <f t="shared" si="474"/>
        <v>0</v>
      </c>
      <c r="N513" s="219">
        <v>3671.4</v>
      </c>
      <c r="O513" s="130">
        <v>3691.92</v>
      </c>
      <c r="P513" s="168"/>
      <c r="Q513" s="168">
        <f t="shared" si="475"/>
        <v>34951728</v>
      </c>
      <c r="R513" s="168">
        <f t="shared" si="476"/>
        <v>35147078.399999999</v>
      </c>
      <c r="S513" s="168">
        <f t="shared" si="477"/>
        <v>195350.39999999851</v>
      </c>
      <c r="T513" s="216" t="str">
        <f t="shared" si="479"/>
        <v>Monetizar</v>
      </c>
      <c r="U513" s="293"/>
      <c r="V513" s="394">
        <v>46107</v>
      </c>
      <c r="W513" s="393" t="s">
        <v>275</v>
      </c>
      <c r="X513" s="393" t="s">
        <v>275</v>
      </c>
      <c r="Y513" s="393" t="s">
        <v>276</v>
      </c>
      <c r="Z513" s="211">
        <f t="shared" ref="Z513" si="483">K513*O513</f>
        <v>35147078.399999999</v>
      </c>
      <c r="AA513" s="213">
        <f t="shared" ref="AA513" si="484">Z513-Q513</f>
        <v>195350.39999999851</v>
      </c>
      <c r="AF513" s="112"/>
    </row>
    <row r="514" spans="2:32" outlineLevel="1">
      <c r="B514" s="125">
        <v>492</v>
      </c>
      <c r="C514" s="120" t="s">
        <v>277</v>
      </c>
      <c r="D514" s="153" t="s">
        <v>1552</v>
      </c>
      <c r="E514" s="126">
        <v>46105</v>
      </c>
      <c r="F514" s="126">
        <v>46165</v>
      </c>
      <c r="G514" s="718"/>
      <c r="H514" s="718"/>
      <c r="I514" s="719"/>
      <c r="J514" s="720">
        <f t="shared" ca="1" si="482"/>
        <v>0</v>
      </c>
      <c r="K514" s="134">
        <v>338469</v>
      </c>
      <c r="L514" s="134">
        <v>338469</v>
      </c>
      <c r="M514" s="661">
        <f t="shared" si="474"/>
        <v>0</v>
      </c>
      <c r="N514" s="219">
        <v>3671.4</v>
      </c>
      <c r="O514" s="130">
        <v>3691.92</v>
      </c>
      <c r="P514" s="168"/>
      <c r="Q514" s="168">
        <f t="shared" si="475"/>
        <v>1242655086.6000001</v>
      </c>
      <c r="R514" s="168">
        <f t="shared" si="476"/>
        <v>1249600470.48</v>
      </c>
      <c r="S514" s="168">
        <f t="shared" si="477"/>
        <v>6945383.879999876</v>
      </c>
      <c r="T514" s="216" t="str">
        <f t="shared" si="479"/>
        <v>Monetizar</v>
      </c>
      <c r="U514" s="293"/>
      <c r="V514" s="394">
        <v>46107</v>
      </c>
      <c r="W514" s="393" t="s">
        <v>275</v>
      </c>
      <c r="X514" s="393" t="s">
        <v>275</v>
      </c>
      <c r="Y514" s="393" t="s">
        <v>276</v>
      </c>
      <c r="Z514" s="211">
        <f t="shared" ref="Z514:Z516" si="485">K514*O514</f>
        <v>1249600470.48</v>
      </c>
      <c r="AA514" s="213">
        <f t="shared" ref="AA514:AA516" si="486">Z514-Q514</f>
        <v>6945383.879999876</v>
      </c>
      <c r="AF514" s="112"/>
    </row>
    <row r="515" spans="2:32" outlineLevel="1">
      <c r="B515" s="125">
        <v>493</v>
      </c>
      <c r="C515" s="120" t="s">
        <v>277</v>
      </c>
      <c r="D515" s="153" t="s">
        <v>1553</v>
      </c>
      <c r="E515" s="126">
        <v>46105</v>
      </c>
      <c r="F515" s="126">
        <v>46165</v>
      </c>
      <c r="G515" s="718"/>
      <c r="H515" s="718"/>
      <c r="I515" s="719"/>
      <c r="J515" s="720">
        <f t="shared" ca="1" si="482"/>
        <v>0</v>
      </c>
      <c r="K515" s="134">
        <v>714</v>
      </c>
      <c r="L515" s="134">
        <v>714</v>
      </c>
      <c r="M515" s="661">
        <f t="shared" si="474"/>
        <v>0</v>
      </c>
      <c r="N515" s="219">
        <v>3671.4</v>
      </c>
      <c r="O515" s="130">
        <v>3691.92</v>
      </c>
      <c r="P515" s="168"/>
      <c r="Q515" s="168">
        <f t="shared" si="475"/>
        <v>2621379.6</v>
      </c>
      <c r="R515" s="168">
        <f t="shared" si="476"/>
        <v>2636030.88</v>
      </c>
      <c r="S515" s="168">
        <f t="shared" si="477"/>
        <v>14651.279999999795</v>
      </c>
      <c r="T515" s="216" t="str">
        <f t="shared" si="479"/>
        <v>Monetizar</v>
      </c>
      <c r="U515" s="293"/>
      <c r="V515" s="394">
        <v>46107</v>
      </c>
      <c r="W515" s="393" t="s">
        <v>275</v>
      </c>
      <c r="X515" s="393" t="s">
        <v>275</v>
      </c>
      <c r="Y515" s="393" t="s">
        <v>276</v>
      </c>
      <c r="Z515" s="211">
        <f t="shared" si="485"/>
        <v>2636030.88</v>
      </c>
      <c r="AA515" s="213">
        <f t="shared" si="486"/>
        <v>14651.279999999795</v>
      </c>
      <c r="AF515" s="112"/>
    </row>
    <row r="516" spans="2:32" outlineLevel="1">
      <c r="B516" s="125">
        <v>494</v>
      </c>
      <c r="C516" s="120" t="s">
        <v>277</v>
      </c>
      <c r="D516" s="153" t="s">
        <v>1554</v>
      </c>
      <c r="E516" s="126">
        <v>46105</v>
      </c>
      <c r="F516" s="126">
        <v>46165</v>
      </c>
      <c r="G516" s="718"/>
      <c r="H516" s="718"/>
      <c r="I516" s="719"/>
      <c r="J516" s="720">
        <f t="shared" ca="1" si="482"/>
        <v>0</v>
      </c>
      <c r="K516" s="134">
        <v>10073.64</v>
      </c>
      <c r="L516" s="134">
        <v>10073.64</v>
      </c>
      <c r="M516" s="661">
        <f t="shared" si="474"/>
        <v>0</v>
      </c>
      <c r="N516" s="219">
        <v>3671.4</v>
      </c>
      <c r="O516" s="130">
        <v>3691.92</v>
      </c>
      <c r="P516" s="168"/>
      <c r="Q516" s="168">
        <f t="shared" si="475"/>
        <v>36984361.895999998</v>
      </c>
      <c r="R516" s="168">
        <f t="shared" si="476"/>
        <v>37191072.988799997</v>
      </c>
      <c r="S516" s="168">
        <f t="shared" si="477"/>
        <v>206711.09279999882</v>
      </c>
      <c r="T516" s="216" t="str">
        <f t="shared" si="479"/>
        <v>Monetizar</v>
      </c>
      <c r="U516" s="293"/>
      <c r="V516" s="394">
        <v>46107</v>
      </c>
      <c r="W516" s="393" t="s">
        <v>275</v>
      </c>
      <c r="X516" s="393" t="s">
        <v>275</v>
      </c>
      <c r="Y516" s="393" t="s">
        <v>276</v>
      </c>
      <c r="Z516" s="211">
        <f t="shared" si="485"/>
        <v>37191072.988799997</v>
      </c>
      <c r="AA516" s="213">
        <f t="shared" si="486"/>
        <v>206711.09279999882</v>
      </c>
      <c r="AF516" s="112"/>
    </row>
    <row r="517" spans="2:32" outlineLevel="1">
      <c r="B517" s="125">
        <v>495</v>
      </c>
      <c r="C517" s="120" t="s">
        <v>441</v>
      </c>
      <c r="D517" s="153" t="s">
        <v>1532</v>
      </c>
      <c r="E517" s="126">
        <v>46100</v>
      </c>
      <c r="F517" s="126">
        <v>46160</v>
      </c>
      <c r="G517" s="718"/>
      <c r="H517" s="718"/>
      <c r="I517" s="719"/>
      <c r="J517" s="720">
        <f t="shared" ref="J517:J518" ca="1" si="487">IFERROR(IF(TODAY()&gt;=E517,(TODAY()-E517)/I517,0),0)</f>
        <v>0</v>
      </c>
      <c r="K517" s="134">
        <v>979.52</v>
      </c>
      <c r="L517" s="134">
        <v>978.67093979813671</v>
      </c>
      <c r="M517" s="661">
        <f t="shared" si="474"/>
        <v>0.84906020186326714</v>
      </c>
      <c r="N517" s="219">
        <v>3614.1</v>
      </c>
      <c r="O517" s="130">
        <v>3691.92</v>
      </c>
      <c r="P517" s="168"/>
      <c r="Q517" s="168">
        <f t="shared" si="475"/>
        <v>3540083.2319999998</v>
      </c>
      <c r="R517" s="168">
        <f t="shared" si="476"/>
        <v>3613174.8160595368</v>
      </c>
      <c r="S517" s="168">
        <f t="shared" si="477"/>
        <v>73091.584059536923</v>
      </c>
      <c r="T517" s="216" t="str">
        <f t="shared" si="479"/>
        <v>Monetizar</v>
      </c>
      <c r="U517" s="293"/>
      <c r="V517" s="394">
        <v>46107</v>
      </c>
      <c r="W517" s="393" t="s">
        <v>275</v>
      </c>
      <c r="X517" s="393" t="s">
        <v>275</v>
      </c>
      <c r="Y517" s="393" t="s">
        <v>276</v>
      </c>
      <c r="Z517" s="211">
        <f t="shared" ref="Z517:Z518" si="488">K517*O517</f>
        <v>3616309.4783999999</v>
      </c>
      <c r="AA517" s="213">
        <f t="shared" ref="AA517:AA518" si="489">Z517-Q517</f>
        <v>76226.246400000062</v>
      </c>
      <c r="AF517" s="112"/>
    </row>
    <row r="518" spans="2:32" outlineLevel="1">
      <c r="B518" s="125">
        <v>496</v>
      </c>
      <c r="C518" s="120" t="s">
        <v>441</v>
      </c>
      <c r="D518" s="153" t="s">
        <v>1533</v>
      </c>
      <c r="E518" s="126">
        <v>46100</v>
      </c>
      <c r="F518" s="126">
        <v>46160</v>
      </c>
      <c r="G518" s="718"/>
      <c r="H518" s="718"/>
      <c r="I518" s="719"/>
      <c r="J518" s="720">
        <f t="shared" ca="1" si="487"/>
        <v>0</v>
      </c>
      <c r="K518" s="134">
        <v>16325.26</v>
      </c>
      <c r="L518" s="134">
        <v>16311.109060201863</v>
      </c>
      <c r="M518" s="661">
        <f t="shared" si="474"/>
        <v>14.150939798137188</v>
      </c>
      <c r="N518" s="219">
        <v>3614.1</v>
      </c>
      <c r="O518" s="130">
        <v>3691.92</v>
      </c>
      <c r="P518" s="168"/>
      <c r="Q518" s="168">
        <f t="shared" si="475"/>
        <v>59001122.166000001</v>
      </c>
      <c r="R518" s="168">
        <f t="shared" si="476"/>
        <v>60219309.761540465</v>
      </c>
      <c r="S518" s="168">
        <f t="shared" si="477"/>
        <v>1218187.5955404639</v>
      </c>
      <c r="T518" s="216" t="str">
        <f t="shared" si="479"/>
        <v>Monetizar</v>
      </c>
      <c r="U518" s="293"/>
      <c r="V518" s="394">
        <v>46107</v>
      </c>
      <c r="W518" s="393" t="s">
        <v>275</v>
      </c>
      <c r="X518" s="393" t="s">
        <v>275</v>
      </c>
      <c r="Y518" s="393" t="s">
        <v>276</v>
      </c>
      <c r="Z518" s="211">
        <f t="shared" si="488"/>
        <v>60271553.8992</v>
      </c>
      <c r="AA518" s="213">
        <f t="shared" si="489"/>
        <v>1270431.7331999987</v>
      </c>
      <c r="AF518" s="112"/>
    </row>
    <row r="519" spans="2:32" outlineLevel="1">
      <c r="B519" s="125">
        <v>497</v>
      </c>
      <c r="C519" s="120" t="s">
        <v>118</v>
      </c>
      <c r="D519" s="153" t="s">
        <v>1530</v>
      </c>
      <c r="E519" s="126">
        <v>46099</v>
      </c>
      <c r="F519" s="126">
        <v>46159</v>
      </c>
      <c r="G519" s="718"/>
      <c r="H519" s="718"/>
      <c r="I519" s="719"/>
      <c r="J519" s="720">
        <f t="shared" ref="J519:J520" ca="1" si="490">IFERROR(IF(TODAY()&gt;=E519,(TODAY()-E519)/I519,0),0)</f>
        <v>0</v>
      </c>
      <c r="K519" s="134">
        <v>138.19</v>
      </c>
      <c r="L519" s="134">
        <v>138.19</v>
      </c>
      <c r="M519" s="661">
        <f t="shared" si="474"/>
        <v>0</v>
      </c>
      <c r="N519" s="219">
        <v>3614.1</v>
      </c>
      <c r="O519" s="130">
        <v>3691.92</v>
      </c>
      <c r="P519" s="168"/>
      <c r="Q519" s="168">
        <f t="shared" si="475"/>
        <v>499432.47899999999</v>
      </c>
      <c r="R519" s="168">
        <f t="shared" si="476"/>
        <v>510186.42479999998</v>
      </c>
      <c r="S519" s="168">
        <f t="shared" si="477"/>
        <v>10753.945799999987</v>
      </c>
      <c r="T519" s="216" t="str">
        <f t="shared" si="479"/>
        <v>Monetizar</v>
      </c>
      <c r="U519" s="293"/>
      <c r="V519" s="394">
        <v>46107</v>
      </c>
      <c r="W519" s="393" t="s">
        <v>275</v>
      </c>
      <c r="X519" s="393" t="s">
        <v>275</v>
      </c>
      <c r="Y519" s="393" t="s">
        <v>276</v>
      </c>
      <c r="Z519" s="211">
        <f t="shared" ref="Z519:Z520" si="491">K519*O519</f>
        <v>510186.42479999998</v>
      </c>
      <c r="AA519" s="213">
        <f t="shared" ref="AA519:AA520" si="492">Z519-Q519</f>
        <v>10753.945799999987</v>
      </c>
      <c r="AF519" s="112"/>
    </row>
    <row r="520" spans="2:32" outlineLevel="1">
      <c r="B520" s="125">
        <v>498</v>
      </c>
      <c r="C520" s="120" t="s">
        <v>118</v>
      </c>
      <c r="D520" s="153" t="s">
        <v>1531</v>
      </c>
      <c r="E520" s="126">
        <v>46099</v>
      </c>
      <c r="F520" s="126">
        <v>46159</v>
      </c>
      <c r="G520" s="718"/>
      <c r="H520" s="718"/>
      <c r="I520" s="719"/>
      <c r="J520" s="720">
        <f t="shared" ca="1" si="490"/>
        <v>0</v>
      </c>
      <c r="K520" s="134">
        <v>1256.28</v>
      </c>
      <c r="L520" s="134">
        <v>1256.28</v>
      </c>
      <c r="M520" s="661">
        <f t="shared" si="474"/>
        <v>0</v>
      </c>
      <c r="N520" s="219">
        <v>3614.1</v>
      </c>
      <c r="O520" s="130">
        <v>3691.92</v>
      </c>
      <c r="P520" s="168"/>
      <c r="Q520" s="168">
        <f t="shared" si="475"/>
        <v>4540321.5479999995</v>
      </c>
      <c r="R520" s="168">
        <f t="shared" si="476"/>
        <v>4638085.2576000001</v>
      </c>
      <c r="S520" s="168">
        <f t="shared" si="477"/>
        <v>97763.709600000642</v>
      </c>
      <c r="T520" s="216" t="str">
        <f t="shared" si="479"/>
        <v>Monetizar</v>
      </c>
      <c r="U520" s="293"/>
      <c r="V520" s="394">
        <v>46107</v>
      </c>
      <c r="W520" s="393" t="s">
        <v>275</v>
      </c>
      <c r="X520" s="393" t="s">
        <v>275</v>
      </c>
      <c r="Y520" s="393" t="s">
        <v>276</v>
      </c>
      <c r="Z520" s="211">
        <f t="shared" si="491"/>
        <v>4638085.2576000001</v>
      </c>
      <c r="AA520" s="213">
        <f t="shared" si="492"/>
        <v>97763.709600000642</v>
      </c>
      <c r="AF520" s="112"/>
    </row>
    <row r="521" spans="2:32" outlineLevel="1">
      <c r="B521" s="125">
        <v>499</v>
      </c>
      <c r="C521" s="120" t="s">
        <v>116</v>
      </c>
      <c r="D521" s="153" t="s">
        <v>1543</v>
      </c>
      <c r="E521" s="126">
        <v>46104</v>
      </c>
      <c r="F521" s="126">
        <v>46164</v>
      </c>
      <c r="G521" s="718"/>
      <c r="H521" s="718"/>
      <c r="I521" s="719"/>
      <c r="J521" s="720">
        <f t="shared" ref="J521:J522" ca="1" si="493">IFERROR(IF(TODAY()&gt;=E521,(TODAY()-E521)/I521,0),0)</f>
        <v>0</v>
      </c>
      <c r="K521" s="134">
        <v>363.46</v>
      </c>
      <c r="L521" s="134">
        <v>362.634316720166</v>
      </c>
      <c r="M521" s="661">
        <f t="shared" si="474"/>
        <v>0.82568327983398149</v>
      </c>
      <c r="N521" s="219">
        <v>3614.1</v>
      </c>
      <c r="O521" s="130">
        <v>3691.92</v>
      </c>
      <c r="P521" s="168"/>
      <c r="Q521" s="168">
        <f t="shared" si="475"/>
        <v>1313580.7859999998</v>
      </c>
      <c r="R521" s="168">
        <f t="shared" si="476"/>
        <v>1338816.8865855152</v>
      </c>
      <c r="S521" s="168">
        <f t="shared" si="477"/>
        <v>25236.100585515378</v>
      </c>
      <c r="T521" s="216" t="str">
        <f t="shared" si="479"/>
        <v>Monetizar</v>
      </c>
      <c r="U521" s="293"/>
      <c r="V521" s="394">
        <v>46107</v>
      </c>
      <c r="W521" s="393" t="s">
        <v>275</v>
      </c>
      <c r="X521" s="393" t="s">
        <v>275</v>
      </c>
      <c r="Y521" s="393" t="s">
        <v>276</v>
      </c>
      <c r="Z521" s="211">
        <f t="shared" ref="Z521:Z522" si="494">K521*O521</f>
        <v>1341865.2431999999</v>
      </c>
      <c r="AA521" s="213">
        <f t="shared" ref="AA521:AA522" si="495">Z521-Q521</f>
        <v>28284.457200000063</v>
      </c>
      <c r="AF521" s="112"/>
    </row>
    <row r="522" spans="2:32" outlineLevel="1">
      <c r="B522" s="125">
        <v>500</v>
      </c>
      <c r="C522" s="120" t="s">
        <v>116</v>
      </c>
      <c r="D522" s="153" t="s">
        <v>1544</v>
      </c>
      <c r="E522" s="126">
        <v>46104</v>
      </c>
      <c r="F522" s="126">
        <v>46164</v>
      </c>
      <c r="G522" s="718"/>
      <c r="H522" s="718"/>
      <c r="I522" s="719"/>
      <c r="J522" s="720">
        <f t="shared" ca="1" si="493"/>
        <v>0</v>
      </c>
      <c r="K522" s="134">
        <v>4038.47</v>
      </c>
      <c r="L522" s="134">
        <v>4029.2956832798345</v>
      </c>
      <c r="M522" s="661">
        <f t="shared" si="474"/>
        <v>9.1743167201652795</v>
      </c>
      <c r="N522" s="219">
        <v>3614.1</v>
      </c>
      <c r="O522" s="130">
        <v>3691.92</v>
      </c>
      <c r="P522" s="168"/>
      <c r="Q522" s="168">
        <f t="shared" si="475"/>
        <v>14595434.426999999</v>
      </c>
      <c r="R522" s="168">
        <f t="shared" si="476"/>
        <v>14875837.319014488</v>
      </c>
      <c r="S522" s="168">
        <f t="shared" si="477"/>
        <v>280402.89201448858</v>
      </c>
      <c r="T522" s="216" t="str">
        <f t="shared" si="479"/>
        <v>Monetizar</v>
      </c>
      <c r="U522" s="293"/>
      <c r="V522" s="394">
        <v>46107</v>
      </c>
      <c r="W522" s="393" t="s">
        <v>275</v>
      </c>
      <c r="X522" s="393" t="s">
        <v>275</v>
      </c>
      <c r="Y522" s="393" t="s">
        <v>276</v>
      </c>
      <c r="Z522" s="211">
        <f t="shared" si="494"/>
        <v>14909708.1624</v>
      </c>
      <c r="AA522" s="213">
        <f t="shared" si="495"/>
        <v>314273.73540000059</v>
      </c>
      <c r="AF522" s="112"/>
    </row>
    <row r="523" spans="2:32" outlineLevel="1">
      <c r="B523" s="125">
        <v>501</v>
      </c>
      <c r="C523" s="120" t="s">
        <v>265</v>
      </c>
      <c r="D523" s="153" t="s">
        <v>1541</v>
      </c>
      <c r="E523" s="126">
        <v>46098</v>
      </c>
      <c r="F523" s="126">
        <v>46158</v>
      </c>
      <c r="G523" s="718"/>
      <c r="H523" s="718"/>
      <c r="I523" s="719"/>
      <c r="J523" s="720">
        <f t="shared" ref="J523:J524" ca="1" si="496">IFERROR(IF(TODAY()&gt;=E523,(TODAY()-E523)/I523,0),0)</f>
        <v>0</v>
      </c>
      <c r="K523" s="134">
        <v>652.85</v>
      </c>
      <c r="L523" s="134">
        <v>652.85</v>
      </c>
      <c r="M523" s="661">
        <f>K523-L523</f>
        <v>0</v>
      </c>
      <c r="N523" s="219">
        <v>3650.99</v>
      </c>
      <c r="O523" s="130">
        <v>3696.37</v>
      </c>
      <c r="P523" s="168"/>
      <c r="Q523" s="168">
        <f t="shared" si="475"/>
        <v>2383548.8215000001</v>
      </c>
      <c r="R523" s="168">
        <f t="shared" si="476"/>
        <v>2413175.1545000002</v>
      </c>
      <c r="S523" s="168">
        <f t="shared" si="477"/>
        <v>29626.333000000101</v>
      </c>
      <c r="T523" s="216" t="str">
        <f t="shared" si="479"/>
        <v>Monetizar</v>
      </c>
      <c r="U523" s="293"/>
      <c r="V523" s="394">
        <v>46107</v>
      </c>
      <c r="W523" s="393" t="s">
        <v>275</v>
      </c>
      <c r="X523" s="393" t="s">
        <v>275</v>
      </c>
      <c r="Y523" s="393" t="s">
        <v>276</v>
      </c>
      <c r="Z523" s="211">
        <f t="shared" ref="Z523:Z526" si="497">K523*O523</f>
        <v>2413175.1545000002</v>
      </c>
      <c r="AA523" s="213">
        <f t="shared" ref="AA523:AA526" si="498">Z523-Q523</f>
        <v>29626.333000000101</v>
      </c>
      <c r="AF523" s="112"/>
    </row>
    <row r="524" spans="2:32" outlineLevel="1">
      <c r="B524" s="125">
        <v>502</v>
      </c>
      <c r="C524" s="120" t="s">
        <v>265</v>
      </c>
      <c r="D524" s="153" t="s">
        <v>1542</v>
      </c>
      <c r="E524" s="126">
        <v>46098</v>
      </c>
      <c r="F524" s="126">
        <v>46158</v>
      </c>
      <c r="G524" s="718"/>
      <c r="H524" s="718"/>
      <c r="I524" s="719"/>
      <c r="J524" s="720">
        <f t="shared" ca="1" si="496"/>
        <v>0</v>
      </c>
      <c r="K524" s="134">
        <v>11870.01</v>
      </c>
      <c r="L524" s="134">
        <v>11870.01</v>
      </c>
      <c r="M524" s="661">
        <f>K524-L524</f>
        <v>0</v>
      </c>
      <c r="N524" s="219">
        <v>3650.99</v>
      </c>
      <c r="O524" s="130">
        <v>3696.37</v>
      </c>
      <c r="P524" s="168"/>
      <c r="Q524" s="168">
        <f t="shared" si="475"/>
        <v>43337287.809900001</v>
      </c>
      <c r="R524" s="168">
        <f t="shared" si="476"/>
        <v>43875948.863700002</v>
      </c>
      <c r="S524" s="168">
        <f t="shared" si="477"/>
        <v>538661.05380000174</v>
      </c>
      <c r="T524" s="216" t="str">
        <f t="shared" si="479"/>
        <v>Monetizar</v>
      </c>
      <c r="U524" s="293"/>
      <c r="V524" s="394">
        <v>46107</v>
      </c>
      <c r="W524" s="393" t="s">
        <v>275</v>
      </c>
      <c r="X524" s="393" t="s">
        <v>275</v>
      </c>
      <c r="Y524" s="393" t="s">
        <v>276</v>
      </c>
      <c r="Z524" s="211">
        <f t="shared" si="497"/>
        <v>43875948.863700002</v>
      </c>
      <c r="AA524" s="213">
        <f t="shared" si="498"/>
        <v>538661.05380000174</v>
      </c>
      <c r="AF524" s="112"/>
    </row>
    <row r="525" spans="2:32" outlineLevel="1">
      <c r="B525" s="125">
        <v>503</v>
      </c>
      <c r="C525" s="120" t="s">
        <v>288</v>
      </c>
      <c r="D525" s="153" t="s">
        <v>1559</v>
      </c>
      <c r="E525" s="126">
        <v>46105</v>
      </c>
      <c r="F525" s="126">
        <v>46165</v>
      </c>
      <c r="G525" s="718"/>
      <c r="H525" s="718"/>
      <c r="I525" s="719"/>
      <c r="J525" s="720">
        <f t="shared" ref="J525:J536" ca="1" si="499">IFERROR(IF(TODAY()&gt;=E525,(TODAY()-E525)/I525,0),0)</f>
        <v>0</v>
      </c>
      <c r="K525" s="134">
        <v>1569.87</v>
      </c>
      <c r="L525" s="134">
        <v>1565.3514676230748</v>
      </c>
      <c r="M525" s="661">
        <f t="shared" ref="M525:M536" si="500">K525-L525</f>
        <v>4.5185323769251227</v>
      </c>
      <c r="N525" s="219">
        <v>3650.99</v>
      </c>
      <c r="O525" s="130">
        <v>3696.37</v>
      </c>
      <c r="P525" s="168"/>
      <c r="Q525" s="168">
        <f t="shared" si="475"/>
        <v>5731579.6712999996</v>
      </c>
      <c r="R525" s="168">
        <f t="shared" si="476"/>
        <v>5786118.2043779045</v>
      </c>
      <c r="S525" s="168">
        <f t="shared" si="477"/>
        <v>54538.533077904955</v>
      </c>
      <c r="T525" s="216" t="str">
        <f t="shared" si="479"/>
        <v>Monetizar</v>
      </c>
      <c r="U525" s="293"/>
      <c r="V525" s="394">
        <v>46107</v>
      </c>
      <c r="W525" s="393" t="s">
        <v>275</v>
      </c>
      <c r="X525" s="393" t="s">
        <v>275</v>
      </c>
      <c r="Y525" s="393" t="s">
        <v>276</v>
      </c>
      <c r="Z525" s="211">
        <f t="shared" si="497"/>
        <v>5802820.3718999997</v>
      </c>
      <c r="AA525" s="213">
        <f t="shared" si="498"/>
        <v>71240.700600000098</v>
      </c>
      <c r="AF525" s="112"/>
    </row>
    <row r="526" spans="2:32" outlineLevel="1">
      <c r="B526" s="125">
        <v>504</v>
      </c>
      <c r="C526" s="120" t="s">
        <v>288</v>
      </c>
      <c r="D526" s="153" t="s">
        <v>1560</v>
      </c>
      <c r="E526" s="126">
        <v>46105</v>
      </c>
      <c r="F526" s="126">
        <v>46165</v>
      </c>
      <c r="G526" s="718"/>
      <c r="H526" s="718"/>
      <c r="I526" s="719"/>
      <c r="J526" s="720">
        <f t="shared" ca="1" si="499"/>
        <v>0</v>
      </c>
      <c r="K526" s="134">
        <v>19623.310000000001</v>
      </c>
      <c r="L526" s="134">
        <v>19566.828532376927</v>
      </c>
      <c r="M526" s="661">
        <f t="shared" si="500"/>
        <v>56.481467623074423</v>
      </c>
      <c r="N526" s="219">
        <v>3650.99</v>
      </c>
      <c r="O526" s="130">
        <v>3696.37</v>
      </c>
      <c r="P526" s="168"/>
      <c r="Q526" s="168">
        <f t="shared" si="475"/>
        <v>71644508.576900005</v>
      </c>
      <c r="R526" s="168">
        <f t="shared" si="476"/>
        <v>72326237.982222095</v>
      </c>
      <c r="S526" s="168">
        <f t="shared" si="477"/>
        <v>681729.40532208979</v>
      </c>
      <c r="T526" s="216" t="str">
        <f t="shared" si="479"/>
        <v>Monetizar</v>
      </c>
      <c r="U526" s="293"/>
      <c r="V526" s="394">
        <v>46107</v>
      </c>
      <c r="W526" s="393" t="s">
        <v>275</v>
      </c>
      <c r="X526" s="393" t="s">
        <v>275</v>
      </c>
      <c r="Y526" s="393" t="s">
        <v>276</v>
      </c>
      <c r="Z526" s="211">
        <f t="shared" si="497"/>
        <v>72535014.3847</v>
      </c>
      <c r="AA526" s="213">
        <f t="shared" si="498"/>
        <v>890505.80779999495</v>
      </c>
      <c r="AF526" s="112"/>
    </row>
    <row r="527" spans="2:32" outlineLevel="1">
      <c r="B527" s="125">
        <v>505</v>
      </c>
      <c r="C527" s="120" t="s">
        <v>115</v>
      </c>
      <c r="D527" s="153" t="s">
        <v>1576</v>
      </c>
      <c r="E527" s="126">
        <v>46107</v>
      </c>
      <c r="F527" s="126">
        <v>46169</v>
      </c>
      <c r="G527" s="703"/>
      <c r="H527" s="703"/>
      <c r="I527" s="704"/>
      <c r="J527" s="208">
        <f t="shared" ca="1" si="499"/>
        <v>0</v>
      </c>
      <c r="K527" s="134">
        <v>1063.98</v>
      </c>
      <c r="L527" s="134">
        <v>1062.4952982966913</v>
      </c>
      <c r="M527" s="661">
        <f t="shared" si="500"/>
        <v>1.4847017033087013</v>
      </c>
      <c r="N527" s="219">
        <v>3634.62</v>
      </c>
      <c r="O527" s="130">
        <v>3696.37</v>
      </c>
      <c r="P527" s="168"/>
      <c r="Q527" s="168">
        <f t="shared" ref="Q527:Q528" si="501">K527*N527</f>
        <v>3867162.9876000001</v>
      </c>
      <c r="R527" s="168">
        <f t="shared" ref="R527:R528" si="502">L527*O527</f>
        <v>3927375.745764941</v>
      </c>
      <c r="S527" s="168">
        <f t="shared" ref="S527:S528" si="503">R527-Q527</f>
        <v>60212.758164940868</v>
      </c>
      <c r="T527" s="216" t="str">
        <f t="shared" ref="T527:T528" si="504">IF(R527&lt;= Q527,"No Monetizar","Monetizar")</f>
        <v>Monetizar</v>
      </c>
      <c r="U527" s="293"/>
      <c r="V527" s="394">
        <v>46107</v>
      </c>
      <c r="W527" s="393" t="s">
        <v>275</v>
      </c>
      <c r="X527" s="393" t="s">
        <v>275</v>
      </c>
      <c r="Y527" s="393" t="s">
        <v>276</v>
      </c>
      <c r="Z527" s="211">
        <f t="shared" ref="Z527:Z528" si="505">K527*O527</f>
        <v>3932863.7525999998</v>
      </c>
      <c r="AA527" s="213">
        <f t="shared" ref="AA527:AA528" si="506">Z527-Q527</f>
        <v>65700.764999999665</v>
      </c>
      <c r="AF527" s="112"/>
    </row>
    <row r="528" spans="2:32" outlineLevel="1">
      <c r="B528" s="125">
        <v>506</v>
      </c>
      <c r="C528" s="120" t="s">
        <v>115</v>
      </c>
      <c r="D528" s="153" t="s">
        <v>1577</v>
      </c>
      <c r="E528" s="126">
        <v>46107</v>
      </c>
      <c r="F528" s="126">
        <v>46169</v>
      </c>
      <c r="G528" s="703"/>
      <c r="H528" s="703"/>
      <c r="I528" s="704"/>
      <c r="J528" s="208">
        <f t="shared" ca="1" si="499"/>
        <v>0</v>
      </c>
      <c r="K528" s="134">
        <v>16851.740000000002</v>
      </c>
      <c r="L528" s="134">
        <v>16828.224701703311</v>
      </c>
      <c r="M528" s="661">
        <f t="shared" si="500"/>
        <v>23.515298296690162</v>
      </c>
      <c r="N528" s="219">
        <v>3634.62</v>
      </c>
      <c r="O528" s="130">
        <v>3696.37</v>
      </c>
      <c r="P528" s="168"/>
      <c r="Q528" s="168">
        <f t="shared" si="501"/>
        <v>61249671.238800004</v>
      </c>
      <c r="R528" s="168">
        <f t="shared" si="502"/>
        <v>62203344.94063507</v>
      </c>
      <c r="S528" s="168">
        <f t="shared" si="503"/>
        <v>953673.70183506608</v>
      </c>
      <c r="T528" s="216" t="str">
        <f t="shared" si="504"/>
        <v>Monetizar</v>
      </c>
      <c r="U528" s="293"/>
      <c r="V528" s="394">
        <v>46107</v>
      </c>
      <c r="W528" s="393" t="s">
        <v>275</v>
      </c>
      <c r="X528" s="393" t="s">
        <v>275</v>
      </c>
      <c r="Y528" s="393" t="s">
        <v>276</v>
      </c>
      <c r="Z528" s="211">
        <f t="shared" si="505"/>
        <v>62290266.183800004</v>
      </c>
      <c r="AA528" s="213">
        <f t="shared" si="506"/>
        <v>1040594.9450000003</v>
      </c>
      <c r="AF528" s="112"/>
    </row>
    <row r="529" spans="2:32" outlineLevel="1">
      <c r="B529" s="125">
        <v>507</v>
      </c>
      <c r="C529" s="120" t="s">
        <v>287</v>
      </c>
      <c r="D529" s="153" t="s">
        <v>1578</v>
      </c>
      <c r="E529" s="126">
        <v>46104</v>
      </c>
      <c r="F529" s="126">
        <v>46164</v>
      </c>
      <c r="G529" s="703"/>
      <c r="H529" s="703"/>
      <c r="I529" s="704"/>
      <c r="J529" s="208">
        <f t="shared" ca="1" si="499"/>
        <v>0</v>
      </c>
      <c r="K529" s="134">
        <v>95.35</v>
      </c>
      <c r="L529" s="134">
        <v>95.35</v>
      </c>
      <c r="M529" s="661">
        <f t="shared" si="500"/>
        <v>0</v>
      </c>
      <c r="N529" s="219">
        <v>3543.31</v>
      </c>
      <c r="O529" s="130">
        <v>3696.37</v>
      </c>
      <c r="P529" s="168"/>
      <c r="Q529" s="168">
        <f t="shared" ref="Q529:Q532" si="507">K529*N529</f>
        <v>337854.60849999997</v>
      </c>
      <c r="R529" s="168">
        <f t="shared" ref="R529:R532" si="508">L529*O529</f>
        <v>352448.87949999998</v>
      </c>
      <c r="S529" s="168">
        <f t="shared" ref="S529:S532" si="509">R529-Q529</f>
        <v>14594.271000000008</v>
      </c>
      <c r="T529" s="216" t="str">
        <f t="shared" ref="T529:T532" si="510">IF(R529&lt;= Q529,"No Monetizar","Monetizar")</f>
        <v>Monetizar</v>
      </c>
      <c r="U529" s="293"/>
      <c r="V529" s="394">
        <v>46107</v>
      </c>
      <c r="W529" s="393" t="s">
        <v>275</v>
      </c>
      <c r="X529" s="393" t="s">
        <v>275</v>
      </c>
      <c r="Y529" s="393" t="s">
        <v>276</v>
      </c>
      <c r="Z529" s="211">
        <f t="shared" ref="Z529:Z532" si="511">K529*O529</f>
        <v>352448.87949999998</v>
      </c>
      <c r="AA529" s="213">
        <f t="shared" ref="AA529:AA532" si="512">Z529-Q529</f>
        <v>14594.271000000008</v>
      </c>
      <c r="AF529" s="112"/>
    </row>
    <row r="530" spans="2:32" outlineLevel="1">
      <c r="B530" s="125">
        <v>508</v>
      </c>
      <c r="C530" s="120" t="s">
        <v>287</v>
      </c>
      <c r="D530" s="153" t="s">
        <v>1579</v>
      </c>
      <c r="E530" s="126">
        <v>46104</v>
      </c>
      <c r="F530" s="126">
        <v>46164</v>
      </c>
      <c r="G530" s="703"/>
      <c r="H530" s="703"/>
      <c r="I530" s="704"/>
      <c r="J530" s="208">
        <f t="shared" ca="1" si="499"/>
        <v>0</v>
      </c>
      <c r="K530" s="134">
        <v>953.52</v>
      </c>
      <c r="L530" s="134">
        <v>953.52</v>
      </c>
      <c r="M530" s="661">
        <f t="shared" si="500"/>
        <v>0</v>
      </c>
      <c r="N530" s="219">
        <v>3543.31</v>
      </c>
      <c r="O530" s="130">
        <v>3696.37</v>
      </c>
      <c r="P530" s="168"/>
      <c r="Q530" s="168">
        <f t="shared" si="507"/>
        <v>3378616.9512</v>
      </c>
      <c r="R530" s="168">
        <f t="shared" si="508"/>
        <v>3524562.7223999999</v>
      </c>
      <c r="S530" s="168">
        <f t="shared" si="509"/>
        <v>145945.77119999984</v>
      </c>
      <c r="T530" s="216" t="str">
        <f t="shared" si="510"/>
        <v>Monetizar</v>
      </c>
      <c r="U530" s="293"/>
      <c r="V530" s="394">
        <v>46107</v>
      </c>
      <c r="W530" s="393" t="s">
        <v>275</v>
      </c>
      <c r="X530" s="393" t="s">
        <v>275</v>
      </c>
      <c r="Y530" s="393" t="s">
        <v>276</v>
      </c>
      <c r="Z530" s="211">
        <f t="shared" si="511"/>
        <v>3524562.7223999999</v>
      </c>
      <c r="AA530" s="213">
        <f t="shared" si="512"/>
        <v>145945.77119999984</v>
      </c>
      <c r="AF530" s="112"/>
    </row>
    <row r="531" spans="2:32" outlineLevel="1">
      <c r="B531" s="125">
        <v>509</v>
      </c>
      <c r="C531" s="120" t="s">
        <v>287</v>
      </c>
      <c r="D531" s="153" t="s">
        <v>1580</v>
      </c>
      <c r="E531" s="126">
        <v>46104</v>
      </c>
      <c r="F531" s="126">
        <v>46164</v>
      </c>
      <c r="G531" s="703"/>
      <c r="H531" s="703"/>
      <c r="I531" s="704"/>
      <c r="J531" s="208">
        <f t="shared" ca="1" si="499"/>
        <v>0</v>
      </c>
      <c r="K531" s="134">
        <v>125.22</v>
      </c>
      <c r="L531" s="134">
        <v>125.22</v>
      </c>
      <c r="M531" s="661">
        <f t="shared" si="500"/>
        <v>0</v>
      </c>
      <c r="N531" s="219">
        <v>3614.11</v>
      </c>
      <c r="O531" s="130">
        <v>3696.37</v>
      </c>
      <c r="P531" s="168"/>
      <c r="Q531" s="168">
        <f t="shared" si="507"/>
        <v>452558.8542</v>
      </c>
      <c r="R531" s="168">
        <f t="shared" si="508"/>
        <v>462859.45139999996</v>
      </c>
      <c r="S531" s="168">
        <f t="shared" si="509"/>
        <v>10300.59719999996</v>
      </c>
      <c r="T531" s="216" t="str">
        <f t="shared" si="510"/>
        <v>Monetizar</v>
      </c>
      <c r="U531" s="293"/>
      <c r="V531" s="394">
        <v>46107</v>
      </c>
      <c r="W531" s="393" t="s">
        <v>275</v>
      </c>
      <c r="X531" s="393" t="s">
        <v>275</v>
      </c>
      <c r="Y531" s="393" t="s">
        <v>276</v>
      </c>
      <c r="Z531" s="211">
        <f t="shared" si="511"/>
        <v>462859.45139999996</v>
      </c>
      <c r="AA531" s="213">
        <f t="shared" si="512"/>
        <v>10300.59719999996</v>
      </c>
      <c r="AF531" s="112"/>
    </row>
    <row r="532" spans="2:32" outlineLevel="1">
      <c r="B532" s="125">
        <v>510</v>
      </c>
      <c r="C532" s="120" t="s">
        <v>287</v>
      </c>
      <c r="D532" s="153" t="s">
        <v>1581</v>
      </c>
      <c r="E532" s="126">
        <v>46104</v>
      </c>
      <c r="F532" s="126">
        <v>46164</v>
      </c>
      <c r="G532" s="703"/>
      <c r="H532" s="703"/>
      <c r="I532" s="704"/>
      <c r="J532" s="208">
        <f t="shared" ca="1" si="499"/>
        <v>0</v>
      </c>
      <c r="K532" s="134">
        <v>1252.24</v>
      </c>
      <c r="L532" s="134">
        <v>1252.24</v>
      </c>
      <c r="M532" s="661">
        <f t="shared" si="500"/>
        <v>0</v>
      </c>
      <c r="N532" s="219">
        <v>3614.11</v>
      </c>
      <c r="O532" s="130">
        <v>3696.37</v>
      </c>
      <c r="P532" s="168"/>
      <c r="Q532" s="168">
        <f t="shared" si="507"/>
        <v>4525733.1063999999</v>
      </c>
      <c r="R532" s="168">
        <f t="shared" si="508"/>
        <v>4628742.3688000003</v>
      </c>
      <c r="S532" s="168">
        <f t="shared" si="509"/>
        <v>103009.26240000036</v>
      </c>
      <c r="T532" s="216" t="str">
        <f t="shared" si="510"/>
        <v>Monetizar</v>
      </c>
      <c r="U532" s="293"/>
      <c r="V532" s="394">
        <v>46107</v>
      </c>
      <c r="W532" s="393" t="s">
        <v>275</v>
      </c>
      <c r="X532" s="393" t="s">
        <v>275</v>
      </c>
      <c r="Y532" s="393" t="s">
        <v>276</v>
      </c>
      <c r="Z532" s="211">
        <f t="shared" si="511"/>
        <v>4628742.3688000003</v>
      </c>
      <c r="AA532" s="213">
        <f t="shared" si="512"/>
        <v>103009.26240000036</v>
      </c>
      <c r="AF532" s="112"/>
    </row>
    <row r="533" spans="2:32" outlineLevel="1">
      <c r="B533" s="125">
        <v>511</v>
      </c>
      <c r="C533" s="120" t="s">
        <v>117</v>
      </c>
      <c r="D533" s="153" t="s">
        <v>1586</v>
      </c>
      <c r="E533" s="126">
        <v>46107</v>
      </c>
      <c r="F533" s="126">
        <v>46167</v>
      </c>
      <c r="G533" s="703"/>
      <c r="H533" s="703"/>
      <c r="I533" s="704"/>
      <c r="J533" s="208">
        <f t="shared" ca="1" si="499"/>
        <v>0</v>
      </c>
      <c r="K533" s="134">
        <f>5121.35+830.3+0.01</f>
        <v>5951.6600000000008</v>
      </c>
      <c r="L533" s="134">
        <f>5121.35+830.3+0.01</f>
        <v>5951.6600000000008</v>
      </c>
      <c r="M533" s="661">
        <f t="shared" si="500"/>
        <v>0</v>
      </c>
      <c r="N533" s="219">
        <v>3650.99</v>
      </c>
      <c r="O533" s="130">
        <v>3653.73</v>
      </c>
      <c r="P533" s="168"/>
      <c r="Q533" s="168">
        <f t="shared" ref="Q533:Q534" si="513">K533*N533</f>
        <v>21729451.143400002</v>
      </c>
      <c r="R533" s="168">
        <f t="shared" ref="R533:R534" si="514">L533*O533</f>
        <v>21745758.691800002</v>
      </c>
      <c r="S533" s="168">
        <f t="shared" ref="S533:S534" si="515">R533-Q533</f>
        <v>16307.548399999738</v>
      </c>
      <c r="T533" s="216" t="str">
        <f t="shared" ref="T533:T534" si="516">IF(R533&lt;= Q533,"No Monetizar","Monetizar")</f>
        <v>Monetizar</v>
      </c>
      <c r="U533" s="293"/>
      <c r="V533" s="394">
        <v>46108</v>
      </c>
      <c r="W533" s="393" t="s">
        <v>275</v>
      </c>
      <c r="X533" s="393" t="s">
        <v>275</v>
      </c>
      <c r="Y533" s="393" t="s">
        <v>276</v>
      </c>
      <c r="Z533" s="211">
        <f t="shared" ref="Z533:Z534" si="517">K533*O533</f>
        <v>21745758.691800002</v>
      </c>
      <c r="AA533" s="213">
        <f t="shared" ref="AA533:AA534" si="518">Z533-Q533</f>
        <v>16307.548399999738</v>
      </c>
      <c r="AF533" s="112"/>
    </row>
    <row r="534" spans="2:32" outlineLevel="1">
      <c r="B534" s="125">
        <v>512</v>
      </c>
      <c r="C534" s="120" t="s">
        <v>117</v>
      </c>
      <c r="D534" s="153" t="s">
        <v>1585</v>
      </c>
      <c r="E534" s="126">
        <v>46107</v>
      </c>
      <c r="F534" s="126">
        <v>46167</v>
      </c>
      <c r="G534" s="703"/>
      <c r="H534" s="703"/>
      <c r="I534" s="704"/>
      <c r="J534" s="208">
        <f t="shared" ca="1" si="499"/>
        <v>0</v>
      </c>
      <c r="K534" s="134">
        <v>187840.61</v>
      </c>
      <c r="L534" s="134">
        <v>187840.61</v>
      </c>
      <c r="M534" s="661">
        <f t="shared" si="500"/>
        <v>0</v>
      </c>
      <c r="N534" s="219">
        <v>3650.99</v>
      </c>
      <c r="O534" s="130">
        <v>3653.73</v>
      </c>
      <c r="P534" s="168"/>
      <c r="Q534" s="168">
        <f t="shared" si="513"/>
        <v>685804188.70389986</v>
      </c>
      <c r="R534" s="168">
        <f t="shared" si="514"/>
        <v>686318871.97529995</v>
      </c>
      <c r="S534" s="168">
        <f t="shared" si="515"/>
        <v>514683.27140009403</v>
      </c>
      <c r="T534" s="216" t="str">
        <f t="shared" si="516"/>
        <v>Monetizar</v>
      </c>
      <c r="U534" s="293"/>
      <c r="V534" s="394">
        <v>46108</v>
      </c>
      <c r="W534" s="393" t="s">
        <v>275</v>
      </c>
      <c r="X534" s="393" t="s">
        <v>275</v>
      </c>
      <c r="Y534" s="393" t="s">
        <v>276</v>
      </c>
      <c r="Z534" s="211">
        <f t="shared" si="517"/>
        <v>686318871.97529995</v>
      </c>
      <c r="AA534" s="213">
        <f t="shared" si="518"/>
        <v>514683.27140009403</v>
      </c>
      <c r="AF534" s="112"/>
    </row>
    <row r="535" spans="2:32" outlineLevel="1">
      <c r="B535" s="125">
        <v>513</v>
      </c>
      <c r="C535" s="120" t="s">
        <v>920</v>
      </c>
      <c r="D535" s="153" t="s">
        <v>1589</v>
      </c>
      <c r="E535" s="126">
        <v>46108</v>
      </c>
      <c r="F535" s="126">
        <v>46168</v>
      </c>
      <c r="G535" s="703"/>
      <c r="H535" s="703"/>
      <c r="I535" s="704"/>
      <c r="J535" s="208">
        <f t="shared" ca="1" si="499"/>
        <v>0</v>
      </c>
      <c r="K535" s="134">
        <v>640.01</v>
      </c>
      <c r="L535" s="134">
        <v>640.01</v>
      </c>
      <c r="M535" s="661">
        <f t="shared" si="500"/>
        <v>0</v>
      </c>
      <c r="N535" s="219">
        <v>3650.99</v>
      </c>
      <c r="O535" s="130">
        <v>3656</v>
      </c>
      <c r="P535" s="168"/>
      <c r="Q535" s="168">
        <f t="shared" ref="Q535:Q536" si="519">K535*N535</f>
        <v>2336670.1099</v>
      </c>
      <c r="R535" s="168">
        <f t="shared" ref="R535:R536" si="520">L535*O535</f>
        <v>2339876.56</v>
      </c>
      <c r="S535" s="168">
        <f t="shared" ref="S535:S536" si="521">R535-Q535</f>
        <v>3206.4501000000164</v>
      </c>
      <c r="T535" s="216" t="str">
        <f t="shared" ref="T535:T536" si="522">IF(R535&lt;= Q535,"No Monetizar","Monetizar")</f>
        <v>Monetizar</v>
      </c>
      <c r="U535" s="293"/>
      <c r="V535" s="394">
        <v>46108</v>
      </c>
      <c r="W535" s="393" t="s">
        <v>275</v>
      </c>
      <c r="X535" s="393" t="s">
        <v>275</v>
      </c>
      <c r="Y535" s="393" t="s">
        <v>276</v>
      </c>
      <c r="Z535" s="211">
        <f t="shared" ref="Z535:Z536" si="523">K535*O535</f>
        <v>2339876.56</v>
      </c>
      <c r="AA535" s="213">
        <f t="shared" ref="AA535:AA536" si="524">Z535-Q535</f>
        <v>3206.4501000000164</v>
      </c>
      <c r="AF535" s="112"/>
    </row>
    <row r="536" spans="2:32" outlineLevel="1">
      <c r="B536" s="125">
        <v>514</v>
      </c>
      <c r="C536" s="120" t="s">
        <v>920</v>
      </c>
      <c r="D536" s="153" t="s">
        <v>1590</v>
      </c>
      <c r="E536" s="126">
        <v>46108</v>
      </c>
      <c r="F536" s="126">
        <v>46168</v>
      </c>
      <c r="G536" s="703"/>
      <c r="H536" s="703"/>
      <c r="I536" s="704"/>
      <c r="J536" s="208">
        <f t="shared" ca="1" si="499"/>
        <v>0</v>
      </c>
      <c r="K536" s="134">
        <v>3643.56</v>
      </c>
      <c r="L536" s="134">
        <v>3643.56</v>
      </c>
      <c r="M536" s="661">
        <f t="shared" si="500"/>
        <v>0</v>
      </c>
      <c r="N536" s="219">
        <v>3650.99</v>
      </c>
      <c r="O536" s="130">
        <v>3656</v>
      </c>
      <c r="P536" s="168"/>
      <c r="Q536" s="168">
        <f t="shared" si="519"/>
        <v>13302601.124399999</v>
      </c>
      <c r="R536" s="168">
        <f t="shared" si="520"/>
        <v>13320855.359999999</v>
      </c>
      <c r="S536" s="168">
        <f t="shared" si="521"/>
        <v>18254.235600000247</v>
      </c>
      <c r="T536" s="216" t="str">
        <f t="shared" si="522"/>
        <v>Monetizar</v>
      </c>
      <c r="U536" s="293"/>
      <c r="V536" s="394">
        <v>46108</v>
      </c>
      <c r="W536" s="393" t="s">
        <v>275</v>
      </c>
      <c r="X536" s="393" t="s">
        <v>275</v>
      </c>
      <c r="Y536" s="393" t="s">
        <v>276</v>
      </c>
      <c r="Z536" s="211">
        <f t="shared" si="523"/>
        <v>13320855.359999999</v>
      </c>
      <c r="AA536" s="213">
        <f t="shared" si="524"/>
        <v>18254.235600000247</v>
      </c>
      <c r="AF536" s="112"/>
    </row>
    <row r="537" spans="2:32" ht="30" outlineLevel="1">
      <c r="B537" s="125">
        <v>515</v>
      </c>
      <c r="C537" s="120" t="s">
        <v>284</v>
      </c>
      <c r="D537" s="153" t="s">
        <v>1591</v>
      </c>
      <c r="E537" s="126">
        <v>46108</v>
      </c>
      <c r="F537" s="126">
        <v>46168</v>
      </c>
      <c r="G537" s="703"/>
      <c r="H537" s="703"/>
      <c r="I537" s="704"/>
      <c r="J537" s="208">
        <f t="shared" ref="J537:J541" ca="1" si="525">IFERROR(IF(TODAY()&gt;=E537,(TODAY()-E537)/I537,0),0)</f>
        <v>0</v>
      </c>
      <c r="K537" s="134">
        <v>749.7</v>
      </c>
      <c r="L537" s="134">
        <v>749.7</v>
      </c>
      <c r="M537" s="661">
        <f t="shared" ref="M537:M541" si="526">K537-L537</f>
        <v>0</v>
      </c>
      <c r="N537" s="219">
        <v>3650.99</v>
      </c>
      <c r="O537" s="130">
        <v>3657.5</v>
      </c>
      <c r="P537" s="168"/>
      <c r="Q537" s="168">
        <f t="shared" ref="Q537:Q541" si="527">K537*N537</f>
        <v>2737147.2030000002</v>
      </c>
      <c r="R537" s="168">
        <f t="shared" ref="R537:R541" si="528">L537*O537</f>
        <v>2742027.75</v>
      </c>
      <c r="S537" s="168">
        <f t="shared" ref="S537:S541" si="529">R537-Q537</f>
        <v>4880.5469999997877</v>
      </c>
      <c r="T537" s="216" t="str">
        <f t="shared" ref="T537:T541" si="530">IF(R537&lt;= Q537,"No Monetizar","Monetizar")</f>
        <v>Monetizar</v>
      </c>
      <c r="U537" s="293"/>
      <c r="V537" s="394">
        <v>46108</v>
      </c>
      <c r="W537" s="393" t="s">
        <v>275</v>
      </c>
      <c r="X537" s="393" t="s">
        <v>275</v>
      </c>
      <c r="Y537" s="393" t="s">
        <v>276</v>
      </c>
      <c r="Z537" s="211">
        <f t="shared" ref="Z537:Z538" si="531">K537*O537</f>
        <v>2742027.75</v>
      </c>
      <c r="AA537" s="213">
        <f t="shared" ref="AA537:AA538" si="532">Z537-Q537</f>
        <v>4880.5469999997877</v>
      </c>
      <c r="AF537" s="112"/>
    </row>
    <row r="538" spans="2:32" ht="30" outlineLevel="1">
      <c r="B538" s="125">
        <v>516</v>
      </c>
      <c r="C538" s="120" t="s">
        <v>284</v>
      </c>
      <c r="D538" s="153" t="s">
        <v>1592</v>
      </c>
      <c r="E538" s="126">
        <v>46108</v>
      </c>
      <c r="F538" s="126">
        <v>46168</v>
      </c>
      <c r="G538" s="703"/>
      <c r="H538" s="703"/>
      <c r="I538" s="704"/>
      <c r="J538" s="208">
        <f t="shared" ca="1" si="525"/>
        <v>0</v>
      </c>
      <c r="K538" s="134">
        <v>13375.04</v>
      </c>
      <c r="L538" s="134">
        <v>13375.04</v>
      </c>
      <c r="M538" s="661">
        <f t="shared" si="526"/>
        <v>0</v>
      </c>
      <c r="N538" s="219">
        <v>3650.99</v>
      </c>
      <c r="O538" s="130">
        <v>3657.5</v>
      </c>
      <c r="P538" s="168"/>
      <c r="Q538" s="168">
        <f t="shared" si="527"/>
        <v>48832137.2896</v>
      </c>
      <c r="R538" s="168">
        <f t="shared" si="528"/>
        <v>48919208.800000004</v>
      </c>
      <c r="S538" s="168">
        <f t="shared" si="529"/>
        <v>87071.510400004685</v>
      </c>
      <c r="T538" s="216" t="str">
        <f t="shared" si="530"/>
        <v>Monetizar</v>
      </c>
      <c r="U538" s="293"/>
      <c r="V538" s="394">
        <v>46108</v>
      </c>
      <c r="W538" s="393" t="s">
        <v>275</v>
      </c>
      <c r="X538" s="393" t="s">
        <v>275</v>
      </c>
      <c r="Y538" s="393" t="s">
        <v>276</v>
      </c>
      <c r="Z538" s="211">
        <f t="shared" si="531"/>
        <v>48919208.800000004</v>
      </c>
      <c r="AA538" s="213">
        <f t="shared" si="532"/>
        <v>87071.510400004685</v>
      </c>
      <c r="AF538" s="112"/>
    </row>
    <row r="539" spans="2:32" outlineLevel="1">
      <c r="B539" s="125">
        <v>517</v>
      </c>
      <c r="C539" s="120" t="s">
        <v>1323</v>
      </c>
      <c r="D539" s="153" t="s">
        <v>1622</v>
      </c>
      <c r="E539" s="126">
        <v>46111</v>
      </c>
      <c r="F539" s="126">
        <v>46171</v>
      </c>
      <c r="G539" s="703"/>
      <c r="H539" s="703"/>
      <c r="I539" s="704"/>
      <c r="J539" s="208">
        <f t="shared" ca="1" si="525"/>
        <v>0</v>
      </c>
      <c r="K539" s="134">
        <v>216.28</v>
      </c>
      <c r="L539" s="134">
        <v>215.37089380590487</v>
      </c>
      <c r="M539" s="661">
        <f t="shared" si="526"/>
        <v>0.9091061940951306</v>
      </c>
      <c r="N539" s="219">
        <v>3644.2</v>
      </c>
      <c r="O539" s="219">
        <v>3660.01</v>
      </c>
      <c r="P539" s="168"/>
      <c r="Q539" s="168">
        <f t="shared" si="527"/>
        <v>788167.576</v>
      </c>
      <c r="R539" s="168">
        <f t="shared" si="528"/>
        <v>788259.62503854989</v>
      </c>
      <c r="S539" s="168">
        <f t="shared" si="529"/>
        <v>92.049038549885154</v>
      </c>
      <c r="T539" s="216" t="str">
        <f t="shared" si="530"/>
        <v>Monetizar</v>
      </c>
      <c r="U539" s="293"/>
      <c r="V539" s="394">
        <v>46119</v>
      </c>
      <c r="W539" s="393" t="s">
        <v>275</v>
      </c>
      <c r="X539" s="393" t="s">
        <v>275</v>
      </c>
      <c r="Y539" s="393" t="s">
        <v>276</v>
      </c>
      <c r="Z539" s="211">
        <f t="shared" ref="Z539:Z540" si="533">K539*O539</f>
        <v>791586.9628000001</v>
      </c>
      <c r="AA539" s="213">
        <f t="shared" ref="AA539:AA540" si="534">Z539-Q539</f>
        <v>3419.3868000000948</v>
      </c>
      <c r="AF539" s="112"/>
    </row>
    <row r="540" spans="2:32" outlineLevel="1">
      <c r="B540" s="125">
        <v>518</v>
      </c>
      <c r="C540" s="120" t="s">
        <v>1323</v>
      </c>
      <c r="D540" s="153" t="s">
        <v>1623</v>
      </c>
      <c r="E540" s="126">
        <v>46111</v>
      </c>
      <c r="F540" s="126">
        <v>46171</v>
      </c>
      <c r="G540" s="703"/>
      <c r="H540" s="703"/>
      <c r="I540" s="704"/>
      <c r="J540" s="208">
        <f t="shared" ca="1" si="525"/>
        <v>0</v>
      </c>
      <c r="K540" s="134">
        <v>2162.7600000000002</v>
      </c>
      <c r="L540" s="134">
        <v>2153.6691061940946</v>
      </c>
      <c r="M540" s="661">
        <f t="shared" si="526"/>
        <v>9.0908938059055799</v>
      </c>
      <c r="N540" s="219">
        <v>3644.2</v>
      </c>
      <c r="O540" s="219">
        <v>3660.01</v>
      </c>
      <c r="P540" s="168"/>
      <c r="Q540" s="168">
        <f t="shared" si="527"/>
        <v>7881529.9920000006</v>
      </c>
      <c r="R540" s="168">
        <f t="shared" si="528"/>
        <v>7882450.4653614489</v>
      </c>
      <c r="S540" s="168">
        <f t="shared" si="529"/>
        <v>920.47336144838482</v>
      </c>
      <c r="T540" s="216" t="str">
        <f t="shared" si="530"/>
        <v>Monetizar</v>
      </c>
      <c r="U540" s="293"/>
      <c r="V540" s="394">
        <v>46119</v>
      </c>
      <c r="W540" s="393" t="s">
        <v>275</v>
      </c>
      <c r="X540" s="393" t="s">
        <v>275</v>
      </c>
      <c r="Y540" s="393" t="s">
        <v>276</v>
      </c>
      <c r="Z540" s="211">
        <f t="shared" si="533"/>
        <v>7915723.2276000017</v>
      </c>
      <c r="AA540" s="213">
        <f t="shared" si="534"/>
        <v>34193.235600001179</v>
      </c>
      <c r="AF540" s="112"/>
    </row>
    <row r="541" spans="2:32" outlineLevel="1">
      <c r="B541" s="125">
        <v>519</v>
      </c>
      <c r="C541" s="120" t="s">
        <v>117</v>
      </c>
      <c r="D541" s="153" t="s">
        <v>1624</v>
      </c>
      <c r="E541" s="126">
        <v>46111</v>
      </c>
      <c r="F541" s="126">
        <v>46171</v>
      </c>
      <c r="G541" s="703"/>
      <c r="H541" s="703"/>
      <c r="I541" s="704"/>
      <c r="J541" s="208">
        <f t="shared" ca="1" si="525"/>
        <v>0</v>
      </c>
      <c r="K541" s="134">
        <v>191.01</v>
      </c>
      <c r="L541" s="134">
        <v>191.01</v>
      </c>
      <c r="M541" s="661">
        <f t="shared" si="526"/>
        <v>0</v>
      </c>
      <c r="N541" s="219">
        <v>3650.99</v>
      </c>
      <c r="O541" s="219">
        <v>3658.51</v>
      </c>
      <c r="P541" s="168"/>
      <c r="Q541" s="168">
        <f t="shared" si="527"/>
        <v>697375.59989999991</v>
      </c>
      <c r="R541" s="168">
        <f t="shared" si="528"/>
        <v>698811.99510000006</v>
      </c>
      <c r="S541" s="168">
        <f t="shared" si="529"/>
        <v>1436.3952000001445</v>
      </c>
      <c r="T541" s="216" t="str">
        <f t="shared" si="530"/>
        <v>Monetizar</v>
      </c>
      <c r="U541" s="293"/>
      <c r="V541" s="394">
        <v>46119</v>
      </c>
      <c r="W541" s="393" t="s">
        <v>275</v>
      </c>
      <c r="X541" s="393" t="s">
        <v>275</v>
      </c>
      <c r="Y541" s="393" t="s">
        <v>276</v>
      </c>
      <c r="Z541" s="211">
        <f t="shared" ref="Z541" si="535">K541*O541</f>
        <v>698811.99510000006</v>
      </c>
      <c r="AA541" s="213">
        <f t="shared" ref="AA541" si="536">Z541-Q541</f>
        <v>1436.3952000001445</v>
      </c>
      <c r="AF541" s="112"/>
    </row>
    <row r="542" spans="2:32" outlineLevel="1">
      <c r="B542" s="125"/>
      <c r="C542" s="120"/>
      <c r="D542" s="153"/>
      <c r="E542" s="126"/>
      <c r="F542" s="126"/>
      <c r="G542" s="703"/>
      <c r="H542" s="703"/>
      <c r="I542" s="704"/>
      <c r="J542" s="208"/>
      <c r="K542" s="134"/>
      <c r="L542" s="134"/>
      <c r="M542" s="661"/>
      <c r="N542" s="219"/>
      <c r="O542" s="130"/>
      <c r="P542" s="168"/>
      <c r="Q542" s="168"/>
      <c r="R542" s="168"/>
      <c r="S542" s="168"/>
      <c r="T542" s="216"/>
      <c r="U542" s="293"/>
      <c r="V542" s="394"/>
      <c r="W542" s="393"/>
      <c r="X542" s="393"/>
      <c r="Y542" s="393"/>
      <c r="Z542" s="211"/>
      <c r="AA542" s="213"/>
      <c r="AF542" s="112"/>
    </row>
    <row r="543" spans="2:32" outlineLevel="1">
      <c r="B543" s="125"/>
      <c r="C543" s="120"/>
      <c r="D543" s="153"/>
      <c r="E543" s="126"/>
      <c r="F543" s="126"/>
      <c r="G543" s="703"/>
      <c r="H543" s="703"/>
      <c r="I543" s="704"/>
      <c r="J543" s="208"/>
      <c r="K543" s="134"/>
      <c r="L543" s="134"/>
      <c r="M543" s="661"/>
      <c r="N543" s="219"/>
      <c r="O543" s="130"/>
      <c r="P543" s="168"/>
      <c r="Q543" s="168"/>
      <c r="R543" s="168"/>
      <c r="S543" s="168"/>
      <c r="T543" s="216"/>
      <c r="U543" s="293"/>
      <c r="V543" s="394"/>
      <c r="W543" s="393"/>
      <c r="X543" s="393"/>
      <c r="Y543" s="393"/>
      <c r="Z543" s="211"/>
      <c r="AA543" s="213"/>
      <c r="AF543" s="112"/>
    </row>
    <row r="544" spans="2:32" outlineLevel="1">
      <c r="B544" s="125"/>
      <c r="C544" s="120"/>
      <c r="D544" s="153"/>
      <c r="E544" s="126"/>
      <c r="F544" s="126"/>
      <c r="G544" s="703"/>
      <c r="H544" s="703"/>
      <c r="I544" s="704"/>
      <c r="J544" s="208"/>
      <c r="K544" s="134"/>
      <c r="L544" s="134"/>
      <c r="M544" s="661"/>
      <c r="N544" s="219"/>
      <c r="O544" s="130"/>
      <c r="P544" s="168"/>
      <c r="Q544" s="168"/>
      <c r="R544" s="168"/>
      <c r="S544" s="168"/>
      <c r="T544" s="216"/>
      <c r="U544" s="293"/>
      <c r="V544" s="394"/>
      <c r="W544" s="393"/>
      <c r="X544" s="393"/>
      <c r="Y544" s="393"/>
      <c r="Z544" s="211"/>
      <c r="AA544" s="213"/>
      <c r="AF544" s="112"/>
    </row>
    <row r="545" spans="2:32" outlineLevel="1">
      <c r="B545" s="125"/>
      <c r="C545" s="120"/>
      <c r="D545" s="153"/>
      <c r="E545" s="126"/>
      <c r="F545" s="126"/>
      <c r="G545" s="703"/>
      <c r="H545" s="703"/>
      <c r="I545" s="704"/>
      <c r="J545" s="208"/>
      <c r="K545" s="134"/>
      <c r="L545" s="215"/>
      <c r="M545" s="661"/>
      <c r="N545" s="219"/>
      <c r="O545" s="130"/>
      <c r="P545" s="168"/>
      <c r="Q545" s="215"/>
      <c r="R545" s="168"/>
      <c r="S545" s="168"/>
      <c r="T545" s="216"/>
      <c r="U545" s="293"/>
      <c r="V545" s="394"/>
      <c r="W545" s="393"/>
      <c r="X545" s="393"/>
      <c r="Y545" s="393"/>
      <c r="Z545" s="211"/>
      <c r="AA545" s="213"/>
      <c r="AF545" s="112"/>
    </row>
    <row r="546" spans="2:32" outlineLevel="1">
      <c r="B546" s="125"/>
      <c r="C546" s="217"/>
      <c r="D546" s="121"/>
      <c r="E546" s="126"/>
      <c r="F546" s="126"/>
      <c r="G546" s="126"/>
      <c r="H546" s="126"/>
      <c r="I546" s="126"/>
      <c r="J546" s="144"/>
      <c r="K546" s="134"/>
      <c r="L546" s="218"/>
      <c r="M546" s="129"/>
      <c r="N546" s="219"/>
      <c r="O546" s="219"/>
      <c r="P546" s="168">
        <f t="shared" si="215"/>
        <v>0</v>
      </c>
      <c r="Q546" s="132"/>
      <c r="R546" s="132"/>
      <c r="S546" s="168"/>
      <c r="T546" s="133"/>
      <c r="U546" s="209"/>
      <c r="V546" s="394"/>
      <c r="W546" s="393"/>
      <c r="X546" s="393"/>
      <c r="Y546" s="393"/>
      <c r="Z546" s="211"/>
      <c r="AA546" s="213"/>
      <c r="AF546" s="112"/>
    </row>
    <row r="547" spans="2:32" ht="15.75" outlineLevel="1" thickBot="1">
      <c r="B547" s="220"/>
      <c r="C547" s="221"/>
      <c r="D547" s="207"/>
      <c r="E547" s="200"/>
      <c r="F547" s="200"/>
      <c r="G547" s="200"/>
      <c r="H547" s="200"/>
      <c r="I547" s="200"/>
      <c r="J547" s="201"/>
      <c r="K547" s="222"/>
      <c r="L547" s="222"/>
      <c r="M547" s="202"/>
      <c r="N547" s="203"/>
      <c r="O547" s="203"/>
      <c r="P547" s="204">
        <f t="shared" si="215"/>
        <v>0</v>
      </c>
      <c r="Q547" s="205"/>
      <c r="R547" s="205"/>
      <c r="S547" s="204"/>
      <c r="T547" s="206"/>
      <c r="U547" s="226"/>
      <c r="V547" s="400"/>
      <c r="W547" s="401"/>
      <c r="X547" s="401"/>
      <c r="Y547" s="401"/>
      <c r="Z547" s="223"/>
      <c r="AA547" s="224"/>
      <c r="AF547" s="112"/>
    </row>
    <row r="548" spans="2:32" ht="15.75" thickBot="1">
      <c r="B548" s="819" t="s">
        <v>170</v>
      </c>
      <c r="C548" s="820"/>
      <c r="D548" s="820"/>
      <c r="E548" s="820"/>
      <c r="F548" s="820"/>
      <c r="G548" s="820"/>
      <c r="H548" s="820"/>
      <c r="I548" s="820"/>
      <c r="J548" s="820"/>
      <c r="K548" s="187">
        <f>SUBTOTAL(9,K32:K547)</f>
        <v>8392315.2943619099</v>
      </c>
      <c r="L548" s="187">
        <f>SUBTOTAL(9,L32:L547)</f>
        <v>8389805.8900000062</v>
      </c>
      <c r="M548" s="187">
        <f>SUBTOTAL(9,M32:M547)</f>
        <v>2559.4043619055483</v>
      </c>
      <c r="N548" s="186"/>
      <c r="O548" s="188"/>
      <c r="P548" s="187">
        <f>SUBTOTAL(9,P32:P547)</f>
        <v>6532.5100000000293</v>
      </c>
      <c r="Q548" s="281">
        <f>SUBTOTAL(9,Q32:Q547)</f>
        <v>32480925044.914146</v>
      </c>
      <c r="R548" s="281">
        <f>SUBTOTAL(9,R32:R547)</f>
        <v>32859962147.369701</v>
      </c>
      <c r="S548" s="281">
        <f>SUBTOTAL(9,S32:S547)</f>
        <v>378764534.87954605</v>
      </c>
      <c r="T548" s="186"/>
      <c r="U548" s="186"/>
      <c r="V548" s="189"/>
      <c r="W548" s="402"/>
      <c r="X548" s="402"/>
      <c r="Y548" s="402"/>
      <c r="Z548" s="281">
        <f>SUBTOTAL(9,Z32:Z547)</f>
        <v>32862532479.340355</v>
      </c>
      <c r="AA548" s="281">
        <f>SUBTOTAL(9,AA32:AA547)</f>
        <v>381607434.42613608</v>
      </c>
    </row>
    <row r="554" spans="2:32">
      <c r="D554" s="710"/>
    </row>
    <row r="555" spans="2:32">
      <c r="C555" s="814" t="s">
        <v>1474</v>
      </c>
      <c r="D555" s="814"/>
      <c r="E555" s="814"/>
      <c r="F555" s="814"/>
      <c r="G555" s="814"/>
      <c r="H555" s="814"/>
      <c r="I555" s="814"/>
      <c r="J555" s="814"/>
      <c r="K555" s="814"/>
    </row>
    <row r="556" spans="2:32">
      <c r="C556" s="117"/>
      <c r="D556" s="117"/>
      <c r="E556" s="117"/>
      <c r="F556" s="117"/>
      <c r="G556" s="117"/>
      <c r="H556" s="117"/>
      <c r="I556" s="117"/>
      <c r="J556" s="117"/>
      <c r="K556" s="117"/>
    </row>
    <row r="557" spans="2:32">
      <c r="C557" s="731" t="s">
        <v>265</v>
      </c>
      <c r="D557" s="732">
        <v>12522.86</v>
      </c>
      <c r="E557" s="118">
        <v>0</v>
      </c>
      <c r="F557" s="118">
        <f>D557-E557</f>
        <v>12522.86</v>
      </c>
      <c r="G557" s="108">
        <v>3650.99</v>
      </c>
      <c r="I557" s="713">
        <f>F557*G557</f>
        <v>45720836.631399997</v>
      </c>
      <c r="J557" s="713">
        <f>F557*$F$562</f>
        <v>46309536.280000001</v>
      </c>
      <c r="K557" s="139">
        <f>J557-I557</f>
        <v>588699.64860000461</v>
      </c>
    </row>
    <row r="558" spans="2:32">
      <c r="C558" s="731" t="s">
        <v>288</v>
      </c>
      <c r="D558" s="732">
        <v>21193.18</v>
      </c>
      <c r="E558" s="118">
        <v>61</v>
      </c>
      <c r="F558" s="118">
        <f>D558-E558</f>
        <v>21132.18</v>
      </c>
      <c r="G558" s="108">
        <v>3650.99</v>
      </c>
      <c r="I558" s="713">
        <f t="shared" ref="I558:I560" si="537">F558*G558</f>
        <v>77153377.858199999</v>
      </c>
      <c r="J558" s="713">
        <f t="shared" ref="J558:J560" si="538">F558*$F$562</f>
        <v>78146801.640000001</v>
      </c>
      <c r="K558" s="139">
        <f>J558-I558</f>
        <v>993423.78180000186</v>
      </c>
    </row>
    <row r="559" spans="2:32">
      <c r="C559" s="721" t="s">
        <v>1472</v>
      </c>
      <c r="D559" s="710">
        <v>14124.74</v>
      </c>
      <c r="E559" s="118">
        <v>0</v>
      </c>
      <c r="F559" s="118">
        <f>D559-E559</f>
        <v>14124.74</v>
      </c>
      <c r="G559" s="108">
        <v>3650.99</v>
      </c>
      <c r="I559" s="713">
        <f t="shared" si="537"/>
        <v>51569284.492599994</v>
      </c>
      <c r="J559" s="713">
        <f t="shared" si="538"/>
        <v>52233288.519999996</v>
      </c>
      <c r="K559" s="139">
        <f>J559-I559</f>
        <v>664004.02740000188</v>
      </c>
    </row>
    <row r="560" spans="2:32">
      <c r="C560" s="721" t="s">
        <v>1473</v>
      </c>
      <c r="D560" s="710">
        <v>4283.57</v>
      </c>
      <c r="E560" s="118">
        <v>0</v>
      </c>
      <c r="F560" s="118">
        <f>D560-E560</f>
        <v>4283.57</v>
      </c>
      <c r="G560" s="108">
        <v>3650.99</v>
      </c>
      <c r="I560" s="713">
        <f t="shared" si="537"/>
        <v>15639271.234299999</v>
      </c>
      <c r="J560" s="713">
        <f t="shared" si="538"/>
        <v>15840641.859999999</v>
      </c>
      <c r="K560" s="139">
        <f>J560-I560</f>
        <v>201370.62570000067</v>
      </c>
    </row>
    <row r="561" spans="5:11">
      <c r="E561" s="711" t="s">
        <v>83</v>
      </c>
      <c r="F561" s="712">
        <f>SUM(F557:F560)</f>
        <v>52063.35</v>
      </c>
      <c r="I561" s="263">
        <f>SUM(I557:I560)</f>
        <v>190082770.21649998</v>
      </c>
      <c r="J561" s="263">
        <f>SUM(J557:J560)</f>
        <v>192530268.30000001</v>
      </c>
      <c r="K561" s="722">
        <f>J561-I561</f>
        <v>2447498.0835000277</v>
      </c>
    </row>
    <row r="562" spans="5:11">
      <c r="E562" s="714">
        <v>46107</v>
      </c>
      <c r="F562" s="116">
        <v>3698</v>
      </c>
    </row>
  </sheetData>
  <autoFilter ref="B31:XFC506" xr:uid="{21968E25-789C-465B-AD04-47D570833264}"/>
  <mergeCells count="6">
    <mergeCell ref="C555:K555"/>
    <mergeCell ref="Z29:AA29"/>
    <mergeCell ref="B23:J23"/>
    <mergeCell ref="B548:J548"/>
    <mergeCell ref="Q29:S29"/>
    <mergeCell ref="J25:J26"/>
  </mergeCells>
  <conditionalFormatting sqref="J3:J21">
    <cfRule type="dataBar" priority="2787">
      <dataBar>
        <cfvo type="min"/>
        <cfvo type="max"/>
        <color rgb="FFFFB628"/>
      </dataBar>
      <extLst>
        <ext xmlns:x14="http://schemas.microsoft.com/office/spreadsheetml/2009/9/main" uri="{B025F937-C7B1-47D3-B67F-A62EFF666E3E}">
          <x14:id>{DCDE3B33-8068-4FD3-A0E4-428662B8DBB5}</x14:id>
        </ext>
      </extLst>
    </cfRule>
    <cfRule type="dataBar" priority="2788">
      <dataBar>
        <cfvo type="min"/>
        <cfvo type="max"/>
        <color rgb="FFFF555A"/>
      </dataBar>
      <extLst>
        <ext xmlns:x14="http://schemas.microsoft.com/office/spreadsheetml/2009/9/main" uri="{B025F937-C7B1-47D3-B67F-A62EFF666E3E}">
          <x14:id>{5A821E57-6035-44A4-ACD3-BA704FC5F8A6}</x14:id>
        </ext>
      </extLst>
    </cfRule>
    <cfRule type="dataBar" priority="2789">
      <dataBar>
        <cfvo type="min"/>
        <cfvo type="max"/>
        <color rgb="FFFFB628"/>
      </dataBar>
      <extLst>
        <ext xmlns:x14="http://schemas.microsoft.com/office/spreadsheetml/2009/9/main" uri="{B025F937-C7B1-47D3-B67F-A62EFF666E3E}">
          <x14:id>{1D41CBBC-5EA1-48BB-8CA8-F0A82C665691}</x14:id>
        </ext>
      </extLst>
    </cfRule>
  </conditionalFormatting>
  <conditionalFormatting sqref="J22">
    <cfRule type="dataBar" priority="2681">
      <dataBar>
        <cfvo type="min"/>
        <cfvo type="max"/>
        <color rgb="FFFFB628"/>
      </dataBar>
      <extLst>
        <ext xmlns:x14="http://schemas.microsoft.com/office/spreadsheetml/2009/9/main" uri="{B025F937-C7B1-47D3-B67F-A62EFF666E3E}">
          <x14:id>{D20F7083-9E5D-4622-8162-AFD68BD7376C}</x14:id>
        </ext>
      </extLst>
    </cfRule>
    <cfRule type="dataBar" priority="2682">
      <dataBar>
        <cfvo type="min"/>
        <cfvo type="max"/>
        <color rgb="FFFF555A"/>
      </dataBar>
      <extLst>
        <ext xmlns:x14="http://schemas.microsoft.com/office/spreadsheetml/2009/9/main" uri="{B025F937-C7B1-47D3-B67F-A62EFF666E3E}">
          <x14:id>{D2C7B291-DF20-40B3-8900-002C14F16CAA}</x14:id>
        </ext>
      </extLst>
    </cfRule>
    <cfRule type="dataBar" priority="2683">
      <dataBar>
        <cfvo type="min"/>
        <cfvo type="max"/>
        <color rgb="FFFFB628"/>
      </dataBar>
      <extLst>
        <ext xmlns:x14="http://schemas.microsoft.com/office/spreadsheetml/2009/9/main" uri="{B025F937-C7B1-47D3-B67F-A62EFF666E3E}">
          <x14:id>{ACEFE69F-8B78-4AC5-ADCE-5EEEC7868527}</x14:id>
        </ext>
      </extLst>
    </cfRule>
  </conditionalFormatting>
  <conditionalFormatting sqref="J32:J88 J93:J255">
    <cfRule type="dataBar" priority="1808">
      <dataBar>
        <cfvo type="min"/>
        <cfvo type="max"/>
        <color rgb="FFFFB628"/>
      </dataBar>
      <extLst>
        <ext xmlns:x14="http://schemas.microsoft.com/office/spreadsheetml/2009/9/main" uri="{B025F937-C7B1-47D3-B67F-A62EFF666E3E}">
          <x14:id>{55D687E7-F609-4C55-B6C5-E8CA9C00ECD6}</x14:id>
        </ext>
      </extLst>
    </cfRule>
    <cfRule type="dataBar" priority="1809">
      <dataBar>
        <cfvo type="min"/>
        <cfvo type="max"/>
        <color rgb="FFFF555A"/>
      </dataBar>
      <extLst>
        <ext xmlns:x14="http://schemas.microsoft.com/office/spreadsheetml/2009/9/main" uri="{B025F937-C7B1-47D3-B67F-A62EFF666E3E}">
          <x14:id>{1B9E7F56-41EE-43B7-89FD-CC4A16DB373E}</x14:id>
        </ext>
      </extLst>
    </cfRule>
    <cfRule type="dataBar" priority="1810">
      <dataBar>
        <cfvo type="min"/>
        <cfvo type="max"/>
        <color rgb="FFFFB628"/>
      </dataBar>
      <extLst>
        <ext xmlns:x14="http://schemas.microsoft.com/office/spreadsheetml/2009/9/main" uri="{B025F937-C7B1-47D3-B67F-A62EFF666E3E}">
          <x14:id>{A3A8E53A-2DFF-4972-BAE4-5FAC853CCF20}</x14:id>
        </ext>
      </extLst>
    </cfRule>
  </conditionalFormatting>
  <conditionalFormatting sqref="J89:J92">
    <cfRule type="dataBar" priority="308">
      <dataBar>
        <cfvo type="min"/>
        <cfvo type="max"/>
        <color rgb="FFFFB628"/>
      </dataBar>
      <extLst>
        <ext xmlns:x14="http://schemas.microsoft.com/office/spreadsheetml/2009/9/main" uri="{B025F937-C7B1-47D3-B67F-A62EFF666E3E}">
          <x14:id>{D63BAA5F-ADCA-4372-95E1-DEF32D014737}</x14:id>
        </ext>
      </extLst>
    </cfRule>
    <cfRule type="dataBar" priority="309">
      <dataBar>
        <cfvo type="min"/>
        <cfvo type="max"/>
        <color rgb="FFFF555A"/>
      </dataBar>
      <extLst>
        <ext xmlns:x14="http://schemas.microsoft.com/office/spreadsheetml/2009/9/main" uri="{B025F937-C7B1-47D3-B67F-A62EFF666E3E}">
          <x14:id>{1F4353BD-6BD1-4BAE-A93C-2207B0F262E4}</x14:id>
        </ext>
      </extLst>
    </cfRule>
    <cfRule type="dataBar" priority="310">
      <dataBar>
        <cfvo type="min"/>
        <cfvo type="max"/>
        <color rgb="FFFFB628"/>
      </dataBar>
      <extLst>
        <ext xmlns:x14="http://schemas.microsoft.com/office/spreadsheetml/2009/9/main" uri="{B025F937-C7B1-47D3-B67F-A62EFF666E3E}">
          <x14:id>{054BA314-03DD-4EB9-9425-0FD367992F8E}</x14:id>
        </ext>
      </extLst>
    </cfRule>
  </conditionalFormatting>
  <conditionalFormatting sqref="J256:J272">
    <cfRule type="dataBar" priority="256">
      <dataBar>
        <cfvo type="min"/>
        <cfvo type="max"/>
        <color rgb="FFFFB628"/>
      </dataBar>
      <extLst>
        <ext xmlns:x14="http://schemas.microsoft.com/office/spreadsheetml/2009/9/main" uri="{B025F937-C7B1-47D3-B67F-A62EFF666E3E}">
          <x14:id>{D8D81FF1-57DC-4AEA-AE58-A5D80B857985}</x14:id>
        </ext>
      </extLst>
    </cfRule>
    <cfRule type="dataBar" priority="257">
      <dataBar>
        <cfvo type="min"/>
        <cfvo type="max"/>
        <color rgb="FFFF555A"/>
      </dataBar>
      <extLst>
        <ext xmlns:x14="http://schemas.microsoft.com/office/spreadsheetml/2009/9/main" uri="{B025F937-C7B1-47D3-B67F-A62EFF666E3E}">
          <x14:id>{2258A299-BEB4-4906-BD79-B4737E7715F3}</x14:id>
        </ext>
      </extLst>
    </cfRule>
    <cfRule type="dataBar" priority="258">
      <dataBar>
        <cfvo type="min"/>
        <cfvo type="max"/>
        <color rgb="FFFFB628"/>
      </dataBar>
      <extLst>
        <ext xmlns:x14="http://schemas.microsoft.com/office/spreadsheetml/2009/9/main" uri="{B025F937-C7B1-47D3-B67F-A62EFF666E3E}">
          <x14:id>{46DD001E-9883-4E67-B91B-B96A99DE826A}</x14:id>
        </ext>
      </extLst>
    </cfRule>
  </conditionalFormatting>
  <conditionalFormatting sqref="J273">
    <cfRule type="dataBar" priority="250">
      <dataBar>
        <cfvo type="min"/>
        <cfvo type="max"/>
        <color rgb="FFFFB628"/>
      </dataBar>
      <extLst>
        <ext xmlns:x14="http://schemas.microsoft.com/office/spreadsheetml/2009/9/main" uri="{B025F937-C7B1-47D3-B67F-A62EFF666E3E}">
          <x14:id>{C2780630-B39D-474D-86BE-0FC60B6C4E16}</x14:id>
        </ext>
      </extLst>
    </cfRule>
    <cfRule type="dataBar" priority="251">
      <dataBar>
        <cfvo type="min"/>
        <cfvo type="max"/>
        <color rgb="FFFF555A"/>
      </dataBar>
      <extLst>
        <ext xmlns:x14="http://schemas.microsoft.com/office/spreadsheetml/2009/9/main" uri="{B025F937-C7B1-47D3-B67F-A62EFF666E3E}">
          <x14:id>{C0A7BCE6-F904-485D-B2B1-4A5B2D72CB91}</x14:id>
        </ext>
      </extLst>
    </cfRule>
    <cfRule type="dataBar" priority="252">
      <dataBar>
        <cfvo type="min"/>
        <cfvo type="max"/>
        <color rgb="FFFFB628"/>
      </dataBar>
      <extLst>
        <ext xmlns:x14="http://schemas.microsoft.com/office/spreadsheetml/2009/9/main" uri="{B025F937-C7B1-47D3-B67F-A62EFF666E3E}">
          <x14:id>{78714B1B-4D9B-4135-9DC1-69674E352412}</x14:id>
        </ext>
      </extLst>
    </cfRule>
  </conditionalFormatting>
  <conditionalFormatting sqref="J274">
    <cfRule type="dataBar" priority="247">
      <dataBar>
        <cfvo type="min"/>
        <cfvo type="max"/>
        <color rgb="FFFFB628"/>
      </dataBar>
      <extLst>
        <ext xmlns:x14="http://schemas.microsoft.com/office/spreadsheetml/2009/9/main" uri="{B025F937-C7B1-47D3-B67F-A62EFF666E3E}">
          <x14:id>{80A83E32-3437-4EEF-836F-8236F25B1D58}</x14:id>
        </ext>
      </extLst>
    </cfRule>
    <cfRule type="dataBar" priority="248">
      <dataBar>
        <cfvo type="min"/>
        <cfvo type="max"/>
        <color rgb="FFFF555A"/>
      </dataBar>
      <extLst>
        <ext xmlns:x14="http://schemas.microsoft.com/office/spreadsheetml/2009/9/main" uri="{B025F937-C7B1-47D3-B67F-A62EFF666E3E}">
          <x14:id>{F08DFF57-D263-40E2-A94C-3019E0AC0F64}</x14:id>
        </ext>
      </extLst>
    </cfRule>
    <cfRule type="dataBar" priority="249">
      <dataBar>
        <cfvo type="min"/>
        <cfvo type="max"/>
        <color rgb="FFFFB628"/>
      </dataBar>
      <extLst>
        <ext xmlns:x14="http://schemas.microsoft.com/office/spreadsheetml/2009/9/main" uri="{B025F937-C7B1-47D3-B67F-A62EFF666E3E}">
          <x14:id>{417EBCF4-39B1-4D90-B7F9-9465C54E2BB3}</x14:id>
        </ext>
      </extLst>
    </cfRule>
  </conditionalFormatting>
  <conditionalFormatting sqref="J275">
    <cfRule type="dataBar" priority="244">
      <dataBar>
        <cfvo type="min"/>
        <cfvo type="max"/>
        <color rgb="FFFFB628"/>
      </dataBar>
      <extLst>
        <ext xmlns:x14="http://schemas.microsoft.com/office/spreadsheetml/2009/9/main" uri="{B025F937-C7B1-47D3-B67F-A62EFF666E3E}">
          <x14:id>{D4ECC3D7-9A7B-478B-B3B5-12C818AC8596}</x14:id>
        </ext>
      </extLst>
    </cfRule>
    <cfRule type="dataBar" priority="245">
      <dataBar>
        <cfvo type="min"/>
        <cfvo type="max"/>
        <color rgb="FFFF555A"/>
      </dataBar>
      <extLst>
        <ext xmlns:x14="http://schemas.microsoft.com/office/spreadsheetml/2009/9/main" uri="{B025F937-C7B1-47D3-B67F-A62EFF666E3E}">
          <x14:id>{ED7AACF7-7968-449C-80B9-16AE7DAB2397}</x14:id>
        </ext>
      </extLst>
    </cfRule>
    <cfRule type="dataBar" priority="246">
      <dataBar>
        <cfvo type="min"/>
        <cfvo type="max"/>
        <color rgb="FFFFB628"/>
      </dataBar>
      <extLst>
        <ext xmlns:x14="http://schemas.microsoft.com/office/spreadsheetml/2009/9/main" uri="{B025F937-C7B1-47D3-B67F-A62EFF666E3E}">
          <x14:id>{25A3CB62-EB03-49A4-9454-A36B0E7BB073}</x14:id>
        </ext>
      </extLst>
    </cfRule>
  </conditionalFormatting>
  <conditionalFormatting sqref="J276:J305">
    <cfRule type="dataBar" priority="1921">
      <dataBar>
        <cfvo type="min"/>
        <cfvo type="max"/>
        <color rgb="FFFFB628"/>
      </dataBar>
      <extLst>
        <ext xmlns:x14="http://schemas.microsoft.com/office/spreadsheetml/2009/9/main" uri="{B025F937-C7B1-47D3-B67F-A62EFF666E3E}">
          <x14:id>{01DDB8DF-9B70-4B49-8402-8E56293B9CAD}</x14:id>
        </ext>
      </extLst>
    </cfRule>
    <cfRule type="dataBar" priority="1922">
      <dataBar>
        <cfvo type="min"/>
        <cfvo type="max"/>
        <color rgb="FFFF555A"/>
      </dataBar>
      <extLst>
        <ext xmlns:x14="http://schemas.microsoft.com/office/spreadsheetml/2009/9/main" uri="{B025F937-C7B1-47D3-B67F-A62EFF666E3E}">
          <x14:id>{CB0E8BCC-BD88-43F0-BABC-832483C1EA34}</x14:id>
        </ext>
      </extLst>
    </cfRule>
    <cfRule type="dataBar" priority="1923">
      <dataBar>
        <cfvo type="min"/>
        <cfvo type="max"/>
        <color rgb="FFFFB628"/>
      </dataBar>
      <extLst>
        <ext xmlns:x14="http://schemas.microsoft.com/office/spreadsheetml/2009/9/main" uri="{B025F937-C7B1-47D3-B67F-A62EFF666E3E}">
          <x14:id>{9169C103-D5EA-497F-A1A6-35B841A6DA85}</x14:id>
        </ext>
      </extLst>
    </cfRule>
  </conditionalFormatting>
  <conditionalFormatting sqref="J306:J313">
    <cfRule type="dataBar" priority="232">
      <dataBar>
        <cfvo type="min"/>
        <cfvo type="max"/>
        <color rgb="FFFFB628"/>
      </dataBar>
      <extLst>
        <ext xmlns:x14="http://schemas.microsoft.com/office/spreadsheetml/2009/9/main" uri="{B025F937-C7B1-47D3-B67F-A62EFF666E3E}">
          <x14:id>{5746A56D-59F9-4F59-A330-3DFA062D2338}</x14:id>
        </ext>
      </extLst>
    </cfRule>
    <cfRule type="dataBar" priority="233">
      <dataBar>
        <cfvo type="min"/>
        <cfvo type="max"/>
        <color rgb="FFFF555A"/>
      </dataBar>
      <extLst>
        <ext xmlns:x14="http://schemas.microsoft.com/office/spreadsheetml/2009/9/main" uri="{B025F937-C7B1-47D3-B67F-A62EFF666E3E}">
          <x14:id>{82FAB190-22AC-4B49-B2BF-D61192B2FC35}</x14:id>
        </ext>
      </extLst>
    </cfRule>
    <cfRule type="dataBar" priority="234">
      <dataBar>
        <cfvo type="min"/>
        <cfvo type="max"/>
        <color rgb="FFFFB628"/>
      </dataBar>
      <extLst>
        <ext xmlns:x14="http://schemas.microsoft.com/office/spreadsheetml/2009/9/main" uri="{B025F937-C7B1-47D3-B67F-A62EFF666E3E}">
          <x14:id>{58B0A773-A394-4631-94F5-8ED8EEA55DA4}</x14:id>
        </ext>
      </extLst>
    </cfRule>
  </conditionalFormatting>
  <conditionalFormatting sqref="J314:J315">
    <cfRule type="dataBar" priority="223">
      <dataBar>
        <cfvo type="min"/>
        <cfvo type="max"/>
        <color rgb="FFFFB628"/>
      </dataBar>
      <extLst>
        <ext xmlns:x14="http://schemas.microsoft.com/office/spreadsheetml/2009/9/main" uri="{B025F937-C7B1-47D3-B67F-A62EFF666E3E}">
          <x14:id>{73CC9F68-2D98-42A8-A1FC-9A8672FF72B1}</x14:id>
        </ext>
      </extLst>
    </cfRule>
    <cfRule type="dataBar" priority="224">
      <dataBar>
        <cfvo type="min"/>
        <cfvo type="max"/>
        <color rgb="FFFF555A"/>
      </dataBar>
      <extLst>
        <ext xmlns:x14="http://schemas.microsoft.com/office/spreadsheetml/2009/9/main" uri="{B025F937-C7B1-47D3-B67F-A62EFF666E3E}">
          <x14:id>{5E1F4A78-7FF8-4389-994F-9521AD435963}</x14:id>
        </ext>
      </extLst>
    </cfRule>
    <cfRule type="dataBar" priority="225">
      <dataBar>
        <cfvo type="min"/>
        <cfvo type="max"/>
        <color rgb="FFFFB628"/>
      </dataBar>
      <extLst>
        <ext xmlns:x14="http://schemas.microsoft.com/office/spreadsheetml/2009/9/main" uri="{B025F937-C7B1-47D3-B67F-A62EFF666E3E}">
          <x14:id>{BFFFCF85-FB5F-4D35-A4EB-112DFDE78725}</x14:id>
        </ext>
      </extLst>
    </cfRule>
  </conditionalFormatting>
  <conditionalFormatting sqref="J316:J325">
    <cfRule type="dataBar" priority="2052">
      <dataBar>
        <cfvo type="min"/>
        <cfvo type="max"/>
        <color rgb="FFFFB628"/>
      </dataBar>
      <extLst>
        <ext xmlns:x14="http://schemas.microsoft.com/office/spreadsheetml/2009/9/main" uri="{B025F937-C7B1-47D3-B67F-A62EFF666E3E}">
          <x14:id>{94EC7327-8CA6-42CB-B479-4DA0B3D07FA1}</x14:id>
        </ext>
      </extLst>
    </cfRule>
    <cfRule type="dataBar" priority="2053">
      <dataBar>
        <cfvo type="min"/>
        <cfvo type="max"/>
        <color rgb="FFFF555A"/>
      </dataBar>
      <extLst>
        <ext xmlns:x14="http://schemas.microsoft.com/office/spreadsheetml/2009/9/main" uri="{B025F937-C7B1-47D3-B67F-A62EFF666E3E}">
          <x14:id>{C2A34B4A-90FF-4C93-9D1C-2FE74E29D8C8}</x14:id>
        </ext>
      </extLst>
    </cfRule>
    <cfRule type="dataBar" priority="2054">
      <dataBar>
        <cfvo type="min"/>
        <cfvo type="max"/>
        <color rgb="FFFFB628"/>
      </dataBar>
      <extLst>
        <ext xmlns:x14="http://schemas.microsoft.com/office/spreadsheetml/2009/9/main" uri="{B025F937-C7B1-47D3-B67F-A62EFF666E3E}">
          <x14:id>{C0A52DE1-8D74-406B-8A43-ACE851D538B0}</x14:id>
        </ext>
      </extLst>
    </cfRule>
  </conditionalFormatting>
  <conditionalFormatting sqref="J326:J327">
    <cfRule type="dataBar" priority="217">
      <dataBar>
        <cfvo type="min"/>
        <cfvo type="max"/>
        <color rgb="FFFFB628"/>
      </dataBar>
      <extLst>
        <ext xmlns:x14="http://schemas.microsoft.com/office/spreadsheetml/2009/9/main" uri="{B025F937-C7B1-47D3-B67F-A62EFF666E3E}">
          <x14:id>{B2F17531-A9D9-40C6-9AB8-EE393CD4F099}</x14:id>
        </ext>
      </extLst>
    </cfRule>
    <cfRule type="dataBar" priority="218">
      <dataBar>
        <cfvo type="min"/>
        <cfvo type="max"/>
        <color rgb="FFFF555A"/>
      </dataBar>
      <extLst>
        <ext xmlns:x14="http://schemas.microsoft.com/office/spreadsheetml/2009/9/main" uri="{B025F937-C7B1-47D3-B67F-A62EFF666E3E}">
          <x14:id>{BA66747D-4690-4C93-8B9D-F88CA91F22CB}</x14:id>
        </ext>
      </extLst>
    </cfRule>
    <cfRule type="dataBar" priority="219">
      <dataBar>
        <cfvo type="min"/>
        <cfvo type="max"/>
        <color rgb="FFFFB628"/>
      </dataBar>
      <extLst>
        <ext xmlns:x14="http://schemas.microsoft.com/office/spreadsheetml/2009/9/main" uri="{B025F937-C7B1-47D3-B67F-A62EFF666E3E}">
          <x14:id>{103B220E-D9C2-4810-AADB-8034B63BAE94}</x14:id>
        </ext>
      </extLst>
    </cfRule>
  </conditionalFormatting>
  <conditionalFormatting sqref="J328:J343">
    <cfRule type="dataBar" priority="214">
      <dataBar>
        <cfvo type="min"/>
        <cfvo type="max"/>
        <color rgb="FFFFB628"/>
      </dataBar>
      <extLst>
        <ext xmlns:x14="http://schemas.microsoft.com/office/spreadsheetml/2009/9/main" uri="{B025F937-C7B1-47D3-B67F-A62EFF666E3E}">
          <x14:id>{FC44FD1E-90F0-4FA0-980C-F6CE76D1C96F}</x14:id>
        </ext>
      </extLst>
    </cfRule>
    <cfRule type="dataBar" priority="215">
      <dataBar>
        <cfvo type="min"/>
        <cfvo type="max"/>
        <color rgb="FFFF555A"/>
      </dataBar>
      <extLst>
        <ext xmlns:x14="http://schemas.microsoft.com/office/spreadsheetml/2009/9/main" uri="{B025F937-C7B1-47D3-B67F-A62EFF666E3E}">
          <x14:id>{89A700B9-59A8-45EC-AE20-28CE35679A16}</x14:id>
        </ext>
      </extLst>
    </cfRule>
    <cfRule type="dataBar" priority="216">
      <dataBar>
        <cfvo type="min"/>
        <cfvo type="max"/>
        <color rgb="FFFFB628"/>
      </dataBar>
      <extLst>
        <ext xmlns:x14="http://schemas.microsoft.com/office/spreadsheetml/2009/9/main" uri="{B025F937-C7B1-47D3-B67F-A62EFF666E3E}">
          <x14:id>{84E81D30-1A5A-48BA-8E40-0C052A59EEC9}</x14:id>
        </ext>
      </extLst>
    </cfRule>
  </conditionalFormatting>
  <conditionalFormatting sqref="J352">
    <cfRule type="dataBar" priority="202">
      <dataBar>
        <cfvo type="min"/>
        <cfvo type="max"/>
        <color rgb="FFFFB628"/>
      </dataBar>
      <extLst>
        <ext xmlns:x14="http://schemas.microsoft.com/office/spreadsheetml/2009/9/main" uri="{B025F937-C7B1-47D3-B67F-A62EFF666E3E}">
          <x14:id>{65596BAC-A9F4-47F7-90FF-5378624A719D}</x14:id>
        </ext>
      </extLst>
    </cfRule>
    <cfRule type="dataBar" priority="203">
      <dataBar>
        <cfvo type="min"/>
        <cfvo type="max"/>
        <color rgb="FFFF555A"/>
      </dataBar>
      <extLst>
        <ext xmlns:x14="http://schemas.microsoft.com/office/spreadsheetml/2009/9/main" uri="{B025F937-C7B1-47D3-B67F-A62EFF666E3E}">
          <x14:id>{57064773-D914-4AAA-81A0-CE476FC880FA}</x14:id>
        </ext>
      </extLst>
    </cfRule>
    <cfRule type="dataBar" priority="204">
      <dataBar>
        <cfvo type="min"/>
        <cfvo type="max"/>
        <color rgb="FFFFB628"/>
      </dataBar>
      <extLst>
        <ext xmlns:x14="http://schemas.microsoft.com/office/spreadsheetml/2009/9/main" uri="{B025F937-C7B1-47D3-B67F-A62EFF666E3E}">
          <x14:id>{784CEFA4-6FA5-405C-B744-FA4E9AAA70B7}</x14:id>
        </ext>
      </extLst>
    </cfRule>
  </conditionalFormatting>
  <conditionalFormatting sqref="J372">
    <cfRule type="dataBar" priority="2282">
      <dataBar>
        <cfvo type="min"/>
        <cfvo type="max"/>
        <color rgb="FFFFB628"/>
      </dataBar>
      <extLst>
        <ext xmlns:x14="http://schemas.microsoft.com/office/spreadsheetml/2009/9/main" uri="{B025F937-C7B1-47D3-B67F-A62EFF666E3E}">
          <x14:id>{6018FC88-C758-4397-BC1F-5B34A0DF6318}</x14:id>
        </ext>
      </extLst>
    </cfRule>
    <cfRule type="dataBar" priority="2283">
      <dataBar>
        <cfvo type="min"/>
        <cfvo type="max"/>
        <color rgb="FFFF555A"/>
      </dataBar>
      <extLst>
        <ext xmlns:x14="http://schemas.microsoft.com/office/spreadsheetml/2009/9/main" uri="{B025F937-C7B1-47D3-B67F-A62EFF666E3E}">
          <x14:id>{3E3637AB-ED83-4C45-AD8A-BCBC48870DE0}</x14:id>
        </ext>
      </extLst>
    </cfRule>
    <cfRule type="dataBar" priority="2284">
      <dataBar>
        <cfvo type="min"/>
        <cfvo type="max"/>
        <color rgb="FFFFB628"/>
      </dataBar>
      <extLst>
        <ext xmlns:x14="http://schemas.microsoft.com/office/spreadsheetml/2009/9/main" uri="{B025F937-C7B1-47D3-B67F-A62EFF666E3E}">
          <x14:id>{1A812F5E-BD51-4563-B100-09006D4E89CA}</x14:id>
        </ext>
      </extLst>
    </cfRule>
  </conditionalFormatting>
  <conditionalFormatting sqref="J378:J508 J527:J545">
    <cfRule type="dataBar" priority="188">
      <dataBar>
        <cfvo type="min"/>
        <cfvo type="max"/>
        <color rgb="FFFFB628"/>
      </dataBar>
      <extLst>
        <ext xmlns:x14="http://schemas.microsoft.com/office/spreadsheetml/2009/9/main" uri="{B025F937-C7B1-47D3-B67F-A62EFF666E3E}">
          <x14:id>{FE989EF1-D9DE-4586-ABCF-EB51B1586309}</x14:id>
        </ext>
      </extLst>
    </cfRule>
    <cfRule type="dataBar" priority="189">
      <dataBar>
        <cfvo type="min"/>
        <cfvo type="max"/>
        <color rgb="FFFF555A"/>
      </dataBar>
      <extLst>
        <ext xmlns:x14="http://schemas.microsoft.com/office/spreadsheetml/2009/9/main" uri="{B025F937-C7B1-47D3-B67F-A62EFF666E3E}">
          <x14:id>{92E56E2C-BA80-42C8-BD91-62AE78B0F8C3}</x14:id>
        </ext>
      </extLst>
    </cfRule>
    <cfRule type="dataBar" priority="190">
      <dataBar>
        <cfvo type="min"/>
        <cfvo type="max"/>
        <color rgb="FFFFB628"/>
      </dataBar>
      <extLst>
        <ext xmlns:x14="http://schemas.microsoft.com/office/spreadsheetml/2009/9/main" uri="{B025F937-C7B1-47D3-B67F-A62EFF666E3E}">
          <x14:id>{84B209EE-A672-441B-8295-EF755587AC0A}</x14:id>
        </ext>
      </extLst>
    </cfRule>
  </conditionalFormatting>
  <conditionalFormatting sqref="J509:J510">
    <cfRule type="dataBar" priority="33">
      <dataBar>
        <cfvo type="min"/>
        <cfvo type="max"/>
        <color rgb="FFFFB628"/>
      </dataBar>
      <extLst>
        <ext xmlns:x14="http://schemas.microsoft.com/office/spreadsheetml/2009/9/main" uri="{B025F937-C7B1-47D3-B67F-A62EFF666E3E}">
          <x14:id>{E946C1CE-C8AC-485E-8E4F-5E8C845E0C27}</x14:id>
        </ext>
      </extLst>
    </cfRule>
    <cfRule type="dataBar" priority="34">
      <dataBar>
        <cfvo type="min"/>
        <cfvo type="max"/>
        <color rgb="FFFF555A"/>
      </dataBar>
      <extLst>
        <ext xmlns:x14="http://schemas.microsoft.com/office/spreadsheetml/2009/9/main" uri="{B025F937-C7B1-47D3-B67F-A62EFF666E3E}">
          <x14:id>{F56243C3-96AF-4E07-ACFA-F569970B1247}</x14:id>
        </ext>
      </extLst>
    </cfRule>
    <cfRule type="dataBar" priority="35">
      <dataBar>
        <cfvo type="min"/>
        <cfvo type="max"/>
        <color rgb="FFFFB628"/>
      </dataBar>
      <extLst>
        <ext xmlns:x14="http://schemas.microsoft.com/office/spreadsheetml/2009/9/main" uri="{B025F937-C7B1-47D3-B67F-A62EFF666E3E}">
          <x14:id>{7A7FCBF0-C837-4E71-91FB-FC902FFA8DC3}</x14:id>
        </ext>
      </extLst>
    </cfRule>
  </conditionalFormatting>
  <conditionalFormatting sqref="J511:J526">
    <cfRule type="dataBar" priority="29">
      <dataBar>
        <cfvo type="min"/>
        <cfvo type="max"/>
        <color rgb="FFFFB628"/>
      </dataBar>
      <extLst>
        <ext xmlns:x14="http://schemas.microsoft.com/office/spreadsheetml/2009/9/main" uri="{B025F937-C7B1-47D3-B67F-A62EFF666E3E}">
          <x14:id>{B40597BE-4213-43B1-9A0C-584F6A4EE909}</x14:id>
        </ext>
      </extLst>
    </cfRule>
    <cfRule type="dataBar" priority="30">
      <dataBar>
        <cfvo type="min"/>
        <cfvo type="max"/>
        <color rgb="FFFF555A"/>
      </dataBar>
      <extLst>
        <ext xmlns:x14="http://schemas.microsoft.com/office/spreadsheetml/2009/9/main" uri="{B025F937-C7B1-47D3-B67F-A62EFF666E3E}">
          <x14:id>{308515BE-3D70-4156-8BE9-15D164E6A5B5}</x14:id>
        </ext>
      </extLst>
    </cfRule>
    <cfRule type="dataBar" priority="31">
      <dataBar>
        <cfvo type="min"/>
        <cfvo type="max"/>
        <color rgb="FFFFB628"/>
      </dataBar>
      <extLst>
        <ext xmlns:x14="http://schemas.microsoft.com/office/spreadsheetml/2009/9/main" uri="{B025F937-C7B1-47D3-B67F-A62EFF666E3E}">
          <x14:id>{86AA8E49-BC20-44D5-A830-7AAD7C9C71DD}</x14:id>
        </ext>
      </extLst>
    </cfRule>
  </conditionalFormatting>
  <conditionalFormatting sqref="J546:J547 J353:J371 J373:J377 J344:J351">
    <cfRule type="dataBar" priority="1918">
      <dataBar>
        <cfvo type="min"/>
        <cfvo type="max"/>
        <color rgb="FFFFB628"/>
      </dataBar>
      <extLst>
        <ext xmlns:x14="http://schemas.microsoft.com/office/spreadsheetml/2009/9/main" uri="{B025F937-C7B1-47D3-B67F-A62EFF666E3E}">
          <x14:id>{3C18E9F1-7ED0-4FF8-AFC0-4E308BDE3F2C}</x14:id>
        </ext>
      </extLst>
    </cfRule>
    <cfRule type="dataBar" priority="1919">
      <dataBar>
        <cfvo type="min"/>
        <cfvo type="max"/>
        <color rgb="FFFF555A"/>
      </dataBar>
      <extLst>
        <ext xmlns:x14="http://schemas.microsoft.com/office/spreadsheetml/2009/9/main" uri="{B025F937-C7B1-47D3-B67F-A62EFF666E3E}">
          <x14:id>{789893A4-FA94-4F87-AA05-8A40847C1C51}</x14:id>
        </ext>
      </extLst>
    </cfRule>
    <cfRule type="dataBar" priority="1920">
      <dataBar>
        <cfvo type="min"/>
        <cfvo type="max"/>
        <color rgb="FFFFB628"/>
      </dataBar>
      <extLst>
        <ext xmlns:x14="http://schemas.microsoft.com/office/spreadsheetml/2009/9/main" uri="{B025F937-C7B1-47D3-B67F-A62EFF666E3E}">
          <x14:id>{83005628-B1AD-458F-AD08-1E3340E6ED15}</x14:id>
        </ext>
      </extLst>
    </cfRule>
  </conditionalFormatting>
  <conditionalFormatting sqref="U3:U22 U32:U547">
    <cfRule type="containsText" dxfId="2" priority="610" operator="containsText" text="No monetizar">
      <formula>NOT(ISERROR(SEARCH("No monetizar",U3)))</formula>
    </cfRule>
  </conditionalFormatting>
  <dataValidations disablePrompts="1" count="1">
    <dataValidation type="list" allowBlank="1" showInputMessage="1" showErrorMessage="1" sqref="O1" xr:uid="{5D1F41CF-12D8-4A5B-8766-21FFC6248860}">
      <formula1>"0,1"</formula1>
    </dataValidation>
  </dataValidations>
  <printOptions horizontalCentered="1" verticalCentered="1"/>
  <pageMargins left="0.70866141732283472" right="0.70866141732283472" top="0.74803149606299213" bottom="0.74803149606299213" header="0.31496062992125984" footer="0.31496062992125984"/>
  <pageSetup paperSize="3" scale="88" orientation="landscape" r:id="rId1"/>
  <legacyDrawing r:id="rId2"/>
  <extLst>
    <ext xmlns:x14="http://schemas.microsoft.com/office/spreadsheetml/2009/9/main" uri="{78C0D931-6437-407d-A8EE-F0AAD7539E65}">
      <x14:conditionalFormattings>
        <x14:conditionalFormatting xmlns:xm="http://schemas.microsoft.com/office/excel/2006/main">
          <x14:cfRule type="dataBar" id="{DCDE3B33-8068-4FD3-A0E4-428662B8DBB5}">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5A821E57-6035-44A4-ACD3-BA704FC5F8A6}">
            <x14:dataBar minLength="0" maxLength="100" gradient="0">
              <x14:cfvo type="autoMin"/>
              <x14:cfvo type="autoMax"/>
              <x14:negativeFillColor rgb="FFFF0000"/>
              <x14:axisColor rgb="FF000000"/>
            </x14:dataBar>
          </x14:cfRule>
          <x14:cfRule type="dataBar" id="{1D41CBBC-5EA1-48BB-8CA8-F0A82C665691}">
            <x14:dataBar minLength="0" maxLength="100" border="1" negativeBarBorderColorSameAsPositive="0">
              <x14:cfvo type="autoMin"/>
              <x14:cfvo type="autoMax"/>
              <x14:borderColor rgb="FFFFB628"/>
              <x14:negativeFillColor rgb="FFFF0000"/>
              <x14:negativeBorderColor rgb="FFFF0000"/>
              <x14:axisColor rgb="FF000000"/>
            </x14:dataBar>
          </x14:cfRule>
          <xm:sqref>J3:J21</xm:sqref>
        </x14:conditionalFormatting>
        <x14:conditionalFormatting xmlns:xm="http://schemas.microsoft.com/office/excel/2006/main">
          <x14:cfRule type="dataBar" id="{D20F7083-9E5D-4622-8162-AFD68BD7376C}">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D2C7B291-DF20-40B3-8900-002C14F16CAA}">
            <x14:dataBar minLength="0" maxLength="100" gradient="0">
              <x14:cfvo type="autoMin"/>
              <x14:cfvo type="autoMax"/>
              <x14:negativeFillColor rgb="FFFF0000"/>
              <x14:axisColor rgb="FF000000"/>
            </x14:dataBar>
          </x14:cfRule>
          <x14:cfRule type="dataBar" id="{ACEFE69F-8B78-4AC5-ADCE-5EEEC7868527}">
            <x14:dataBar minLength="0" maxLength="100" border="1" negativeBarBorderColorSameAsPositive="0">
              <x14:cfvo type="autoMin"/>
              <x14:cfvo type="autoMax"/>
              <x14:borderColor rgb="FFFFB628"/>
              <x14:negativeFillColor rgb="FFFF0000"/>
              <x14:negativeBorderColor rgb="FFFF0000"/>
              <x14:axisColor rgb="FF000000"/>
            </x14:dataBar>
          </x14:cfRule>
          <xm:sqref>J22</xm:sqref>
        </x14:conditionalFormatting>
        <x14:conditionalFormatting xmlns:xm="http://schemas.microsoft.com/office/excel/2006/main">
          <x14:cfRule type="dataBar" id="{55D687E7-F609-4C55-B6C5-E8CA9C00ECD6}">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1B9E7F56-41EE-43B7-89FD-CC4A16DB373E}">
            <x14:dataBar minLength="0" maxLength="100" gradient="0">
              <x14:cfvo type="autoMin"/>
              <x14:cfvo type="autoMax"/>
              <x14:negativeFillColor rgb="FFFF0000"/>
              <x14:axisColor rgb="FF000000"/>
            </x14:dataBar>
          </x14:cfRule>
          <x14:cfRule type="dataBar" id="{A3A8E53A-2DFF-4972-BAE4-5FAC853CCF20}">
            <x14:dataBar minLength="0" maxLength="100" border="1" negativeBarBorderColorSameAsPositive="0">
              <x14:cfvo type="autoMin"/>
              <x14:cfvo type="autoMax"/>
              <x14:borderColor rgb="FFFFB628"/>
              <x14:negativeFillColor rgb="FFFF0000"/>
              <x14:negativeBorderColor rgb="FFFF0000"/>
              <x14:axisColor rgb="FF000000"/>
            </x14:dataBar>
          </x14:cfRule>
          <xm:sqref>J32:J88 J93:J255</xm:sqref>
        </x14:conditionalFormatting>
        <x14:conditionalFormatting xmlns:xm="http://schemas.microsoft.com/office/excel/2006/main">
          <x14:cfRule type="dataBar" id="{D63BAA5F-ADCA-4372-95E1-DEF32D014737}">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1F4353BD-6BD1-4BAE-A93C-2207B0F262E4}">
            <x14:dataBar minLength="0" maxLength="100" gradient="0">
              <x14:cfvo type="autoMin"/>
              <x14:cfvo type="autoMax"/>
              <x14:negativeFillColor rgb="FFFF0000"/>
              <x14:axisColor rgb="FF000000"/>
            </x14:dataBar>
          </x14:cfRule>
          <x14:cfRule type="dataBar" id="{054BA314-03DD-4EB9-9425-0FD367992F8E}">
            <x14:dataBar minLength="0" maxLength="100" border="1" negativeBarBorderColorSameAsPositive="0">
              <x14:cfvo type="autoMin"/>
              <x14:cfvo type="autoMax"/>
              <x14:borderColor rgb="FFFFB628"/>
              <x14:negativeFillColor rgb="FFFF0000"/>
              <x14:negativeBorderColor rgb="FFFF0000"/>
              <x14:axisColor rgb="FF000000"/>
            </x14:dataBar>
          </x14:cfRule>
          <xm:sqref>J89:J92</xm:sqref>
        </x14:conditionalFormatting>
        <x14:conditionalFormatting xmlns:xm="http://schemas.microsoft.com/office/excel/2006/main">
          <x14:cfRule type="dataBar" id="{D8D81FF1-57DC-4AEA-AE58-A5D80B857985}">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2258A299-BEB4-4906-BD79-B4737E7715F3}">
            <x14:dataBar minLength="0" maxLength="100" gradient="0">
              <x14:cfvo type="autoMin"/>
              <x14:cfvo type="autoMax"/>
              <x14:negativeFillColor rgb="FFFF0000"/>
              <x14:axisColor rgb="FF000000"/>
            </x14:dataBar>
          </x14:cfRule>
          <x14:cfRule type="dataBar" id="{46DD001E-9883-4E67-B91B-B96A99DE826A}">
            <x14:dataBar minLength="0" maxLength="100" border="1" negativeBarBorderColorSameAsPositive="0">
              <x14:cfvo type="autoMin"/>
              <x14:cfvo type="autoMax"/>
              <x14:borderColor rgb="FFFFB628"/>
              <x14:negativeFillColor rgb="FFFF0000"/>
              <x14:negativeBorderColor rgb="FFFF0000"/>
              <x14:axisColor rgb="FF000000"/>
            </x14:dataBar>
          </x14:cfRule>
          <xm:sqref>J256:J272</xm:sqref>
        </x14:conditionalFormatting>
        <x14:conditionalFormatting xmlns:xm="http://schemas.microsoft.com/office/excel/2006/main">
          <x14:cfRule type="dataBar" id="{C2780630-B39D-474D-86BE-0FC60B6C4E16}">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C0A7BCE6-F904-485D-B2B1-4A5B2D72CB91}">
            <x14:dataBar minLength="0" maxLength="100" gradient="0">
              <x14:cfvo type="autoMin"/>
              <x14:cfvo type="autoMax"/>
              <x14:negativeFillColor rgb="FFFF0000"/>
              <x14:axisColor rgb="FF000000"/>
            </x14:dataBar>
          </x14:cfRule>
          <x14:cfRule type="dataBar" id="{78714B1B-4D9B-4135-9DC1-69674E352412}">
            <x14:dataBar minLength="0" maxLength="100" border="1" negativeBarBorderColorSameAsPositive="0">
              <x14:cfvo type="autoMin"/>
              <x14:cfvo type="autoMax"/>
              <x14:borderColor rgb="FFFFB628"/>
              <x14:negativeFillColor rgb="FFFF0000"/>
              <x14:negativeBorderColor rgb="FFFF0000"/>
              <x14:axisColor rgb="FF000000"/>
            </x14:dataBar>
          </x14:cfRule>
          <xm:sqref>J273</xm:sqref>
        </x14:conditionalFormatting>
        <x14:conditionalFormatting xmlns:xm="http://schemas.microsoft.com/office/excel/2006/main">
          <x14:cfRule type="dataBar" id="{80A83E32-3437-4EEF-836F-8236F25B1D58}">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F08DFF57-D263-40E2-A94C-3019E0AC0F64}">
            <x14:dataBar minLength="0" maxLength="100" gradient="0">
              <x14:cfvo type="autoMin"/>
              <x14:cfvo type="autoMax"/>
              <x14:negativeFillColor rgb="FFFF0000"/>
              <x14:axisColor rgb="FF000000"/>
            </x14:dataBar>
          </x14:cfRule>
          <x14:cfRule type="dataBar" id="{417EBCF4-39B1-4D90-B7F9-9465C54E2BB3}">
            <x14:dataBar minLength="0" maxLength="100" border="1" negativeBarBorderColorSameAsPositive="0">
              <x14:cfvo type="autoMin"/>
              <x14:cfvo type="autoMax"/>
              <x14:borderColor rgb="FFFFB628"/>
              <x14:negativeFillColor rgb="FFFF0000"/>
              <x14:negativeBorderColor rgb="FFFF0000"/>
              <x14:axisColor rgb="FF000000"/>
            </x14:dataBar>
          </x14:cfRule>
          <xm:sqref>J274</xm:sqref>
        </x14:conditionalFormatting>
        <x14:conditionalFormatting xmlns:xm="http://schemas.microsoft.com/office/excel/2006/main">
          <x14:cfRule type="dataBar" id="{D4ECC3D7-9A7B-478B-B3B5-12C818AC8596}">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ED7AACF7-7968-449C-80B9-16AE7DAB2397}">
            <x14:dataBar minLength="0" maxLength="100" gradient="0">
              <x14:cfvo type="autoMin"/>
              <x14:cfvo type="autoMax"/>
              <x14:negativeFillColor rgb="FFFF0000"/>
              <x14:axisColor rgb="FF000000"/>
            </x14:dataBar>
          </x14:cfRule>
          <x14:cfRule type="dataBar" id="{25A3CB62-EB03-49A4-9454-A36B0E7BB073}">
            <x14:dataBar minLength="0" maxLength="100" border="1" negativeBarBorderColorSameAsPositive="0">
              <x14:cfvo type="autoMin"/>
              <x14:cfvo type="autoMax"/>
              <x14:borderColor rgb="FFFFB628"/>
              <x14:negativeFillColor rgb="FFFF0000"/>
              <x14:negativeBorderColor rgb="FFFF0000"/>
              <x14:axisColor rgb="FF000000"/>
            </x14:dataBar>
          </x14:cfRule>
          <xm:sqref>J275</xm:sqref>
        </x14:conditionalFormatting>
        <x14:conditionalFormatting xmlns:xm="http://schemas.microsoft.com/office/excel/2006/main">
          <x14:cfRule type="dataBar" id="{01DDB8DF-9B70-4B49-8402-8E56293B9CAD}">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CB0E8BCC-BD88-43F0-BABC-832483C1EA34}">
            <x14:dataBar minLength="0" maxLength="100" gradient="0">
              <x14:cfvo type="autoMin"/>
              <x14:cfvo type="autoMax"/>
              <x14:negativeFillColor rgb="FFFF0000"/>
              <x14:axisColor rgb="FF000000"/>
            </x14:dataBar>
          </x14:cfRule>
          <x14:cfRule type="dataBar" id="{9169C103-D5EA-497F-A1A6-35B841A6DA85}">
            <x14:dataBar minLength="0" maxLength="100" border="1" negativeBarBorderColorSameAsPositive="0">
              <x14:cfvo type="autoMin"/>
              <x14:cfvo type="autoMax"/>
              <x14:borderColor rgb="FFFFB628"/>
              <x14:negativeFillColor rgb="FFFF0000"/>
              <x14:negativeBorderColor rgb="FFFF0000"/>
              <x14:axisColor rgb="FF000000"/>
            </x14:dataBar>
          </x14:cfRule>
          <xm:sqref>J276:J305</xm:sqref>
        </x14:conditionalFormatting>
        <x14:conditionalFormatting xmlns:xm="http://schemas.microsoft.com/office/excel/2006/main">
          <x14:cfRule type="dataBar" id="{5746A56D-59F9-4F59-A330-3DFA062D2338}">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82FAB190-22AC-4B49-B2BF-D61192B2FC35}">
            <x14:dataBar minLength="0" maxLength="100" gradient="0">
              <x14:cfvo type="autoMin"/>
              <x14:cfvo type="autoMax"/>
              <x14:negativeFillColor rgb="FFFF0000"/>
              <x14:axisColor rgb="FF000000"/>
            </x14:dataBar>
          </x14:cfRule>
          <x14:cfRule type="dataBar" id="{58B0A773-A394-4631-94F5-8ED8EEA55DA4}">
            <x14:dataBar minLength="0" maxLength="100" border="1" negativeBarBorderColorSameAsPositive="0">
              <x14:cfvo type="autoMin"/>
              <x14:cfvo type="autoMax"/>
              <x14:borderColor rgb="FFFFB628"/>
              <x14:negativeFillColor rgb="FFFF0000"/>
              <x14:negativeBorderColor rgb="FFFF0000"/>
              <x14:axisColor rgb="FF000000"/>
            </x14:dataBar>
          </x14:cfRule>
          <xm:sqref>J306:J313</xm:sqref>
        </x14:conditionalFormatting>
        <x14:conditionalFormatting xmlns:xm="http://schemas.microsoft.com/office/excel/2006/main">
          <x14:cfRule type="dataBar" id="{73CC9F68-2D98-42A8-A1FC-9A8672FF72B1}">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5E1F4A78-7FF8-4389-994F-9521AD435963}">
            <x14:dataBar minLength="0" maxLength="100" gradient="0">
              <x14:cfvo type="autoMin"/>
              <x14:cfvo type="autoMax"/>
              <x14:negativeFillColor rgb="FFFF0000"/>
              <x14:axisColor rgb="FF000000"/>
            </x14:dataBar>
          </x14:cfRule>
          <x14:cfRule type="dataBar" id="{BFFFCF85-FB5F-4D35-A4EB-112DFDE78725}">
            <x14:dataBar minLength="0" maxLength="100" border="1" negativeBarBorderColorSameAsPositive="0">
              <x14:cfvo type="autoMin"/>
              <x14:cfvo type="autoMax"/>
              <x14:borderColor rgb="FFFFB628"/>
              <x14:negativeFillColor rgb="FFFF0000"/>
              <x14:negativeBorderColor rgb="FFFF0000"/>
              <x14:axisColor rgb="FF000000"/>
            </x14:dataBar>
          </x14:cfRule>
          <xm:sqref>J314:J315</xm:sqref>
        </x14:conditionalFormatting>
        <x14:conditionalFormatting xmlns:xm="http://schemas.microsoft.com/office/excel/2006/main">
          <x14:cfRule type="dataBar" id="{94EC7327-8CA6-42CB-B479-4DA0B3D07FA1}">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C2A34B4A-90FF-4C93-9D1C-2FE74E29D8C8}">
            <x14:dataBar minLength="0" maxLength="100" gradient="0">
              <x14:cfvo type="autoMin"/>
              <x14:cfvo type="autoMax"/>
              <x14:negativeFillColor rgb="FFFF0000"/>
              <x14:axisColor rgb="FF000000"/>
            </x14:dataBar>
          </x14:cfRule>
          <x14:cfRule type="dataBar" id="{C0A52DE1-8D74-406B-8A43-ACE851D538B0}">
            <x14:dataBar minLength="0" maxLength="100" border="1" negativeBarBorderColorSameAsPositive="0">
              <x14:cfvo type="autoMin"/>
              <x14:cfvo type="autoMax"/>
              <x14:borderColor rgb="FFFFB628"/>
              <x14:negativeFillColor rgb="FFFF0000"/>
              <x14:negativeBorderColor rgb="FFFF0000"/>
              <x14:axisColor rgb="FF000000"/>
            </x14:dataBar>
          </x14:cfRule>
          <xm:sqref>J316:J325</xm:sqref>
        </x14:conditionalFormatting>
        <x14:conditionalFormatting xmlns:xm="http://schemas.microsoft.com/office/excel/2006/main">
          <x14:cfRule type="dataBar" id="{B2F17531-A9D9-40C6-9AB8-EE393CD4F099}">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BA66747D-4690-4C93-8B9D-F88CA91F22CB}">
            <x14:dataBar minLength="0" maxLength="100" gradient="0">
              <x14:cfvo type="autoMin"/>
              <x14:cfvo type="autoMax"/>
              <x14:negativeFillColor rgb="FFFF0000"/>
              <x14:axisColor rgb="FF000000"/>
            </x14:dataBar>
          </x14:cfRule>
          <x14:cfRule type="dataBar" id="{103B220E-D9C2-4810-AADB-8034B63BAE94}">
            <x14:dataBar minLength="0" maxLength="100" border="1" negativeBarBorderColorSameAsPositive="0">
              <x14:cfvo type="autoMin"/>
              <x14:cfvo type="autoMax"/>
              <x14:borderColor rgb="FFFFB628"/>
              <x14:negativeFillColor rgb="FFFF0000"/>
              <x14:negativeBorderColor rgb="FFFF0000"/>
              <x14:axisColor rgb="FF000000"/>
            </x14:dataBar>
          </x14:cfRule>
          <xm:sqref>J326:J327</xm:sqref>
        </x14:conditionalFormatting>
        <x14:conditionalFormatting xmlns:xm="http://schemas.microsoft.com/office/excel/2006/main">
          <x14:cfRule type="dataBar" id="{FC44FD1E-90F0-4FA0-980C-F6CE76D1C96F}">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89A700B9-59A8-45EC-AE20-28CE35679A16}">
            <x14:dataBar minLength="0" maxLength="100" gradient="0">
              <x14:cfvo type="autoMin"/>
              <x14:cfvo type="autoMax"/>
              <x14:negativeFillColor rgb="FFFF0000"/>
              <x14:axisColor rgb="FF000000"/>
            </x14:dataBar>
          </x14:cfRule>
          <x14:cfRule type="dataBar" id="{84E81D30-1A5A-48BA-8E40-0C052A59EEC9}">
            <x14:dataBar minLength="0" maxLength="100" border="1" negativeBarBorderColorSameAsPositive="0">
              <x14:cfvo type="autoMin"/>
              <x14:cfvo type="autoMax"/>
              <x14:borderColor rgb="FFFFB628"/>
              <x14:negativeFillColor rgb="FFFF0000"/>
              <x14:negativeBorderColor rgb="FFFF0000"/>
              <x14:axisColor rgb="FF000000"/>
            </x14:dataBar>
          </x14:cfRule>
          <xm:sqref>J328:J343</xm:sqref>
        </x14:conditionalFormatting>
        <x14:conditionalFormatting xmlns:xm="http://schemas.microsoft.com/office/excel/2006/main">
          <x14:cfRule type="dataBar" id="{65596BAC-A9F4-47F7-90FF-5378624A719D}">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57064773-D914-4AAA-81A0-CE476FC880FA}">
            <x14:dataBar minLength="0" maxLength="100" gradient="0">
              <x14:cfvo type="autoMin"/>
              <x14:cfvo type="autoMax"/>
              <x14:negativeFillColor rgb="FFFF0000"/>
              <x14:axisColor rgb="FF000000"/>
            </x14:dataBar>
          </x14:cfRule>
          <x14:cfRule type="dataBar" id="{784CEFA4-6FA5-405C-B744-FA4E9AAA70B7}">
            <x14:dataBar minLength="0" maxLength="100" border="1" negativeBarBorderColorSameAsPositive="0">
              <x14:cfvo type="autoMin"/>
              <x14:cfvo type="autoMax"/>
              <x14:borderColor rgb="FFFFB628"/>
              <x14:negativeFillColor rgb="FFFF0000"/>
              <x14:negativeBorderColor rgb="FFFF0000"/>
              <x14:axisColor rgb="FF000000"/>
            </x14:dataBar>
          </x14:cfRule>
          <xm:sqref>J352</xm:sqref>
        </x14:conditionalFormatting>
        <x14:conditionalFormatting xmlns:xm="http://schemas.microsoft.com/office/excel/2006/main">
          <x14:cfRule type="dataBar" id="{6018FC88-C758-4397-BC1F-5B34A0DF6318}">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3E3637AB-ED83-4C45-AD8A-BCBC48870DE0}">
            <x14:dataBar minLength="0" maxLength="100" gradient="0">
              <x14:cfvo type="autoMin"/>
              <x14:cfvo type="autoMax"/>
              <x14:negativeFillColor rgb="FFFF0000"/>
              <x14:axisColor rgb="FF000000"/>
            </x14:dataBar>
          </x14:cfRule>
          <x14:cfRule type="dataBar" id="{1A812F5E-BD51-4563-B100-09006D4E89CA}">
            <x14:dataBar minLength="0" maxLength="100" border="1" negativeBarBorderColorSameAsPositive="0">
              <x14:cfvo type="autoMin"/>
              <x14:cfvo type="autoMax"/>
              <x14:borderColor rgb="FFFFB628"/>
              <x14:negativeFillColor rgb="FFFF0000"/>
              <x14:negativeBorderColor rgb="FFFF0000"/>
              <x14:axisColor rgb="FF000000"/>
            </x14:dataBar>
          </x14:cfRule>
          <xm:sqref>J372</xm:sqref>
        </x14:conditionalFormatting>
        <x14:conditionalFormatting xmlns:xm="http://schemas.microsoft.com/office/excel/2006/main">
          <x14:cfRule type="dataBar" id="{FE989EF1-D9DE-4586-ABCF-EB51B1586309}">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92E56E2C-BA80-42C8-BD91-62AE78B0F8C3}">
            <x14:dataBar minLength="0" maxLength="100" gradient="0">
              <x14:cfvo type="autoMin"/>
              <x14:cfvo type="autoMax"/>
              <x14:negativeFillColor rgb="FFFF0000"/>
              <x14:axisColor rgb="FF000000"/>
            </x14:dataBar>
          </x14:cfRule>
          <x14:cfRule type="dataBar" id="{84B209EE-A672-441B-8295-EF755587AC0A}">
            <x14:dataBar minLength="0" maxLength="100" border="1" negativeBarBorderColorSameAsPositive="0">
              <x14:cfvo type="autoMin"/>
              <x14:cfvo type="autoMax"/>
              <x14:borderColor rgb="FFFFB628"/>
              <x14:negativeFillColor rgb="FFFF0000"/>
              <x14:negativeBorderColor rgb="FFFF0000"/>
              <x14:axisColor rgb="FF000000"/>
            </x14:dataBar>
          </x14:cfRule>
          <xm:sqref>J378:J508 J527:J545</xm:sqref>
        </x14:conditionalFormatting>
        <x14:conditionalFormatting xmlns:xm="http://schemas.microsoft.com/office/excel/2006/main">
          <x14:cfRule type="dataBar" id="{E946C1CE-C8AC-485E-8E4F-5E8C845E0C27}">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F56243C3-96AF-4E07-ACFA-F569970B1247}">
            <x14:dataBar minLength="0" maxLength="100" gradient="0">
              <x14:cfvo type="autoMin"/>
              <x14:cfvo type="autoMax"/>
              <x14:negativeFillColor rgb="FFFF0000"/>
              <x14:axisColor rgb="FF000000"/>
            </x14:dataBar>
          </x14:cfRule>
          <x14:cfRule type="dataBar" id="{7A7FCBF0-C837-4E71-91FB-FC902FFA8DC3}">
            <x14:dataBar minLength="0" maxLength="100" border="1" negativeBarBorderColorSameAsPositive="0">
              <x14:cfvo type="autoMin"/>
              <x14:cfvo type="autoMax"/>
              <x14:borderColor rgb="FFFFB628"/>
              <x14:negativeFillColor rgb="FFFF0000"/>
              <x14:negativeBorderColor rgb="FFFF0000"/>
              <x14:axisColor rgb="FF000000"/>
            </x14:dataBar>
          </x14:cfRule>
          <xm:sqref>J509:J510</xm:sqref>
        </x14:conditionalFormatting>
        <x14:conditionalFormatting xmlns:xm="http://schemas.microsoft.com/office/excel/2006/main">
          <x14:cfRule type="dataBar" id="{B40597BE-4213-43B1-9A0C-584F6A4EE909}">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308515BE-3D70-4156-8BE9-15D164E6A5B5}">
            <x14:dataBar minLength="0" maxLength="100" gradient="0">
              <x14:cfvo type="autoMin"/>
              <x14:cfvo type="autoMax"/>
              <x14:negativeFillColor rgb="FFFF0000"/>
              <x14:axisColor rgb="FF000000"/>
            </x14:dataBar>
          </x14:cfRule>
          <x14:cfRule type="dataBar" id="{86AA8E49-BC20-44D5-A830-7AAD7C9C71DD}">
            <x14:dataBar minLength="0" maxLength="100" border="1" negativeBarBorderColorSameAsPositive="0">
              <x14:cfvo type="autoMin"/>
              <x14:cfvo type="autoMax"/>
              <x14:borderColor rgb="FFFFB628"/>
              <x14:negativeFillColor rgb="FFFF0000"/>
              <x14:negativeBorderColor rgb="FFFF0000"/>
              <x14:axisColor rgb="FF000000"/>
            </x14:dataBar>
          </x14:cfRule>
          <xm:sqref>J511:J526</xm:sqref>
        </x14:conditionalFormatting>
        <x14:conditionalFormatting xmlns:xm="http://schemas.microsoft.com/office/excel/2006/main">
          <x14:cfRule type="dataBar" id="{3C18E9F1-7ED0-4FF8-AFC0-4E308BDE3F2C}">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789893A4-FA94-4F87-AA05-8A40847C1C51}">
            <x14:dataBar minLength="0" maxLength="100" gradient="0">
              <x14:cfvo type="autoMin"/>
              <x14:cfvo type="autoMax"/>
              <x14:negativeFillColor rgb="FFFF0000"/>
              <x14:axisColor rgb="FF000000"/>
            </x14:dataBar>
          </x14:cfRule>
          <x14:cfRule type="dataBar" id="{83005628-B1AD-458F-AD08-1E3340E6ED15}">
            <x14:dataBar minLength="0" maxLength="100" border="1" negativeBarBorderColorSameAsPositive="0">
              <x14:cfvo type="autoMin"/>
              <x14:cfvo type="autoMax"/>
              <x14:borderColor rgb="FFFFB628"/>
              <x14:negativeFillColor rgb="FFFF0000"/>
              <x14:negativeBorderColor rgb="FFFF0000"/>
              <x14:axisColor rgb="FF000000"/>
            </x14:dataBar>
          </x14:cfRule>
          <xm:sqref>J546:J547 J353:J371 J373:J377 J344:J351</xm:sqref>
        </x14:conditionalFormatting>
        <x14:conditionalFormatting xmlns:xm="http://schemas.microsoft.com/office/excel/2006/main">
          <x14:cfRule type="containsText" priority="609" operator="containsText" id="{28EA7176-D8C4-4999-BDA6-5AB9F112A08C}">
            <xm:f>NOT(ISERROR(SEARCH(#REF!,U3)))</xm:f>
            <xm:f>#REF!</xm:f>
            <x14:dxf>
              <font>
                <color rgb="FF9C0006"/>
              </font>
              <fill>
                <patternFill>
                  <bgColor rgb="FF92D050"/>
                </patternFill>
              </fill>
            </x14:dxf>
          </x14:cfRule>
          <xm:sqref>U3:U22 U32:U547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A547-46B3-4C04-B019-65DA67F1526F}">
  <sheetPr codeName="Hoja8"/>
  <dimension ref="B1:N163"/>
  <sheetViews>
    <sheetView showGridLines="0" topLeftCell="E52" zoomScale="85" zoomScaleNormal="85" workbookViewId="0">
      <selection activeCell="I79" sqref="I79"/>
    </sheetView>
  </sheetViews>
  <sheetFormatPr baseColWidth="10" defaultColWidth="11.42578125" defaultRowHeight="15" outlineLevelRow="1"/>
  <cols>
    <col min="1" max="1" width="2.140625" customWidth="1"/>
    <col min="2" max="2" width="8" bestFit="1" customWidth="1"/>
    <col min="3" max="4" width="15.28515625" customWidth="1"/>
    <col min="5" max="5" width="66.5703125" customWidth="1"/>
    <col min="6" max="6" width="18.28515625" customWidth="1"/>
    <col min="7" max="7" width="17.5703125" bestFit="1" customWidth="1"/>
    <col min="8" max="8" width="54.28515625" bestFit="1" customWidth="1"/>
    <col min="9" max="9" width="18.28515625" bestFit="1" customWidth="1"/>
    <col min="10" max="10" width="18" bestFit="1" customWidth="1"/>
    <col min="11" max="11" width="15.5703125" bestFit="1" customWidth="1"/>
    <col min="12" max="12" width="44.140625" customWidth="1"/>
    <col min="13" max="13" width="21.140625" customWidth="1"/>
    <col min="14" max="14" width="12.140625" bestFit="1" customWidth="1"/>
  </cols>
  <sheetData>
    <row r="1" spans="2:12" ht="15.75" thickBot="1">
      <c r="H1" s="68" t="s">
        <v>5</v>
      </c>
      <c r="I1" s="68" t="s">
        <v>20</v>
      </c>
    </row>
    <row r="2" spans="2:12" ht="15.75" thickBot="1">
      <c r="B2" s="805" t="s">
        <v>159</v>
      </c>
      <c r="C2" s="806"/>
      <c r="D2" s="806"/>
      <c r="E2" s="806"/>
      <c r="F2" s="807"/>
    </row>
    <row r="3" spans="2:12" ht="15.75" thickBot="1"/>
    <row r="4" spans="2:12" ht="16.5" thickBot="1">
      <c r="B4" s="298" t="s">
        <v>160</v>
      </c>
      <c r="C4" s="299" t="s">
        <v>161</v>
      </c>
      <c r="D4" s="299" t="s">
        <v>162</v>
      </c>
      <c r="E4" s="299" t="s">
        <v>163</v>
      </c>
      <c r="F4" s="300" t="s">
        <v>164</v>
      </c>
      <c r="H4" s="106" t="s">
        <v>165</v>
      </c>
      <c r="I4" s="106" t="s">
        <v>20</v>
      </c>
      <c r="J4" s="107" t="s">
        <v>83</v>
      </c>
      <c r="K4" s="45"/>
    </row>
    <row r="5" spans="2:12" ht="15.75">
      <c r="B5" s="322">
        <v>1</v>
      </c>
      <c r="C5" s="379">
        <v>45992</v>
      </c>
      <c r="D5" s="249">
        <v>45999</v>
      </c>
      <c r="E5" s="250" t="s">
        <v>166</v>
      </c>
      <c r="F5" s="427">
        <f>SUMIFS(DICIEMBRE!$E$115:$E$1613,DICIEMBRE!$F$115:$F$1613,"&gt;="&amp;C5,DICIEMBRE!$F$115:$F$1613,"&lt;="&amp;D5,DICIEMBRE!$G$115:$G$1613,$H$1)</f>
        <v>0</v>
      </c>
      <c r="G5" s="37" t="s">
        <v>167</v>
      </c>
      <c r="H5" s="106"/>
      <c r="I5" s="106"/>
      <c r="J5" s="107"/>
      <c r="K5" s="45"/>
    </row>
    <row r="6" spans="2:12" ht="15.75">
      <c r="B6" s="323">
        <v>2</v>
      </c>
      <c r="C6" s="426">
        <v>46000</v>
      </c>
      <c r="D6" s="324">
        <v>46002</v>
      </c>
      <c r="E6" s="252" t="s">
        <v>166</v>
      </c>
      <c r="F6" s="253">
        <f>SUMIFS(DICIEMBRE!$E$115:$E$1613,DICIEMBRE!$F$115:$F$1613,"&gt;="&amp;C6,DICIEMBRE!$F$115:$F$1613,"&lt;="&amp;D6,DICIEMBRE!$G$115:$G$1613,$H$1)</f>
        <v>0</v>
      </c>
      <c r="G6" s="37" t="s">
        <v>167</v>
      </c>
      <c r="H6" s="336">
        <f>SUMIFS(DICIEMBRE!$E$115:$E$1613,DICIEMBRE!$F$115:$F$1613,"&gt;="&amp;C5,DICIEMBRE!$F$115:$F$1613,"&lt;="&amp;$D$15,DICIEMBRE!$G$115:$G$1613,$H$1)</f>
        <v>0</v>
      </c>
      <c r="I6" s="336">
        <f>SUMIFS(DICIEMBRE!$E$115:$E$1613,DICIEMBRE!$F$115:$F$1613,"&gt;="&amp;C5,DICIEMBRE!$F$115:$F$1613,"&lt;="&amp;$D$15,DICIEMBRE!$G$115:$G$1613,$I$1)</f>
        <v>2821525919.7603402</v>
      </c>
      <c r="J6" s="182">
        <f>SUM(H6:I6)</f>
        <v>2821525919.7603402</v>
      </c>
      <c r="K6" s="45"/>
      <c r="L6" s="45" t="e">
        <f>J6-#REF!</f>
        <v>#REF!</v>
      </c>
    </row>
    <row r="7" spans="2:12" ht="15.75">
      <c r="B7" s="323">
        <v>3</v>
      </c>
      <c r="C7" s="380">
        <v>46003</v>
      </c>
      <c r="D7" s="324">
        <v>46003</v>
      </c>
      <c r="E7" s="252" t="s">
        <v>166</v>
      </c>
      <c r="F7" s="253">
        <f>SUMIFS(DICIEMBRE!$E$115:$E$1613,DICIEMBRE!$F$115:$F$1613,"&gt;="&amp;C7,DICIEMBRE!$F$115:$F$1613,"&lt;="&amp;D7,DICIEMBRE!$G$115:$G$1613,$H$1)</f>
        <v>0</v>
      </c>
      <c r="G7" s="289" t="s">
        <v>168</v>
      </c>
      <c r="H7" s="182"/>
      <c r="I7" s="182"/>
      <c r="J7" s="182"/>
      <c r="K7" s="45"/>
      <c r="L7" s="45"/>
    </row>
    <row r="8" spans="2:12" ht="15.75">
      <c r="B8" s="323">
        <v>4</v>
      </c>
      <c r="C8" s="380">
        <v>46004</v>
      </c>
      <c r="D8" s="324">
        <v>46005</v>
      </c>
      <c r="E8" s="252" t="s">
        <v>166</v>
      </c>
      <c r="F8" s="253">
        <f>SUMIFS(DICIEMBRE!$E$115:$E$1613,DICIEMBRE!$F$115:$F$1613,"&gt;="&amp;C8,DICIEMBRE!$F$115:$F$1613,"&lt;="&amp;D8,DICIEMBRE!$G$115:$G$1613,$H$1)</f>
        <v>0</v>
      </c>
      <c r="G8" s="289"/>
      <c r="H8" s="182"/>
      <c r="I8" s="335" t="s">
        <v>169</v>
      </c>
      <c r="J8" s="334">
        <f>DICIEMBRE!E325</f>
        <v>2887281484.1103406</v>
      </c>
      <c r="K8" s="45"/>
      <c r="L8" s="45"/>
    </row>
    <row r="9" spans="2:12" ht="15.75">
      <c r="B9" s="323">
        <v>5</v>
      </c>
      <c r="C9" s="380">
        <v>46006</v>
      </c>
      <c r="D9" s="324">
        <v>46006</v>
      </c>
      <c r="E9" s="252" t="s">
        <v>166</v>
      </c>
      <c r="F9" s="253">
        <f>SUMIFS(DICIEMBRE!$E$115:$E$1613,DICIEMBRE!$F$115:$F$1613,"&gt;="&amp;C9,DICIEMBRE!$F$115:$F$1613,"&lt;="&amp;D9,DICIEMBRE!$G$115:$G$1613,$H$1)</f>
        <v>0</v>
      </c>
      <c r="G9" s="289" t="s">
        <v>523</v>
      </c>
      <c r="H9" s="182"/>
      <c r="I9" s="335"/>
      <c r="J9" s="334"/>
      <c r="K9" s="45"/>
      <c r="L9" s="45"/>
    </row>
    <row r="10" spans="2:12" ht="15.75">
      <c r="B10" s="323"/>
      <c r="C10" s="380">
        <v>46007</v>
      </c>
      <c r="D10" s="380">
        <v>46007</v>
      </c>
      <c r="E10" s="252" t="s">
        <v>166</v>
      </c>
      <c r="F10" s="253">
        <f>SUMIFS(DICIEMBRE!$E$115:$E$1613,DICIEMBRE!$F$115:$F$1613,"&gt;="&amp;C10,DICIEMBRE!$F$115:$F$1613,"&lt;="&amp;D10,DICIEMBRE!$G$115:$G$1613,$H$1)</f>
        <v>0</v>
      </c>
      <c r="G10" s="289" t="s">
        <v>524</v>
      </c>
      <c r="H10" s="182"/>
      <c r="I10" s="335"/>
      <c r="J10" s="334"/>
      <c r="K10" s="45"/>
      <c r="L10" s="45"/>
    </row>
    <row r="11" spans="2:12" ht="15.75">
      <c r="B11" s="323">
        <v>6</v>
      </c>
      <c r="C11" s="380">
        <v>46008</v>
      </c>
      <c r="D11" s="380">
        <v>46012</v>
      </c>
      <c r="E11" s="252" t="s">
        <v>166</v>
      </c>
      <c r="F11" s="253">
        <f>SUMIFS(DICIEMBRE!$E$115:$E$1613,DICIEMBRE!$F$115:$F$1613,"&gt;="&amp;C11,DICIEMBRE!$F$115:$F$1613,"&lt;="&amp;D11,DICIEMBRE!$G$115:$G$1613,$H$1)</f>
        <v>0</v>
      </c>
      <c r="G11" s="289"/>
      <c r="H11" s="182"/>
      <c r="I11" s="182"/>
      <c r="J11" s="182"/>
      <c r="K11" s="45"/>
      <c r="L11" s="45"/>
    </row>
    <row r="12" spans="2:12" ht="15.75">
      <c r="B12" s="323">
        <v>7</v>
      </c>
      <c r="C12" s="380">
        <v>46013</v>
      </c>
      <c r="D12" s="324">
        <v>46016</v>
      </c>
      <c r="E12" s="252" t="s">
        <v>166</v>
      </c>
      <c r="F12" s="253">
        <f>SUMIFS(DICIEMBRE!$E$115:$E$1613,DICIEMBRE!$F$115:$F$1613,"&gt;="&amp;C12,DICIEMBRE!$F$115:$F$1613,"&lt;="&amp;D12,DICIEMBRE!$G$115:$G$1613,$H$1)</f>
        <v>0</v>
      </c>
      <c r="G12" s="37" t="s">
        <v>167</v>
      </c>
      <c r="H12" s="182"/>
      <c r="I12" s="335"/>
      <c r="J12" s="334"/>
      <c r="K12" s="45"/>
      <c r="L12" s="45"/>
    </row>
    <row r="13" spans="2:12" ht="15.75">
      <c r="B13" s="323">
        <v>8</v>
      </c>
      <c r="C13" s="380">
        <v>46017</v>
      </c>
      <c r="D13" s="324">
        <v>46017</v>
      </c>
      <c r="E13" s="252" t="s">
        <v>166</v>
      </c>
      <c r="F13" s="253">
        <f>SUMIFS(DICIEMBRE!$E$115:$E$1613,DICIEMBRE!$F$115:$F$1613,"&gt;="&amp;C13,DICIEMBRE!$F$115:$F$1613,"&lt;="&amp;D13,DICIEMBRE!$G$115:$G$1613,$H$1)</f>
        <v>0</v>
      </c>
      <c r="G13" s="289" t="s">
        <v>525</v>
      </c>
      <c r="H13" s="182"/>
      <c r="I13" s="335"/>
      <c r="J13" s="334"/>
      <c r="K13" s="45"/>
      <c r="L13" s="45"/>
    </row>
    <row r="14" spans="2:12" ht="15.75">
      <c r="B14" s="323">
        <v>9</v>
      </c>
      <c r="C14" s="380">
        <v>46018</v>
      </c>
      <c r="D14" s="324">
        <v>46019</v>
      </c>
      <c r="E14" s="252" t="s">
        <v>166</v>
      </c>
      <c r="F14" s="253">
        <f>SUMIFS(DICIEMBRE!$E$115:$E$1613,DICIEMBRE!$F$115:$F$1613,"&gt;="&amp;C14,DICIEMBRE!$F$115:$F$1613,"&lt;="&amp;D14,DICIEMBRE!$G$115:$G$1613,$H$1)</f>
        <v>0</v>
      </c>
      <c r="G14" s="289"/>
      <c r="H14" s="182"/>
      <c r="I14" s="182"/>
      <c r="J14" s="182"/>
      <c r="K14" s="45"/>
      <c r="L14" s="45"/>
    </row>
    <row r="15" spans="2:12" ht="16.5" thickBot="1">
      <c r="B15" s="428">
        <v>10</v>
      </c>
      <c r="C15" s="429">
        <v>46020</v>
      </c>
      <c r="D15" s="429">
        <v>46022</v>
      </c>
      <c r="E15" s="255" t="s">
        <v>166</v>
      </c>
      <c r="F15" s="256">
        <f>SUMIFS(DICIEMBRE!$E$115:$E$1613,DICIEMBRE!$F$115:$F$1613,"&gt;="&amp;C15,DICIEMBRE!$F$115:$F$1613,"&lt;="&amp;D15,DICIEMBRE!$G$115:$G$1613,$H$1)</f>
        <v>0</v>
      </c>
      <c r="G15" s="37" t="s">
        <v>167</v>
      </c>
    </row>
    <row r="16" spans="2:12" ht="16.5" thickBot="1">
      <c r="B16" s="808" t="s">
        <v>170</v>
      </c>
      <c r="C16" s="809"/>
      <c r="D16" s="809"/>
      <c r="E16" s="809"/>
      <c r="F16" s="381">
        <f>SUM(F5:F15)</f>
        <v>0</v>
      </c>
      <c r="G16" s="37"/>
      <c r="H16" s="38"/>
      <c r="I16" s="45"/>
    </row>
    <row r="17" spans="2:9" ht="15.75">
      <c r="B17" s="37"/>
      <c r="C17" s="37"/>
      <c r="D17" s="37"/>
      <c r="E17" s="37"/>
      <c r="F17" s="39"/>
      <c r="G17" s="37"/>
      <c r="H17" s="66"/>
      <c r="I17" s="67"/>
    </row>
    <row r="18" spans="2:9" ht="15.75">
      <c r="B18" s="37"/>
      <c r="C18" s="37"/>
      <c r="D18" s="37"/>
      <c r="E18" s="810" t="s">
        <v>171</v>
      </c>
      <c r="F18" s="810"/>
      <c r="G18" s="37"/>
      <c r="I18" s="67"/>
    </row>
    <row r="19" spans="2:9" ht="15.75" outlineLevel="1">
      <c r="B19" s="37"/>
      <c r="C19" s="47"/>
      <c r="D19" s="47"/>
      <c r="E19" s="430" t="s">
        <v>526</v>
      </c>
      <c r="F19" s="45">
        <f>SUM($F$5:$F$11)</f>
        <v>0</v>
      </c>
      <c r="G19" s="45"/>
      <c r="H19" s="38"/>
    </row>
    <row r="20" spans="2:9" ht="16.5" outlineLevel="1" thickBot="1">
      <c r="B20" s="37"/>
      <c r="C20" s="47"/>
      <c r="D20" s="47"/>
      <c r="E20" s="382" t="s">
        <v>172</v>
      </c>
      <c r="F20" s="317">
        <f>($F$19*4)/1000</f>
        <v>0</v>
      </c>
      <c r="G20" s="45"/>
      <c r="H20" s="45"/>
    </row>
    <row r="21" spans="2:9" ht="16.5" outlineLevel="1" thickTop="1">
      <c r="B21" s="37"/>
      <c r="C21" s="383"/>
      <c r="D21" s="7"/>
      <c r="E21" s="43" t="s">
        <v>83</v>
      </c>
      <c r="F21" s="44">
        <f>SUM(F19:F20)</f>
        <v>0</v>
      </c>
      <c r="G21" s="44"/>
      <c r="H21" s="44"/>
    </row>
    <row r="22" spans="2:9" ht="21" customHeight="1" outlineLevel="1">
      <c r="B22" s="37"/>
      <c r="C22" s="37"/>
      <c r="D22" s="37"/>
      <c r="E22" s="149"/>
      <c r="F22" s="149"/>
      <c r="G22" s="138"/>
      <c r="H22" s="37"/>
    </row>
    <row r="23" spans="2:9" ht="18.75" customHeight="1" outlineLevel="1">
      <c r="B23" s="37"/>
      <c r="C23" s="51"/>
      <c r="D23" s="826"/>
      <c r="E23" s="382" t="s">
        <v>173</v>
      </c>
      <c r="F23" s="45">
        <f>DICIEMBRE!$E$343</f>
        <v>1057444106.8099999</v>
      </c>
      <c r="G23" s="45"/>
      <c r="H23" s="59"/>
      <c r="I23" s="59"/>
    </row>
    <row r="24" spans="2:9" ht="18.75" customHeight="1" outlineLevel="1">
      <c r="B24" s="37"/>
      <c r="C24" s="51"/>
      <c r="D24" s="826"/>
      <c r="E24" s="382" t="s">
        <v>174</v>
      </c>
      <c r="F24" s="57">
        <v>13000000</v>
      </c>
      <c r="G24" s="45"/>
      <c r="H24" s="59"/>
      <c r="I24" s="59"/>
    </row>
    <row r="25" spans="2:9" ht="15" customHeight="1" outlineLevel="1">
      <c r="B25" s="37"/>
      <c r="C25" s="51"/>
      <c r="D25" s="826"/>
      <c r="E25" s="382" t="s">
        <v>175</v>
      </c>
      <c r="F25" s="57" t="e">
        <f>'MONETIZACIONES PEND'!#REF!*3700</f>
        <v>#REF!</v>
      </c>
      <c r="G25" s="45"/>
      <c r="H25" s="59"/>
      <c r="I25" s="59"/>
    </row>
    <row r="26" spans="2:9" ht="15" customHeight="1" outlineLevel="1">
      <c r="D26" s="826"/>
      <c r="E26" s="436" t="s">
        <v>553</v>
      </c>
      <c r="F26" s="57" t="e">
        <f>('MONETIZACIONES PEND'!#REF!)*3700</f>
        <v>#REF!</v>
      </c>
      <c r="H26" s="183"/>
    </row>
    <row r="27" spans="2:9" ht="15" customHeight="1" outlineLevel="1">
      <c r="D27" s="826"/>
      <c r="E27" s="436" t="s">
        <v>554</v>
      </c>
      <c r="F27" s="57" t="e">
        <f>('MONETIZACIONES PEND'!#REF!)*3700</f>
        <v>#REF!</v>
      </c>
      <c r="H27" s="183"/>
    </row>
    <row r="28" spans="2:9" ht="15" customHeight="1" outlineLevel="1">
      <c r="D28" s="826"/>
      <c r="E28" s="430" t="s">
        <v>264</v>
      </c>
      <c r="F28" s="57" t="e">
        <f>'MONETIZACIONES PEND'!#REF!*3700</f>
        <v>#REF!</v>
      </c>
      <c r="H28" s="183"/>
    </row>
    <row r="29" spans="2:9" ht="15" customHeight="1" outlineLevel="1">
      <c r="D29" s="826"/>
      <c r="E29" s="430" t="s">
        <v>277</v>
      </c>
      <c r="F29" s="57" t="e">
        <f>'MONETIZACIONES PEND'!#REF!*3700</f>
        <v>#REF!</v>
      </c>
      <c r="H29" s="183"/>
    </row>
    <row r="30" spans="2:9" ht="15" customHeight="1" outlineLevel="1">
      <c r="B30" s="37"/>
      <c r="C30" s="51"/>
      <c r="D30" s="826"/>
      <c r="E30" s="430" t="s">
        <v>527</v>
      </c>
      <c r="F30" s="45">
        <v>359994</v>
      </c>
      <c r="G30" s="45"/>
      <c r="H30" s="59"/>
      <c r="I30" s="59"/>
    </row>
    <row r="31" spans="2:9" ht="15" customHeight="1" outlineLevel="1">
      <c r="B31" s="37"/>
      <c r="C31" s="51"/>
      <c r="D31" s="826"/>
      <c r="E31" s="430" t="s">
        <v>528</v>
      </c>
      <c r="F31" s="45">
        <v>19334755</v>
      </c>
      <c r="G31" s="45"/>
      <c r="H31" s="59"/>
      <c r="I31" s="59"/>
    </row>
    <row r="32" spans="2:9" ht="15" customHeight="1" outlineLevel="1">
      <c r="B32" s="37"/>
      <c r="C32" s="51"/>
      <c r="D32" s="826"/>
      <c r="E32" s="382" t="s">
        <v>176</v>
      </c>
      <c r="F32" s="57">
        <f>DICIEMBRE!$E$14+DICIEMBRE!$E$15+DICIEMBRE!$E$26+DICIEMBRE!$E$24+DICIEMBRE!$E$29+DICIEMBRE!$E$30+DICIEMBRE!$E$47+DICIEMBRE!$E$57</f>
        <v>72533124.489999995</v>
      </c>
      <c r="G32" s="45"/>
      <c r="H32" s="59"/>
      <c r="I32" s="59"/>
    </row>
    <row r="33" spans="2:9" ht="15" customHeight="1" outlineLevel="1">
      <c r="B33" s="37"/>
      <c r="C33" s="51"/>
      <c r="D33" s="826"/>
      <c r="E33" s="436" t="s">
        <v>556</v>
      </c>
      <c r="F33" s="57">
        <f>SUM(DICIEMBRE!$E$51:$E$53)</f>
        <v>0</v>
      </c>
      <c r="G33" s="45"/>
      <c r="H33" s="59"/>
      <c r="I33" s="59"/>
    </row>
    <row r="34" spans="2:9" ht="15" customHeight="1" outlineLevel="1">
      <c r="B34" s="37"/>
      <c r="C34" s="51"/>
      <c r="D34" s="826"/>
      <c r="E34" s="436" t="s">
        <v>557</v>
      </c>
      <c r="F34" s="57">
        <f>DICIEMBRE!$E$85</f>
        <v>144494834.04000002</v>
      </c>
      <c r="G34" s="45"/>
      <c r="H34" s="59"/>
      <c r="I34" s="59"/>
    </row>
    <row r="35" spans="2:9" ht="15" customHeight="1" outlineLevel="1">
      <c r="D35" s="826"/>
      <c r="E35" s="382" t="s">
        <v>178</v>
      </c>
      <c r="F35" s="57">
        <v>0</v>
      </c>
      <c r="G35" s="44"/>
      <c r="H35" s="244"/>
    </row>
    <row r="36" spans="2:9" ht="15.75" outlineLevel="1">
      <c r="D36" s="826"/>
      <c r="E36" s="43" t="s">
        <v>83</v>
      </c>
      <c r="F36" s="44" t="e">
        <f>SUM(F23:F35)</f>
        <v>#REF!</v>
      </c>
    </row>
    <row r="37" spans="2:9" outlineLevel="1">
      <c r="E37" s="318" t="s">
        <v>92</v>
      </c>
      <c r="F37" s="319" t="e">
        <f>F36-$F$21</f>
        <v>#REF!</v>
      </c>
      <c r="G37" s="63"/>
    </row>
    <row r="38" spans="2:9" ht="4.5" customHeight="1">
      <c r="E38" s="62"/>
      <c r="F38" s="63"/>
    </row>
    <row r="39" spans="2:9" ht="15.75">
      <c r="E39" s="827" t="s">
        <v>179</v>
      </c>
      <c r="F39" s="827"/>
      <c r="G39" s="37"/>
    </row>
    <row r="40" spans="2:9" outlineLevel="1">
      <c r="E40" s="382"/>
      <c r="F40" s="45"/>
      <c r="G40" s="45"/>
    </row>
    <row r="41" spans="2:9" outlineLevel="1">
      <c r="E41" s="430" t="s">
        <v>526</v>
      </c>
      <c r="F41" s="45">
        <f>SUM($F$5:$F$11)-DICIEMBRE!$E$267</f>
        <v>-144223182</v>
      </c>
      <c r="G41" s="45"/>
    </row>
    <row r="42" spans="2:9" ht="15.75" outlineLevel="1" thickBot="1">
      <c r="E42" s="382" t="s">
        <v>172</v>
      </c>
      <c r="F42" s="317">
        <f>($F$19*4)/1000</f>
        <v>0</v>
      </c>
      <c r="G42" s="45"/>
    </row>
    <row r="43" spans="2:9" ht="16.5" outlineLevel="1" thickTop="1">
      <c r="E43" s="43" t="s">
        <v>83</v>
      </c>
      <c r="F43" s="44">
        <f>SUM(F41:F42)</f>
        <v>-144223182</v>
      </c>
      <c r="G43" s="45"/>
    </row>
    <row r="44" spans="2:9" ht="15.75" outlineLevel="1">
      <c r="E44" s="149"/>
      <c r="F44" s="149"/>
      <c r="G44" s="45"/>
    </row>
    <row r="45" spans="2:9" outlineLevel="1">
      <c r="E45" s="382" t="s">
        <v>173</v>
      </c>
      <c r="F45" s="45">
        <f>DICIEMBRE!$E$343</f>
        <v>1057444106.8099999</v>
      </c>
      <c r="G45" s="45"/>
    </row>
    <row r="46" spans="2:9" outlineLevel="1">
      <c r="E46" s="382" t="s">
        <v>174</v>
      </c>
      <c r="F46" s="57">
        <v>13000000</v>
      </c>
      <c r="G46" s="45"/>
    </row>
    <row r="47" spans="2:9" outlineLevel="1">
      <c r="E47" s="382" t="s">
        <v>175</v>
      </c>
      <c r="F47" s="57" t="e">
        <f>'MONETIZACIONES PEND'!#REF!*3700</f>
        <v>#REF!</v>
      </c>
      <c r="G47" s="45"/>
    </row>
    <row r="48" spans="2:9" outlineLevel="1">
      <c r="E48" s="436" t="s">
        <v>553</v>
      </c>
      <c r="F48" s="57" t="e">
        <f>('MONETIZACIONES PEND'!#REF!)*3700</f>
        <v>#REF!</v>
      </c>
      <c r="G48" s="45"/>
    </row>
    <row r="49" spans="5:7" outlineLevel="1">
      <c r="E49" s="436" t="s">
        <v>554</v>
      </c>
      <c r="F49" s="57" t="e">
        <f>('MONETIZACIONES PEND'!#REF!)*3700</f>
        <v>#REF!</v>
      </c>
      <c r="G49" s="45"/>
    </row>
    <row r="50" spans="5:7" outlineLevel="1">
      <c r="E50" s="430" t="s">
        <v>264</v>
      </c>
      <c r="F50" s="57" t="e">
        <f>'MONETIZACIONES PEND'!#REF!*3700</f>
        <v>#REF!</v>
      </c>
      <c r="G50" s="45"/>
    </row>
    <row r="51" spans="5:7" outlineLevel="1">
      <c r="E51" s="430" t="s">
        <v>277</v>
      </c>
      <c r="F51" s="57" t="e">
        <f>'MONETIZACIONES PEND'!#REF!*3700</f>
        <v>#REF!</v>
      </c>
      <c r="G51" s="45"/>
    </row>
    <row r="52" spans="5:7" outlineLevel="1">
      <c r="E52" s="430" t="s">
        <v>527</v>
      </c>
      <c r="F52" s="45">
        <v>359994</v>
      </c>
      <c r="G52" s="45"/>
    </row>
    <row r="53" spans="5:7" ht="30" outlineLevel="1">
      <c r="E53" s="430" t="s">
        <v>528</v>
      </c>
      <c r="F53" s="45">
        <v>19334755</v>
      </c>
      <c r="G53" s="45"/>
    </row>
    <row r="54" spans="5:7" outlineLevel="1">
      <c r="E54" s="382" t="s">
        <v>176</v>
      </c>
      <c r="F54" s="57">
        <f>DICIEMBRE!$E$14+DICIEMBRE!$E$15+DICIEMBRE!$E$26+DICIEMBRE!$E$24+DICIEMBRE!$E$29+DICIEMBRE!$E$30+DICIEMBRE!$E$47+DICIEMBRE!$E$57</f>
        <v>72533124.489999995</v>
      </c>
      <c r="G54" s="45"/>
    </row>
    <row r="55" spans="5:7" outlineLevel="1">
      <c r="E55" s="436" t="s">
        <v>556</v>
      </c>
      <c r="F55" s="57">
        <f>SUM(DICIEMBRE!$E$51:$E$53)*0</f>
        <v>0</v>
      </c>
      <c r="G55" s="45"/>
    </row>
    <row r="56" spans="5:7" ht="15.75">
      <c r="E56" s="436" t="s">
        <v>557</v>
      </c>
      <c r="F56" s="57">
        <f>DICIEMBRE!$E$85*0</f>
        <v>0</v>
      </c>
      <c r="G56" s="37"/>
    </row>
    <row r="57" spans="5:7" outlineLevel="1">
      <c r="E57" s="382" t="s">
        <v>178</v>
      </c>
      <c r="F57" s="57">
        <v>0</v>
      </c>
      <c r="G57" s="183"/>
    </row>
    <row r="58" spans="5:7" ht="15.75" outlineLevel="1">
      <c r="E58" s="43" t="s">
        <v>83</v>
      </c>
      <c r="F58" s="44" t="e">
        <f>SUM(F45:F57)</f>
        <v>#REF!</v>
      </c>
      <c r="G58" s="183"/>
    </row>
    <row r="59" spans="5:7" outlineLevel="1">
      <c r="E59" s="318" t="s">
        <v>92</v>
      </c>
      <c r="F59" s="319" t="e">
        <f>F58-$F$43</f>
        <v>#REF!</v>
      </c>
      <c r="G59" s="183"/>
    </row>
    <row r="60" spans="5:7" outlineLevel="1">
      <c r="E60" s="318"/>
      <c r="F60" s="319"/>
      <c r="G60" s="183"/>
    </row>
    <row r="61" spans="5:7" outlineLevel="1">
      <c r="E61" s="382"/>
      <c r="F61" s="45"/>
      <c r="G61" s="183"/>
    </row>
    <row r="62" spans="5:7" ht="4.5" customHeight="1">
      <c r="E62" s="42"/>
    </row>
    <row r="63" spans="5:7" ht="4.5" customHeight="1">
      <c r="E63" s="42"/>
    </row>
    <row r="64" spans="5:7" ht="4.5" customHeight="1">
      <c r="E64" s="42"/>
    </row>
    <row r="65" spans="4:14" ht="4.5" customHeight="1">
      <c r="E65" s="42"/>
    </row>
    <row r="66" spans="4:14" ht="4.5" customHeight="1">
      <c r="E66" s="42"/>
      <c r="K66" s="42"/>
    </row>
    <row r="67" spans="4:14" ht="15.75">
      <c r="E67" s="803" t="s">
        <v>180</v>
      </c>
      <c r="F67" s="804"/>
      <c r="H67" s="803" t="s">
        <v>181</v>
      </c>
      <c r="I67" s="804"/>
      <c r="L67" s="803" t="s">
        <v>182</v>
      </c>
      <c r="M67" s="804"/>
    </row>
    <row r="68" spans="4:14" ht="7.5" customHeight="1">
      <c r="E68" s="227"/>
      <c r="F68" s="228"/>
      <c r="H68" s="227"/>
      <c r="I68" s="228"/>
      <c r="L68" s="227"/>
      <c r="M68" s="228"/>
    </row>
    <row r="69" spans="4:14" ht="15.75">
      <c r="E69" s="20" t="s">
        <v>183</v>
      </c>
      <c r="F69" s="19" t="e">
        <f>SUBTOTAL(9,F70:F77)</f>
        <v>#REF!</v>
      </c>
      <c r="H69" s="20" t="s">
        <v>183</v>
      </c>
      <c r="I69" s="19" t="e">
        <f>SUBTOTAL(9,I70:I76)</f>
        <v>#REF!</v>
      </c>
      <c r="L69" s="20" t="s">
        <v>183</v>
      </c>
      <c r="M69" s="19" t="e">
        <f>SUBTOTAL(9,M70:M76)</f>
        <v>#REF!</v>
      </c>
    </row>
    <row r="70" spans="4:14" outlineLevel="1">
      <c r="E70" s="42" t="s">
        <v>184</v>
      </c>
      <c r="F70" s="245" t="e">
        <f>#REF!</f>
        <v>#REF!</v>
      </c>
      <c r="H70" s="42" t="s">
        <v>184</v>
      </c>
      <c r="I70" s="337" t="e">
        <f>DICIEMBRE!E327</f>
        <v>#REF!</v>
      </c>
      <c r="L70" s="42" t="s">
        <v>184</v>
      </c>
      <c r="M70" s="337" t="e">
        <f>$I$141</f>
        <v>#REF!</v>
      </c>
    </row>
    <row r="71" spans="4:14" outlineLevel="1">
      <c r="D71" s="295"/>
      <c r="E71" s="382" t="s">
        <v>185</v>
      </c>
      <c r="F71" s="8" t="e">
        <f>#REF!*1.7</f>
        <v>#REF!</v>
      </c>
      <c r="H71" s="382" t="s">
        <v>186</v>
      </c>
      <c r="I71" s="57">
        <v>65083860.298199996</v>
      </c>
      <c r="J71" s="279">
        <v>1</v>
      </c>
      <c r="L71" s="382" t="s">
        <v>187</v>
      </c>
      <c r="M71" s="57">
        <v>67000000</v>
      </c>
      <c r="N71" s="279">
        <v>1</v>
      </c>
    </row>
    <row r="72" spans="4:14" outlineLevel="1">
      <c r="D72" s="295"/>
      <c r="E72" s="382" t="s">
        <v>188</v>
      </c>
      <c r="F72" s="57">
        <v>63738690.826499991</v>
      </c>
      <c r="G72" s="343" t="e">
        <f>F70+F72+F73+F74+F75+F76</f>
        <v>#REF!</v>
      </c>
      <c r="H72" s="65" t="s">
        <v>189</v>
      </c>
      <c r="I72" s="64">
        <v>13628765.357024999</v>
      </c>
      <c r="J72" s="279"/>
      <c r="L72" s="65" t="s">
        <v>189</v>
      </c>
      <c r="M72" s="64">
        <v>13628765.357024999</v>
      </c>
      <c r="N72" s="279"/>
    </row>
    <row r="73" spans="4:14" outlineLevel="1">
      <c r="E73" s="65" t="s">
        <v>189</v>
      </c>
      <c r="F73" s="64">
        <v>14000000</v>
      </c>
      <c r="H73" s="65" t="s">
        <v>190</v>
      </c>
      <c r="I73" s="57">
        <v>45000000</v>
      </c>
      <c r="L73" s="65" t="s">
        <v>190</v>
      </c>
      <c r="M73" s="57">
        <v>52000000</v>
      </c>
    </row>
    <row r="74" spans="4:14" outlineLevel="1">
      <c r="E74" s="65" t="s">
        <v>190</v>
      </c>
      <c r="F74" s="57">
        <v>50000000</v>
      </c>
      <c r="H74" s="65" t="s">
        <v>191</v>
      </c>
      <c r="I74" s="57">
        <v>19000000</v>
      </c>
      <c r="L74" s="65" t="s">
        <v>191</v>
      </c>
      <c r="M74" s="57">
        <v>20000000</v>
      </c>
    </row>
    <row r="75" spans="4:14" outlineLevel="1">
      <c r="D75" s="295"/>
      <c r="E75" s="65" t="s">
        <v>191</v>
      </c>
      <c r="F75" s="57">
        <v>19000000</v>
      </c>
      <c r="H75" s="65" t="s">
        <v>177</v>
      </c>
      <c r="I75" s="57">
        <v>2670000</v>
      </c>
      <c r="J75" s="279"/>
      <c r="L75" s="65" t="s">
        <v>177</v>
      </c>
      <c r="M75" s="57">
        <v>2670000</v>
      </c>
      <c r="N75" s="279"/>
    </row>
    <row r="76" spans="4:14" ht="15" customHeight="1" outlineLevel="1" thickBot="1">
      <c r="E76" s="65" t="s">
        <v>177</v>
      </c>
      <c r="F76" s="57">
        <v>2670000</v>
      </c>
      <c r="H76" s="65" t="s">
        <v>192</v>
      </c>
      <c r="I76" s="45">
        <v>0</v>
      </c>
      <c r="L76" s="65" t="s">
        <v>192</v>
      </c>
      <c r="M76" s="45">
        <v>0</v>
      </c>
    </row>
    <row r="77" spans="4:14" ht="15" customHeight="1" thickBot="1">
      <c r="E77" s="65" t="s">
        <v>192</v>
      </c>
      <c r="F77" s="45">
        <v>0</v>
      </c>
      <c r="H77" s="6" t="s">
        <v>193</v>
      </c>
      <c r="I77" s="384">
        <f>SUM(I78:I111)</f>
        <v>1088089546.6140001</v>
      </c>
      <c r="L77" s="6" t="s">
        <v>194</v>
      </c>
      <c r="M77" s="384">
        <f>SUM(M78:M108)</f>
        <v>1225723258.0940001</v>
      </c>
    </row>
    <row r="78" spans="4:14" ht="15.75" outlineLevel="1">
      <c r="E78" s="6" t="s">
        <v>195</v>
      </c>
      <c r="F78" s="384">
        <f>SUM(F79:F111)</f>
        <v>1392769050.008472</v>
      </c>
      <c r="H78" s="347" t="s">
        <v>196</v>
      </c>
      <c r="I78" s="8">
        <v>3701569</v>
      </c>
      <c r="L78" s="347" t="s">
        <v>196</v>
      </c>
      <c r="M78" s="8">
        <v>3701569</v>
      </c>
    </row>
    <row r="79" spans="4:14" outlineLevel="1">
      <c r="E79" s="347" t="s">
        <v>196</v>
      </c>
      <c r="F79" s="8">
        <v>3701569</v>
      </c>
      <c r="H79" s="347" t="s">
        <v>19</v>
      </c>
      <c r="I79" s="350">
        <f>9500000</f>
        <v>9500000</v>
      </c>
      <c r="L79" s="347" t="s">
        <v>19</v>
      </c>
      <c r="M79" s="350">
        <f>9500000</f>
        <v>9500000</v>
      </c>
    </row>
    <row r="80" spans="4:14" outlineLevel="1">
      <c r="E80" s="347" t="s">
        <v>19</v>
      </c>
      <c r="F80" s="350">
        <f>9500000</f>
        <v>9500000</v>
      </c>
      <c r="H80" s="347" t="s">
        <v>197</v>
      </c>
      <c r="I80" s="350">
        <f>20000000</f>
        <v>20000000</v>
      </c>
      <c r="L80" s="347" t="s">
        <v>198</v>
      </c>
      <c r="M80" s="350">
        <f>336000000*1.05</f>
        <v>352800000</v>
      </c>
    </row>
    <row r="81" spans="5:14" outlineLevel="1">
      <c r="E81" s="347" t="s">
        <v>199</v>
      </c>
      <c r="F81" s="350">
        <v>525000</v>
      </c>
      <c r="G81" s="45">
        <f>SUM(F79:F88,F92:F109)</f>
        <v>804290951.61800003</v>
      </c>
      <c r="H81" s="347" t="s">
        <v>199</v>
      </c>
      <c r="I81" s="350">
        <v>525000</v>
      </c>
      <c r="L81" s="347" t="s">
        <v>200</v>
      </c>
      <c r="M81" s="350">
        <f>99000000*1.07</f>
        <v>105930000</v>
      </c>
    </row>
    <row r="82" spans="5:14" outlineLevel="1">
      <c r="E82" s="9" t="s">
        <v>22</v>
      </c>
      <c r="F82" s="8">
        <v>535600000</v>
      </c>
      <c r="H82" s="9" t="s">
        <v>22</v>
      </c>
      <c r="I82" s="8">
        <v>540750000</v>
      </c>
      <c r="L82" s="347" t="s">
        <v>199</v>
      </c>
      <c r="M82" s="350">
        <v>525000</v>
      </c>
    </row>
    <row r="83" spans="5:14" outlineLevel="1">
      <c r="E83" s="9" t="s">
        <v>28</v>
      </c>
      <c r="F83" s="8">
        <v>183855000</v>
      </c>
      <c r="H83" s="9" t="s">
        <v>28</v>
      </c>
      <c r="I83" s="8">
        <v>150000000</v>
      </c>
      <c r="L83" s="9" t="s">
        <v>22</v>
      </c>
      <c r="M83" s="8">
        <v>550000000</v>
      </c>
    </row>
    <row r="84" spans="5:14" outlineLevel="1">
      <c r="E84" s="9" t="s">
        <v>29</v>
      </c>
      <c r="F84" s="8">
        <v>227114.11800000002</v>
      </c>
      <c r="G84" s="45" t="e">
        <f>F70-G81</f>
        <v>#REF!</v>
      </c>
      <c r="H84" s="9" t="s">
        <v>29</v>
      </c>
      <c r="I84" s="8">
        <v>218000</v>
      </c>
      <c r="L84" s="9" t="s">
        <v>28</v>
      </c>
      <c r="M84" s="8">
        <v>145000000</v>
      </c>
    </row>
    <row r="85" spans="5:14" outlineLevel="1">
      <c r="E85" s="9" t="s">
        <v>201</v>
      </c>
      <c r="F85" s="8">
        <v>350601</v>
      </c>
      <c r="H85" s="9" t="s">
        <v>27</v>
      </c>
      <c r="I85" s="8">
        <f>77531000*1.08</f>
        <v>83733480</v>
      </c>
      <c r="L85" s="9" t="s">
        <v>29</v>
      </c>
      <c r="M85" s="8">
        <v>225000</v>
      </c>
    </row>
    <row r="86" spans="5:14" outlineLevel="1">
      <c r="E86" s="9" t="s">
        <v>43</v>
      </c>
      <c r="F86" s="8">
        <v>7293422</v>
      </c>
      <c r="G86" s="342" t="e">
        <f>G72-F78</f>
        <v>#REF!</v>
      </c>
      <c r="H86" s="9" t="s">
        <v>28</v>
      </c>
      <c r="I86" s="8">
        <v>220626000</v>
      </c>
      <c r="L86" s="9" t="s">
        <v>201</v>
      </c>
      <c r="M86" s="8">
        <v>350601</v>
      </c>
    </row>
    <row r="87" spans="5:14" outlineLevel="1">
      <c r="E87" s="9" t="s">
        <v>42</v>
      </c>
      <c r="F87" s="8">
        <v>697487</v>
      </c>
      <c r="H87" s="9" t="s">
        <v>29</v>
      </c>
      <c r="I87" s="8">
        <v>686400</v>
      </c>
      <c r="J87" s="42"/>
      <c r="L87" s="9" t="s">
        <v>43</v>
      </c>
      <c r="M87" s="8">
        <v>7293422</v>
      </c>
      <c r="N87" s="42"/>
    </row>
    <row r="88" spans="5:14" outlineLevel="1">
      <c r="E88" s="9" t="s">
        <v>202</v>
      </c>
      <c r="F88" s="8">
        <v>700000</v>
      </c>
      <c r="H88" s="9" t="s">
        <v>30</v>
      </c>
      <c r="I88" s="8">
        <v>855750</v>
      </c>
      <c r="L88" s="9" t="s">
        <v>42</v>
      </c>
      <c r="M88" s="8">
        <v>437488</v>
      </c>
    </row>
    <row r="89" spans="5:14" outlineLevel="1">
      <c r="E89" s="9" t="s">
        <v>50</v>
      </c>
      <c r="F89" s="8">
        <v>1693965</v>
      </c>
      <c r="H89" s="9" t="s">
        <v>201</v>
      </c>
      <c r="I89" s="8">
        <v>350601</v>
      </c>
      <c r="L89" s="9" t="s">
        <v>202</v>
      </c>
      <c r="M89" s="8">
        <v>500000</v>
      </c>
    </row>
    <row r="90" spans="5:14" outlineLevel="1">
      <c r="E90" s="9" t="s">
        <v>203</v>
      </c>
      <c r="F90" s="344">
        <v>500000000</v>
      </c>
      <c r="G90" s="344">
        <v>150000000</v>
      </c>
      <c r="H90" s="9" t="s">
        <v>43</v>
      </c>
      <c r="I90" s="8">
        <v>7293422</v>
      </c>
      <c r="L90" s="9" t="s">
        <v>32</v>
      </c>
      <c r="M90" s="8">
        <v>313593.5</v>
      </c>
    </row>
    <row r="91" spans="5:14" outlineLevel="1">
      <c r="E91" s="9" t="s">
        <v>204</v>
      </c>
      <c r="F91" s="8">
        <f>F127*35%</f>
        <v>61249999.999999993</v>
      </c>
      <c r="G91" s="345">
        <f>F90-G90</f>
        <v>350000000</v>
      </c>
      <c r="H91" s="9" t="s">
        <v>42</v>
      </c>
      <c r="I91" s="8">
        <v>437488</v>
      </c>
      <c r="L91" s="9" t="s">
        <v>205</v>
      </c>
      <c r="M91" s="8">
        <v>5000000</v>
      </c>
    </row>
    <row r="92" spans="5:14" ht="30" outlineLevel="1">
      <c r="E92" s="9" t="s">
        <v>32</v>
      </c>
      <c r="F92" s="8">
        <v>313593.5</v>
      </c>
      <c r="H92" s="9" t="s">
        <v>202</v>
      </c>
      <c r="I92" s="8">
        <v>500000</v>
      </c>
      <c r="L92" s="9" t="s">
        <v>206</v>
      </c>
      <c r="M92" s="8">
        <v>15000000</v>
      </c>
    </row>
    <row r="93" spans="5:14" outlineLevel="1">
      <c r="E93" s="9" t="s">
        <v>205</v>
      </c>
      <c r="F93" s="8">
        <v>5000000</v>
      </c>
      <c r="H93" s="9" t="s">
        <v>32</v>
      </c>
      <c r="I93" s="8">
        <v>313593.5</v>
      </c>
      <c r="L93" s="347" t="s">
        <v>207</v>
      </c>
      <c r="M93" s="8">
        <v>4853442</v>
      </c>
    </row>
    <row r="94" spans="5:14" outlineLevel="1">
      <c r="E94" s="9" t="s">
        <v>206</v>
      </c>
      <c r="F94" s="8">
        <v>15000000</v>
      </c>
      <c r="H94" s="9" t="s">
        <v>205</v>
      </c>
      <c r="I94" s="8">
        <v>5000000</v>
      </c>
      <c r="L94" s="9" t="s">
        <v>208</v>
      </c>
      <c r="M94" s="350">
        <v>170000</v>
      </c>
    </row>
    <row r="95" spans="5:14" outlineLevel="1">
      <c r="E95" s="347" t="s">
        <v>207</v>
      </c>
      <c r="F95" s="8">
        <v>4853442</v>
      </c>
      <c r="H95" s="9" t="s">
        <v>206</v>
      </c>
      <c r="I95" s="8">
        <v>15000000</v>
      </c>
      <c r="L95" s="9" t="s">
        <v>209</v>
      </c>
      <c r="M95" s="350">
        <v>752141</v>
      </c>
    </row>
    <row r="96" spans="5:14" outlineLevel="1">
      <c r="E96" s="9" t="s">
        <v>208</v>
      </c>
      <c r="F96" s="350">
        <v>170000</v>
      </c>
      <c r="H96" s="347" t="s">
        <v>207</v>
      </c>
      <c r="I96" s="8">
        <v>4853442</v>
      </c>
      <c r="L96" s="9" t="s">
        <v>210</v>
      </c>
      <c r="M96" s="350">
        <v>723370</v>
      </c>
    </row>
    <row r="97" spans="5:14" outlineLevel="1">
      <c r="E97" s="9" t="s">
        <v>51</v>
      </c>
      <c r="F97" s="350">
        <v>2376000</v>
      </c>
      <c r="H97" s="9" t="s">
        <v>208</v>
      </c>
      <c r="I97" s="350">
        <v>170000</v>
      </c>
      <c r="L97" s="9" t="s">
        <v>211</v>
      </c>
      <c r="M97" s="350">
        <v>650000</v>
      </c>
    </row>
    <row r="98" spans="5:14" outlineLevel="1">
      <c r="E98" s="9" t="s">
        <v>209</v>
      </c>
      <c r="F98" s="350">
        <v>752141</v>
      </c>
      <c r="H98" s="9" t="s">
        <v>209</v>
      </c>
      <c r="I98" s="350">
        <v>752141</v>
      </c>
      <c r="L98" s="9" t="s">
        <v>212</v>
      </c>
      <c r="M98" s="350">
        <v>1200000</v>
      </c>
    </row>
    <row r="99" spans="5:14" outlineLevel="1">
      <c r="E99" s="9" t="s">
        <v>211</v>
      </c>
      <c r="F99" s="350">
        <v>2000000</v>
      </c>
      <c r="H99" s="9" t="s">
        <v>210</v>
      </c>
      <c r="I99" s="350">
        <v>723370</v>
      </c>
      <c r="L99" s="9" t="s">
        <v>213</v>
      </c>
      <c r="M99" s="350">
        <v>1500000</v>
      </c>
    </row>
    <row r="100" spans="5:14" outlineLevel="1">
      <c r="E100" s="9" t="s">
        <v>212</v>
      </c>
      <c r="F100" s="350">
        <v>17500000</v>
      </c>
      <c r="H100" s="9" t="s">
        <v>211</v>
      </c>
      <c r="I100" s="350">
        <v>650000</v>
      </c>
      <c r="L100" s="9" t="s">
        <v>214</v>
      </c>
      <c r="M100" s="8">
        <v>774025</v>
      </c>
    </row>
    <row r="101" spans="5:14" outlineLevel="1">
      <c r="E101" s="9" t="s">
        <v>213</v>
      </c>
      <c r="F101" s="350">
        <v>4000000</v>
      </c>
      <c r="H101" s="9" t="s">
        <v>212</v>
      </c>
      <c r="I101" s="350">
        <v>1200000</v>
      </c>
      <c r="L101" s="347" t="s">
        <v>215</v>
      </c>
      <c r="M101" s="8">
        <f>1287442*2</f>
        <v>2574884</v>
      </c>
    </row>
    <row r="102" spans="5:14" outlineLevel="1">
      <c r="E102" s="9" t="s">
        <v>214</v>
      </c>
      <c r="F102" s="8">
        <v>774025</v>
      </c>
      <c r="H102" s="9" t="s">
        <v>213</v>
      </c>
      <c r="I102" s="350">
        <v>1500000</v>
      </c>
      <c r="L102" s="347" t="s">
        <v>216</v>
      </c>
      <c r="M102" s="8">
        <v>640000</v>
      </c>
    </row>
    <row r="103" spans="5:14" outlineLevel="1">
      <c r="E103" s="347" t="s">
        <v>215</v>
      </c>
      <c r="F103" s="8">
        <f>1287442*2</f>
        <v>2574884</v>
      </c>
      <c r="H103" s="9" t="s">
        <v>214</v>
      </c>
      <c r="I103" s="8">
        <v>774025</v>
      </c>
      <c r="L103" s="347" t="s">
        <v>53</v>
      </c>
      <c r="M103" s="8">
        <v>475363</v>
      </c>
    </row>
    <row r="104" spans="5:14" outlineLevel="1">
      <c r="E104" s="347" t="s">
        <v>216</v>
      </c>
      <c r="F104" s="8">
        <v>640000</v>
      </c>
      <c r="H104" s="347" t="s">
        <v>215</v>
      </c>
      <c r="I104" s="8">
        <f>1287442*2</f>
        <v>2574884</v>
      </c>
      <c r="L104" s="9" t="s">
        <v>217</v>
      </c>
      <c r="M104" s="350">
        <v>1500000</v>
      </c>
    </row>
    <row r="105" spans="5:14" outlineLevel="1">
      <c r="E105" s="347" t="s">
        <v>53</v>
      </c>
      <c r="F105" s="8">
        <v>475363</v>
      </c>
      <c r="H105" s="347" t="s">
        <v>216</v>
      </c>
      <c r="I105" s="8">
        <v>640000</v>
      </c>
      <c r="L105" s="347" t="s">
        <v>218</v>
      </c>
      <c r="M105" s="8">
        <v>450000</v>
      </c>
    </row>
    <row r="106" spans="5:14" outlineLevel="1">
      <c r="E106" s="9" t="s">
        <v>217</v>
      </c>
      <c r="F106" s="350">
        <v>1200000</v>
      </c>
      <c r="H106" s="347" t="s">
        <v>53</v>
      </c>
      <c r="I106" s="8">
        <v>475363</v>
      </c>
      <c r="L106" s="347" t="s">
        <v>219</v>
      </c>
      <c r="M106" s="8">
        <v>3000000</v>
      </c>
    </row>
    <row r="107" spans="5:14" outlineLevel="1">
      <c r="E107" s="347" t="s">
        <v>218</v>
      </c>
      <c r="F107" s="8">
        <v>450000</v>
      </c>
      <c r="H107" s="9" t="s">
        <v>217</v>
      </c>
      <c r="I107" s="350">
        <v>1500000</v>
      </c>
      <c r="L107" s="347" t="s">
        <v>220</v>
      </c>
      <c r="M107" s="8">
        <v>5000000</v>
      </c>
    </row>
    <row r="108" spans="5:14" outlineLevel="1">
      <c r="E108" s="9" t="s">
        <v>129</v>
      </c>
      <c r="F108" s="8">
        <v>761310</v>
      </c>
      <c r="H108" s="347" t="s">
        <v>218</v>
      </c>
      <c r="I108" s="8">
        <v>450000</v>
      </c>
      <c r="L108" s="347" t="s">
        <v>221</v>
      </c>
      <c r="M108" s="8">
        <f>N108</f>
        <v>4883359.5939999996</v>
      </c>
      <c r="N108" s="45">
        <f>(SUM(M78:M107)*4/1000)</f>
        <v>4883359.5939999996</v>
      </c>
    </row>
    <row r="109" spans="5:14" ht="15.75" outlineLevel="1">
      <c r="E109" s="347" t="s">
        <v>219</v>
      </c>
      <c r="F109" s="8">
        <v>3000000</v>
      </c>
      <c r="H109" s="347" t="s">
        <v>219</v>
      </c>
      <c r="I109" s="8">
        <v>3000000</v>
      </c>
      <c r="L109" s="327" t="s">
        <v>222</v>
      </c>
      <c r="M109" s="308" t="e">
        <f>M69-M77</f>
        <v>#REF!</v>
      </c>
    </row>
    <row r="110" spans="5:14" ht="15" customHeight="1" outlineLevel="1">
      <c r="E110" s="347" t="s">
        <v>220</v>
      </c>
      <c r="F110" s="8">
        <v>20000000</v>
      </c>
      <c r="H110" s="347" t="s">
        <v>220</v>
      </c>
      <c r="I110" s="8">
        <v>5000000</v>
      </c>
      <c r="L110" s="338"/>
      <c r="M110" s="339"/>
    </row>
    <row r="111" spans="5:14" outlineLevel="1">
      <c r="E111" s="347" t="s">
        <v>221</v>
      </c>
      <c r="F111" s="8">
        <f>G111</f>
        <v>5534133.3904720005</v>
      </c>
      <c r="G111" s="45">
        <f>(SUM(F80:F110)*4/1000)</f>
        <v>5534133.3904720005</v>
      </c>
      <c r="H111" s="347" t="s">
        <v>221</v>
      </c>
      <c r="I111" s="8">
        <f>J112</f>
        <v>4335018.1140000001</v>
      </c>
      <c r="L111" s="382" t="s">
        <v>185</v>
      </c>
      <c r="M111" s="8">
        <v>2600000000</v>
      </c>
    </row>
    <row r="112" spans="5:14" ht="15" customHeight="1" outlineLevel="1">
      <c r="E112" s="327" t="s">
        <v>222</v>
      </c>
      <c r="F112" s="308" t="e">
        <f>F69-F78</f>
        <v>#REF!</v>
      </c>
      <c r="H112" s="327" t="s">
        <v>222</v>
      </c>
      <c r="I112" s="308" t="e">
        <f>I69-I77</f>
        <v>#REF!</v>
      </c>
      <c r="J112" s="45">
        <f>(SUM(I78:I110)*4/1000)</f>
        <v>4335018.1140000001</v>
      </c>
      <c r="L112" s="306" t="s">
        <v>83</v>
      </c>
      <c r="M112" s="307" t="e">
        <f>SUM(M109:M111)</f>
        <v>#REF!</v>
      </c>
    </row>
    <row r="113" spans="4:13" ht="15" customHeight="1" outlineLevel="1" thickBot="1">
      <c r="E113" s="347"/>
      <c r="F113" s="8"/>
      <c r="H113" s="347"/>
      <c r="I113" s="8"/>
      <c r="L113" s="9"/>
      <c r="M113" s="8"/>
    </row>
    <row r="114" spans="4:13" ht="15" customHeight="1" outlineLevel="1">
      <c r="E114" s="306" t="s">
        <v>83</v>
      </c>
      <c r="F114" s="307" t="e">
        <f>SUM(F112:F113)</f>
        <v>#REF!</v>
      </c>
      <c r="H114" s="382" t="s">
        <v>185</v>
      </c>
      <c r="I114" s="8">
        <v>2400000000</v>
      </c>
      <c r="L114" s="98" t="s">
        <v>223</v>
      </c>
      <c r="M114" s="385">
        <f>SUM(M115:M137)</f>
        <v>1771142652.3083198</v>
      </c>
    </row>
    <row r="115" spans="4:13" ht="16.5" outlineLevel="1" thickBot="1">
      <c r="E115" s="9"/>
      <c r="F115" s="8"/>
      <c r="H115" s="306" t="s">
        <v>83</v>
      </c>
      <c r="I115" s="307" t="e">
        <f>SUM(I112:I114)</f>
        <v>#REF!</v>
      </c>
      <c r="L115" s="9" t="s">
        <v>224</v>
      </c>
      <c r="M115" s="8">
        <v>16800500</v>
      </c>
    </row>
    <row r="116" spans="4:13" ht="16.5" outlineLevel="1" thickBot="1">
      <c r="E116" s="98" t="s">
        <v>225</v>
      </c>
      <c r="F116" s="385">
        <f>SUM(F117:F139)</f>
        <v>1814866852.3083198</v>
      </c>
      <c r="H116" s="9"/>
      <c r="I116" s="8"/>
      <c r="L116" s="9" t="s">
        <v>25</v>
      </c>
      <c r="M116" s="8">
        <v>2199500</v>
      </c>
    </row>
    <row r="117" spans="4:13" ht="15.75">
      <c r="D117" s="229">
        <v>1</v>
      </c>
      <c r="E117" s="9" t="s">
        <v>224</v>
      </c>
      <c r="F117" s="8">
        <v>16800500</v>
      </c>
      <c r="H117" s="98" t="s">
        <v>226</v>
      </c>
      <c r="I117" s="385">
        <f>SUM(I118:I140)</f>
        <v>1771142652.3083198</v>
      </c>
      <c r="L117" s="9" t="s">
        <v>84</v>
      </c>
      <c r="M117" s="8">
        <v>300000</v>
      </c>
    </row>
    <row r="118" spans="4:13">
      <c r="E118" s="9" t="s">
        <v>25</v>
      </c>
      <c r="F118" s="8">
        <v>2199500</v>
      </c>
      <c r="H118" s="9" t="s">
        <v>224</v>
      </c>
      <c r="I118" s="8">
        <v>16800500</v>
      </c>
      <c r="L118" s="9" t="s">
        <v>227</v>
      </c>
      <c r="M118" s="8">
        <f>1276775*1.06</f>
        <v>1353381.5</v>
      </c>
    </row>
    <row r="119" spans="4:13">
      <c r="E119" s="9" t="s">
        <v>84</v>
      </c>
      <c r="F119" s="8">
        <v>450000</v>
      </c>
      <c r="H119" s="9" t="s">
        <v>25</v>
      </c>
      <c r="I119" s="8">
        <v>2199500</v>
      </c>
      <c r="L119" s="9" t="s">
        <v>55</v>
      </c>
      <c r="M119" s="8">
        <v>75000</v>
      </c>
    </row>
    <row r="120" spans="4:13" outlineLevel="1">
      <c r="E120" s="9" t="s">
        <v>227</v>
      </c>
      <c r="F120" s="8">
        <f>1276775*1.06</f>
        <v>1353381.5</v>
      </c>
      <c r="H120" s="9" t="s">
        <v>84</v>
      </c>
      <c r="I120" s="8">
        <v>300000</v>
      </c>
      <c r="L120" s="9" t="s">
        <v>228</v>
      </c>
      <c r="M120" s="8">
        <v>1002252</v>
      </c>
    </row>
    <row r="121" spans="4:13" outlineLevel="1">
      <c r="E121" s="9" t="s">
        <v>55</v>
      </c>
      <c r="F121" s="8">
        <v>75000</v>
      </c>
      <c r="H121" s="9" t="s">
        <v>227</v>
      </c>
      <c r="I121" s="8">
        <f>1276775*1.06</f>
        <v>1353381.5</v>
      </c>
      <c r="L121" s="9" t="s">
        <v>56</v>
      </c>
      <c r="M121" s="8">
        <f>3178793*1.06</f>
        <v>3369520.58</v>
      </c>
    </row>
    <row r="122" spans="4:13" outlineLevel="1">
      <c r="E122" s="9" t="s">
        <v>228</v>
      </c>
      <c r="F122" s="8">
        <v>1002252</v>
      </c>
      <c r="H122" s="9" t="s">
        <v>55</v>
      </c>
      <c r="I122" s="8">
        <v>75000</v>
      </c>
      <c r="L122" s="9" t="s">
        <v>97</v>
      </c>
      <c r="M122" s="8">
        <f>3484500*1.06</f>
        <v>3693570</v>
      </c>
    </row>
    <row r="123" spans="4:13" outlineLevel="1">
      <c r="E123" s="9" t="s">
        <v>56</v>
      </c>
      <c r="F123" s="8">
        <f>3178793*1.06</f>
        <v>3369520.58</v>
      </c>
      <c r="H123" s="9" t="s">
        <v>228</v>
      </c>
      <c r="I123" s="8">
        <v>1002252</v>
      </c>
      <c r="L123" s="9" t="s">
        <v>60</v>
      </c>
      <c r="M123" s="8">
        <v>1241772</v>
      </c>
    </row>
    <row r="124" spans="4:13" outlineLevel="1">
      <c r="E124" s="9" t="s">
        <v>97</v>
      </c>
      <c r="F124" s="8">
        <f>3484500*1.06</f>
        <v>3693570</v>
      </c>
      <c r="H124" s="9" t="s">
        <v>56</v>
      </c>
      <c r="I124" s="8">
        <f>3178793*1.06</f>
        <v>3369520.58</v>
      </c>
      <c r="L124" s="9" t="s">
        <v>229</v>
      </c>
      <c r="M124" s="8">
        <v>1500000000</v>
      </c>
    </row>
    <row r="125" spans="4:13" outlineLevel="1">
      <c r="E125" s="9" t="s">
        <v>60</v>
      </c>
      <c r="F125" s="8">
        <v>1241772</v>
      </c>
      <c r="H125" s="9" t="s">
        <v>97</v>
      </c>
      <c r="I125" s="8">
        <f>3484500*1.06</f>
        <v>3693570</v>
      </c>
      <c r="L125" s="9" t="s">
        <v>68</v>
      </c>
      <c r="M125" s="8">
        <v>175000000</v>
      </c>
    </row>
    <row r="126" spans="4:13" ht="15" customHeight="1" outlineLevel="1">
      <c r="E126" s="9" t="s">
        <v>229</v>
      </c>
      <c r="F126" s="8">
        <v>1500000000</v>
      </c>
      <c r="H126" s="9" t="s">
        <v>60</v>
      </c>
      <c r="I126" s="8">
        <v>1241772</v>
      </c>
      <c r="L126" s="9" t="s">
        <v>70</v>
      </c>
      <c r="M126" s="8">
        <v>15000000</v>
      </c>
    </row>
    <row r="127" spans="4:13" outlineLevel="1">
      <c r="E127" s="9" t="s">
        <v>68</v>
      </c>
      <c r="F127" s="8">
        <v>175000000</v>
      </c>
      <c r="H127" s="9" t="s">
        <v>229</v>
      </c>
      <c r="I127" s="8">
        <v>1500000000</v>
      </c>
      <c r="L127" s="9" t="s">
        <v>230</v>
      </c>
      <c r="M127" s="8">
        <v>2390123</v>
      </c>
    </row>
    <row r="128" spans="4:13" ht="30" outlineLevel="1">
      <c r="E128" s="9" t="s">
        <v>70</v>
      </c>
      <c r="F128" s="8">
        <v>15000000</v>
      </c>
      <c r="H128" s="9" t="s">
        <v>68</v>
      </c>
      <c r="I128" s="8">
        <v>175000000</v>
      </c>
      <c r="L128" s="9" t="s">
        <v>69</v>
      </c>
      <c r="M128" s="8">
        <v>2540000</v>
      </c>
    </row>
    <row r="129" spans="4:14" ht="30" outlineLevel="1">
      <c r="E129" s="9" t="s">
        <v>230</v>
      </c>
      <c r="F129" s="8">
        <v>2390123</v>
      </c>
      <c r="H129" s="9" t="s">
        <v>70</v>
      </c>
      <c r="I129" s="8">
        <v>15000000</v>
      </c>
      <c r="L129" s="9" t="s">
        <v>231</v>
      </c>
      <c r="M129" s="8">
        <v>1009880</v>
      </c>
    </row>
    <row r="130" spans="4:14" outlineLevel="1">
      <c r="E130" s="9" t="s">
        <v>69</v>
      </c>
      <c r="F130" s="8">
        <v>2540000</v>
      </c>
      <c r="H130" s="9" t="s">
        <v>230</v>
      </c>
      <c r="I130" s="8">
        <v>2390123</v>
      </c>
      <c r="L130" s="9" t="s">
        <v>232</v>
      </c>
      <c r="M130" s="350">
        <v>10000000</v>
      </c>
    </row>
    <row r="131" spans="4:14" outlineLevel="1">
      <c r="E131" s="9" t="s">
        <v>231</v>
      </c>
      <c r="F131" s="8">
        <v>1009880</v>
      </c>
      <c r="H131" s="9" t="s">
        <v>69</v>
      </c>
      <c r="I131" s="8">
        <v>2540000</v>
      </c>
      <c r="L131" s="9" t="s">
        <v>233</v>
      </c>
      <c r="M131" s="350">
        <v>7000000</v>
      </c>
    </row>
    <row r="132" spans="4:14" outlineLevel="1">
      <c r="E132" s="9" t="s">
        <v>232</v>
      </c>
      <c r="F132" s="350">
        <v>10000000</v>
      </c>
      <c r="H132" s="9" t="s">
        <v>231</v>
      </c>
      <c r="I132" s="8">
        <v>1009880</v>
      </c>
      <c r="L132" s="9" t="s">
        <v>234</v>
      </c>
      <c r="M132" s="350">
        <v>1190808</v>
      </c>
    </row>
    <row r="133" spans="4:14" outlineLevel="1">
      <c r="E133" s="9" t="s">
        <v>233</v>
      </c>
      <c r="F133" s="350">
        <v>43000000</v>
      </c>
      <c r="H133" s="9" t="s">
        <v>232</v>
      </c>
      <c r="I133" s="350">
        <v>10000000</v>
      </c>
      <c r="L133" s="9" t="s">
        <v>235</v>
      </c>
      <c r="M133" s="350">
        <v>1600000</v>
      </c>
    </row>
    <row r="134" spans="4:14" ht="15" customHeight="1" outlineLevel="1">
      <c r="E134" s="9" t="s">
        <v>236</v>
      </c>
      <c r="F134" s="350">
        <v>1190808</v>
      </c>
      <c r="H134" s="9" t="s">
        <v>233</v>
      </c>
      <c r="I134" s="350">
        <v>7000000</v>
      </c>
      <c r="L134" s="347" t="s">
        <v>237</v>
      </c>
      <c r="M134" s="8">
        <v>13000000</v>
      </c>
    </row>
    <row r="135" spans="4:14" ht="15" customHeight="1" outlineLevel="1">
      <c r="E135" s="9" t="s">
        <v>235</v>
      </c>
      <c r="F135" s="350">
        <v>4000000</v>
      </c>
      <c r="H135" s="9" t="s">
        <v>234</v>
      </c>
      <c r="I135" s="350">
        <v>1190808</v>
      </c>
      <c r="L135" s="347" t="s">
        <v>238</v>
      </c>
      <c r="M135" s="8">
        <v>320000</v>
      </c>
    </row>
    <row r="136" spans="4:14" ht="15" customHeight="1" outlineLevel="1">
      <c r="E136" s="347" t="s">
        <v>237</v>
      </c>
      <c r="F136" s="8">
        <v>13000000</v>
      </c>
      <c r="H136" s="9" t="s">
        <v>235</v>
      </c>
      <c r="I136" s="350">
        <v>1600000</v>
      </c>
      <c r="L136" s="9" t="s">
        <v>239</v>
      </c>
      <c r="M136" s="8">
        <v>5000000</v>
      </c>
    </row>
    <row r="137" spans="4:14" ht="15" customHeight="1" outlineLevel="1" thickBot="1">
      <c r="E137" s="347" t="s">
        <v>238</v>
      </c>
      <c r="F137" s="8">
        <v>320000</v>
      </c>
      <c r="H137" s="347" t="s">
        <v>237</v>
      </c>
      <c r="I137" s="8">
        <v>13000000</v>
      </c>
      <c r="L137" s="9" t="s">
        <v>240</v>
      </c>
      <c r="M137" s="350">
        <f>N137</f>
        <v>7056345.2283199998</v>
      </c>
      <c r="N137" s="45">
        <f>(SUM(M115:M136)*4/1000)</f>
        <v>7056345.2283199998</v>
      </c>
    </row>
    <row r="138" spans="4:14" ht="15" customHeight="1" outlineLevel="1" thickBot="1">
      <c r="E138" s="9" t="s">
        <v>239</v>
      </c>
      <c r="F138" s="8">
        <v>10000000</v>
      </c>
      <c r="H138" s="347" t="s">
        <v>238</v>
      </c>
      <c r="I138" s="8">
        <v>320000</v>
      </c>
      <c r="L138" s="386" t="s">
        <v>241</v>
      </c>
      <c r="M138" s="387" t="e">
        <f>M112-M114</f>
        <v>#REF!</v>
      </c>
    </row>
    <row r="139" spans="4:14" ht="15.75" thickBot="1">
      <c r="E139" s="9" t="s">
        <v>240</v>
      </c>
      <c r="F139" s="350">
        <f>G140</f>
        <v>7230545.2283199998</v>
      </c>
      <c r="H139" s="9" t="s">
        <v>239</v>
      </c>
      <c r="I139" s="8">
        <v>5000000</v>
      </c>
    </row>
    <row r="140" spans="4:14" ht="12.75" customHeight="1" thickBot="1">
      <c r="E140" s="386" t="s">
        <v>241</v>
      </c>
      <c r="F140" s="387" t="e">
        <f>F114-F116</f>
        <v>#REF!</v>
      </c>
      <c r="G140" s="45">
        <f>(SUM(F117:F138)*4/1000)</f>
        <v>7230545.2283199998</v>
      </c>
      <c r="H140" s="9" t="s">
        <v>240</v>
      </c>
      <c r="I140" s="350">
        <f>J140</f>
        <v>7056345.2283199998</v>
      </c>
      <c r="J140" s="45">
        <f>(SUM(I118:I139)*4/1000)</f>
        <v>7056345.2283199998</v>
      </c>
    </row>
    <row r="141" spans="4:14" ht="13.5" customHeight="1" thickBot="1">
      <c r="E141" s="388"/>
      <c r="F141" s="389"/>
      <c r="H141" s="386" t="s">
        <v>241</v>
      </c>
      <c r="I141" s="387" t="e">
        <f>I115-I117</f>
        <v>#REF!</v>
      </c>
    </row>
    <row r="143" spans="4:14">
      <c r="D143" s="229"/>
    </row>
    <row r="149" spans="5:6">
      <c r="E149" s="42"/>
      <c r="F149" s="8"/>
    </row>
    <row r="150" spans="5:6">
      <c r="E150" s="65"/>
      <c r="F150" s="45"/>
    </row>
    <row r="151" spans="5:6">
      <c r="E151" s="230"/>
      <c r="F151" s="63"/>
    </row>
    <row r="156" spans="5:6">
      <c r="E156" s="347"/>
      <c r="F156" s="350"/>
    </row>
    <row r="157" spans="5:6">
      <c r="E157" s="347"/>
      <c r="F157" s="8"/>
    </row>
    <row r="158" spans="5:6">
      <c r="E158" s="347"/>
      <c r="F158" s="8"/>
    </row>
    <row r="159" spans="5:6">
      <c r="E159" s="9"/>
      <c r="F159" s="8"/>
    </row>
    <row r="160" spans="5:6">
      <c r="E160" s="9"/>
      <c r="F160" s="8"/>
    </row>
    <row r="161" spans="5:6">
      <c r="E161" s="347"/>
      <c r="F161" s="45"/>
    </row>
    <row r="162" spans="5:6">
      <c r="E162" s="347"/>
      <c r="F162" s="45"/>
    </row>
    <row r="163" spans="5:6">
      <c r="F163" s="42"/>
    </row>
  </sheetData>
  <protectedRanges>
    <protectedRange sqref="I139 F138 M136" name="Presupuestos_2_1_1_1"/>
    <protectedRange sqref="I128 F127 M125" name="Presupuestos_2_1_1_1_1"/>
    <protectedRange sqref="F126 I127 M124" name="Presupuestos_6_1_1_1"/>
    <protectedRange sqref="I96 F95 M93" name="Presupuestos_6_2"/>
    <protectedRange sqref="I103:I105 F102:F104 M100:M102" name="Presupuestos_16_1_1"/>
    <protectedRange sqref="I106 F105 M103" name="Presupuestos_5_1_2"/>
    <protectedRange sqref="F108" name="Presupuestos_16_1"/>
  </protectedRanges>
  <mergeCells count="8">
    <mergeCell ref="H67:I67"/>
    <mergeCell ref="L67:M67"/>
    <mergeCell ref="B2:F2"/>
    <mergeCell ref="B16:E16"/>
    <mergeCell ref="E18:F18"/>
    <mergeCell ref="D23:D36"/>
    <mergeCell ref="E39:F39"/>
    <mergeCell ref="E67:F67"/>
  </mergeCells>
  <dataValidations count="2">
    <dataValidation type="list" allowBlank="1" showInputMessage="1" showErrorMessage="1" sqref="J71:J72 J75 N71:N72 N75" xr:uid="{A3AA5AF8-5EE4-4442-A163-C4936D87FFE5}">
      <formula1>"0,1"</formula1>
    </dataValidation>
    <dataValidation type="list" allowBlank="1" showInputMessage="1" showErrorMessage="1" sqref="H1:I1" xr:uid="{FA137D17-90D4-401C-AEED-A0A31040344E}">
      <formula1>"Cancelado,Pagar,Sin Pagar"</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4C25-B2C7-4CD1-9D20-0E55274AE39C}">
  <sheetPr codeName="Hoja9"/>
  <dimension ref="C3:S10"/>
  <sheetViews>
    <sheetView workbookViewId="0">
      <selection activeCell="H6" sqref="H6"/>
    </sheetView>
  </sheetViews>
  <sheetFormatPr baseColWidth="10" defaultColWidth="11.42578125" defaultRowHeight="15"/>
  <cols>
    <col min="4" max="4" width="29" bestFit="1" customWidth="1"/>
    <col min="5" max="5" width="15.85546875" bestFit="1" customWidth="1"/>
    <col min="6" max="6" width="14.85546875" bestFit="1" customWidth="1"/>
    <col min="7" max="8" width="15.140625" bestFit="1" customWidth="1"/>
    <col min="16" max="17" width="16.28515625" bestFit="1" customWidth="1"/>
  </cols>
  <sheetData>
    <row r="3" spans="3:19" s="108" customFormat="1">
      <c r="D3" s="116" t="s">
        <v>406</v>
      </c>
      <c r="E3" s="117" t="s">
        <v>407</v>
      </c>
      <c r="F3" s="117" t="s">
        <v>408</v>
      </c>
      <c r="G3" s="116" t="s">
        <v>409</v>
      </c>
      <c r="H3" s="117" t="s">
        <v>410</v>
      </c>
      <c r="I3" s="116" t="s">
        <v>411</v>
      </c>
      <c r="J3" s="116" t="s">
        <v>412</v>
      </c>
      <c r="K3" s="116" t="s">
        <v>413</v>
      </c>
      <c r="L3" s="116" t="s">
        <v>414</v>
      </c>
      <c r="M3" s="117" t="s">
        <v>415</v>
      </c>
      <c r="N3" s="117" t="s">
        <v>416</v>
      </c>
      <c r="O3" s="117" t="s">
        <v>417</v>
      </c>
      <c r="P3" s="116" t="s">
        <v>418</v>
      </c>
      <c r="Q3" s="116" t="s">
        <v>419</v>
      </c>
      <c r="S3" s="118"/>
    </row>
    <row r="4" spans="3:19" s="108" customFormat="1">
      <c r="C4" s="108">
        <v>421020</v>
      </c>
      <c r="D4" s="391" t="s">
        <v>420</v>
      </c>
      <c r="E4" s="403">
        <v>26960712.079999998</v>
      </c>
      <c r="F4" s="403">
        <v>93771698.010000005</v>
      </c>
      <c r="G4" s="403">
        <v>57438102.920000002</v>
      </c>
      <c r="H4" s="403" t="e">
        <f>#REF!+#REF!+#REF!+#REF!+#REF!+#REF!+#REF!+#REF!+#REF!+#REF!+#REF!+#REF!+#REF!+#REF!+#REF!+#REF!+#REF!+#REF!+#REF!+#REF!+#REF!+#REF!</f>
        <v>#REF!</v>
      </c>
      <c r="I4" s="403"/>
      <c r="J4" s="403"/>
      <c r="K4" s="404"/>
      <c r="L4" s="403"/>
      <c r="M4" s="372"/>
      <c r="N4" s="372"/>
      <c r="O4" s="372"/>
      <c r="P4" s="372"/>
      <c r="Q4" s="403" t="e">
        <f>SUM(E4:P4)</f>
        <v>#REF!</v>
      </c>
      <c r="S4" s="199"/>
    </row>
    <row r="5" spans="3:19" s="108" customFormat="1">
      <c r="C5" s="108">
        <v>530525</v>
      </c>
      <c r="D5" s="391" t="s">
        <v>421</v>
      </c>
      <c r="E5" s="403">
        <v>19562974.43</v>
      </c>
      <c r="F5" s="403">
        <v>6983301.0199999996</v>
      </c>
      <c r="G5" s="301">
        <v>1320421.97</v>
      </c>
      <c r="H5" s="403">
        <v>2775771</v>
      </c>
      <c r="I5" s="403"/>
      <c r="J5" s="403"/>
      <c r="K5" s="404"/>
      <c r="L5" s="403"/>
      <c r="M5" s="372"/>
      <c r="N5" s="372"/>
      <c r="O5" s="372"/>
      <c r="P5" s="372"/>
      <c r="Q5" s="403">
        <f>SUM(E5:P5)</f>
        <v>30642468.419999998</v>
      </c>
      <c r="S5" s="118"/>
    </row>
    <row r="6" spans="3:19" s="108" customFormat="1">
      <c r="D6" s="156" t="s">
        <v>422</v>
      </c>
      <c r="E6" s="156">
        <f t="shared" ref="E6:H6" si="0">E4-E5</f>
        <v>7397737.6499999985</v>
      </c>
      <c r="F6" s="156">
        <f t="shared" si="0"/>
        <v>86788396.99000001</v>
      </c>
      <c r="G6" s="156">
        <f t="shared" si="0"/>
        <v>56117680.950000003</v>
      </c>
      <c r="H6" s="156" t="e">
        <f t="shared" si="0"/>
        <v>#REF!</v>
      </c>
      <c r="I6" s="156">
        <f t="shared" ref="I6:Q6" si="1">I4-I5</f>
        <v>0</v>
      </c>
      <c r="J6" s="156">
        <f t="shared" si="1"/>
        <v>0</v>
      </c>
      <c r="K6" s="156">
        <f t="shared" si="1"/>
        <v>0</v>
      </c>
      <c r="L6" s="156">
        <f t="shared" si="1"/>
        <v>0</v>
      </c>
      <c r="M6" s="156">
        <f t="shared" si="1"/>
        <v>0</v>
      </c>
      <c r="N6" s="156">
        <f t="shared" si="1"/>
        <v>0</v>
      </c>
      <c r="O6" s="156">
        <f t="shared" si="1"/>
        <v>0</v>
      </c>
      <c r="P6" s="156">
        <f t="shared" si="1"/>
        <v>0</v>
      </c>
      <c r="Q6" s="156" t="e">
        <f t="shared" si="1"/>
        <v>#REF!</v>
      </c>
      <c r="S6" s="118"/>
    </row>
    <row r="8" spans="3:19">
      <c r="D8" s="391" t="s">
        <v>420</v>
      </c>
      <c r="E8" s="403">
        <v>20456548</v>
      </c>
      <c r="F8" s="403">
        <v>20805959.899999999</v>
      </c>
      <c r="G8" s="403">
        <v>2493777.0099999998</v>
      </c>
      <c r="H8" s="403">
        <v>52141246.170000002</v>
      </c>
      <c r="I8" s="403"/>
      <c r="J8" s="403"/>
      <c r="K8" s="404"/>
      <c r="L8" s="403"/>
      <c r="M8" s="372"/>
      <c r="N8" s="372"/>
      <c r="O8" s="372"/>
      <c r="P8" s="372"/>
      <c r="Q8" s="403">
        <f>SUM(E8:P8)</f>
        <v>95897531.079999998</v>
      </c>
    </row>
    <row r="9" spans="3:19">
      <c r="D9" s="391" t="s">
        <v>421</v>
      </c>
      <c r="E9" s="403">
        <v>593328</v>
      </c>
      <c r="F9" s="403">
        <v>9336021.6600000001</v>
      </c>
      <c r="G9" s="403">
        <v>12371549.66</v>
      </c>
      <c r="H9" s="403">
        <v>1819382.59</v>
      </c>
      <c r="I9" s="403"/>
      <c r="J9" s="403"/>
      <c r="K9" s="404"/>
      <c r="L9" s="403"/>
      <c r="M9" s="372"/>
      <c r="N9" s="372"/>
      <c r="O9" s="372"/>
      <c r="P9" s="372"/>
      <c r="Q9" s="403">
        <f>SUM(E9:P9)</f>
        <v>24120281.91</v>
      </c>
    </row>
    <row r="10" spans="3:19">
      <c r="D10" s="156" t="s">
        <v>423</v>
      </c>
      <c r="E10" s="156">
        <f t="shared" ref="E10:H10" si="2">E8-E9</f>
        <v>19863220</v>
      </c>
      <c r="F10" s="156">
        <f t="shared" si="2"/>
        <v>11469938.239999998</v>
      </c>
      <c r="G10" s="156">
        <f t="shared" si="2"/>
        <v>-9877772.6500000004</v>
      </c>
      <c r="H10" s="156">
        <f t="shared" si="2"/>
        <v>50321863.579999998</v>
      </c>
      <c r="I10" s="156">
        <f t="shared" ref="I10:Q10" si="3">I8-I9</f>
        <v>0</v>
      </c>
      <c r="J10" s="156">
        <f t="shared" si="3"/>
        <v>0</v>
      </c>
      <c r="K10" s="156">
        <f t="shared" si="3"/>
        <v>0</v>
      </c>
      <c r="L10" s="156">
        <f t="shared" si="3"/>
        <v>0</v>
      </c>
      <c r="M10" s="156">
        <f t="shared" si="3"/>
        <v>0</v>
      </c>
      <c r="N10" s="156">
        <f t="shared" si="3"/>
        <v>0</v>
      </c>
      <c r="O10" s="156">
        <f t="shared" si="3"/>
        <v>0</v>
      </c>
      <c r="P10" s="156">
        <f t="shared" si="3"/>
        <v>0</v>
      </c>
      <c r="Q10" s="156">
        <f t="shared" si="3"/>
        <v>71777249.170000002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4B71B-F290-4F18-B548-6DF934C697BD}">
  <sheetPr codeName="Hoja10"/>
  <dimension ref="B2:F7"/>
  <sheetViews>
    <sheetView workbookViewId="0">
      <selection activeCell="F7" sqref="F7"/>
    </sheetView>
  </sheetViews>
  <sheetFormatPr baseColWidth="10" defaultColWidth="11.42578125" defaultRowHeight="15"/>
  <cols>
    <col min="3" max="3" width="16.28515625" bestFit="1" customWidth="1"/>
    <col min="6" max="6" width="13.5703125" bestFit="1" customWidth="1"/>
  </cols>
  <sheetData>
    <row r="2" spans="2:6">
      <c r="B2" s="828" t="s">
        <v>22</v>
      </c>
      <c r="C2" s="828"/>
      <c r="E2" s="828" t="s">
        <v>424</v>
      </c>
      <c r="F2" s="828"/>
    </row>
    <row r="3" spans="2:6">
      <c r="B3" s="42" t="s">
        <v>425</v>
      </c>
      <c r="C3" s="64">
        <v>326365300</v>
      </c>
      <c r="E3" s="42" t="s">
        <v>425</v>
      </c>
      <c r="F3" s="64">
        <v>132004000</v>
      </c>
    </row>
    <row r="4" spans="2:6">
      <c r="B4" s="42" t="s">
        <v>426</v>
      </c>
      <c r="C4" s="64">
        <v>366144100</v>
      </c>
      <c r="E4" s="42" t="s">
        <v>426</v>
      </c>
      <c r="F4" s="64">
        <v>114838000</v>
      </c>
    </row>
    <row r="5" spans="2:6">
      <c r="B5" s="42" t="s">
        <v>427</v>
      </c>
      <c r="C5" s="64">
        <v>336362300</v>
      </c>
      <c r="E5" s="42" t="s">
        <v>427</v>
      </c>
      <c r="F5" s="64">
        <v>122963000</v>
      </c>
    </row>
    <row r="6" spans="2:6">
      <c r="B6" s="42" t="s">
        <v>410</v>
      </c>
      <c r="C6" s="64">
        <v>356100200</v>
      </c>
      <c r="E6" s="42" t="s">
        <v>410</v>
      </c>
      <c r="F6" s="64">
        <v>121740150</v>
      </c>
    </row>
    <row r="7" spans="2:6">
      <c r="B7" s="113" t="s">
        <v>83</v>
      </c>
      <c r="C7" s="294">
        <f>AVERAGE(C3:C6)</f>
        <v>346242975</v>
      </c>
      <c r="E7" s="113" t="s">
        <v>83</v>
      </c>
      <c r="F7" s="294">
        <f>AVERAGE(F3:F6)</f>
        <v>122886287.5</v>
      </c>
    </row>
  </sheetData>
  <mergeCells count="2">
    <mergeCell ref="B2:C2"/>
    <mergeCell ref="E2:F2"/>
  </mergeCells>
  <phoneticPr fontId="21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C734-5DBF-4D53-A269-4A3B07FED3BD}">
  <sheetPr codeName="Hoja11"/>
  <dimension ref="B1:N20"/>
  <sheetViews>
    <sheetView showGridLines="0" workbookViewId="0">
      <selection activeCell="F5" sqref="F5"/>
    </sheetView>
  </sheetViews>
  <sheetFormatPr baseColWidth="10" defaultColWidth="11.42578125" defaultRowHeight="15"/>
  <cols>
    <col min="5" max="5" width="41.140625" customWidth="1"/>
    <col min="6" max="6" width="17.85546875" bestFit="1" customWidth="1"/>
    <col min="8" max="8" width="11.42578125" customWidth="1"/>
    <col min="9" max="10" width="11" customWidth="1"/>
    <col min="11" max="11" width="16.7109375" bestFit="1" customWidth="1"/>
    <col min="12" max="13" width="16.7109375" customWidth="1"/>
    <col min="14" max="14" width="15.5703125" bestFit="1" customWidth="1"/>
  </cols>
  <sheetData>
    <row r="1" spans="2:14" ht="15.75" thickBot="1"/>
    <row r="2" spans="2:14" ht="15.75" thickBot="1">
      <c r="B2" s="246" t="s">
        <v>160</v>
      </c>
      <c r="C2" s="247" t="s">
        <v>161</v>
      </c>
      <c r="D2" s="247" t="s">
        <v>162</v>
      </c>
      <c r="E2" s="247" t="s">
        <v>163</v>
      </c>
      <c r="F2" s="248" t="s">
        <v>164</v>
      </c>
    </row>
    <row r="3" spans="2:14" ht="15.75">
      <c r="B3" s="405">
        <v>1</v>
      </c>
      <c r="C3" s="406">
        <v>45689</v>
      </c>
      <c r="D3" s="407">
        <v>45697</v>
      </c>
      <c r="E3" s="408" t="s">
        <v>428</v>
      </c>
      <c r="F3" s="409">
        <v>4927863.5</v>
      </c>
    </row>
    <row r="4" spans="2:14" ht="15.75">
      <c r="B4" s="251">
        <v>2</v>
      </c>
      <c r="C4" s="380">
        <v>45698</v>
      </c>
      <c r="D4" s="380">
        <v>45701</v>
      </c>
      <c r="E4" s="252" t="s">
        <v>429</v>
      </c>
      <c r="F4" s="253">
        <v>366472412</v>
      </c>
    </row>
    <row r="5" spans="2:14" ht="15.75">
      <c r="B5" s="251">
        <v>2</v>
      </c>
      <c r="C5" s="380">
        <v>45702</v>
      </c>
      <c r="D5" s="380">
        <v>45702</v>
      </c>
      <c r="E5" s="252" t="s">
        <v>430</v>
      </c>
      <c r="F5" s="253">
        <v>497926761</v>
      </c>
    </row>
    <row r="6" spans="2:14" ht="16.5" thickBot="1">
      <c r="B6" s="254">
        <v>4</v>
      </c>
      <c r="C6" s="410">
        <v>45705</v>
      </c>
      <c r="D6" s="410">
        <v>45711</v>
      </c>
      <c r="E6" s="255" t="s">
        <v>431</v>
      </c>
      <c r="F6" s="256">
        <v>151400713</v>
      </c>
    </row>
    <row r="7" spans="2:14">
      <c r="B7" s="829" t="s">
        <v>432</v>
      </c>
      <c r="C7" s="830"/>
      <c r="D7" s="830"/>
      <c r="E7" s="830"/>
      <c r="F7" s="411">
        <f>SUM(F3:F6)</f>
        <v>1020727749.5</v>
      </c>
    </row>
    <row r="8" spans="2:14">
      <c r="B8" s="831" t="s">
        <v>433</v>
      </c>
      <c r="C8" s="832"/>
      <c r="D8" s="832"/>
      <c r="E8" s="832"/>
      <c r="F8" s="257">
        <f>(F7*4)/1000</f>
        <v>4082910.9980000001</v>
      </c>
    </row>
    <row r="9" spans="2:14" ht="15.75" thickBot="1">
      <c r="B9" s="833" t="s">
        <v>170</v>
      </c>
      <c r="C9" s="834"/>
      <c r="D9" s="834"/>
      <c r="E9" s="834"/>
      <c r="F9" s="258">
        <f>SUM(F7:F8)</f>
        <v>1024810660.498</v>
      </c>
    </row>
    <row r="11" spans="2:14">
      <c r="E11" s="42" t="s">
        <v>2</v>
      </c>
      <c r="F11" s="192" t="e">
        <f>#REF!</f>
        <v>#REF!</v>
      </c>
    </row>
    <row r="12" spans="2:14">
      <c r="E12" s="42" t="s">
        <v>434</v>
      </c>
      <c r="F12" s="192" t="e">
        <f>#REF!</f>
        <v>#REF!</v>
      </c>
    </row>
    <row r="13" spans="2:14">
      <c r="E13" s="267" t="s">
        <v>435</v>
      </c>
      <c r="F13" s="192">
        <f>'MONETIZACIONES PEND'!$R$23</f>
        <v>148257053</v>
      </c>
      <c r="I13" s="264"/>
      <c r="J13" s="264" t="s">
        <v>436</v>
      </c>
      <c r="K13" s="192">
        <f>'MONETIZACIONES PEND'!Q23</f>
        <v>193793916.06350002</v>
      </c>
      <c r="L13" s="264" t="s">
        <v>437</v>
      </c>
      <c r="M13" s="192">
        <f>F13</f>
        <v>148257053</v>
      </c>
      <c r="N13" s="268">
        <f>F13-K13</f>
        <v>-45536863.063500017</v>
      </c>
    </row>
    <row r="14" spans="2:14">
      <c r="E14" s="42" t="s">
        <v>265</v>
      </c>
      <c r="F14" s="192" t="e">
        <f>#REF!</f>
        <v>#REF!</v>
      </c>
    </row>
    <row r="15" spans="2:14">
      <c r="E15" s="267" t="s">
        <v>438</v>
      </c>
      <c r="F15" s="192" t="e">
        <f>#REF!</f>
        <v>#REF!</v>
      </c>
      <c r="H15" s="192">
        <v>13791.26</v>
      </c>
      <c r="I15" s="192">
        <v>4406.16</v>
      </c>
      <c r="J15" s="264" t="s">
        <v>436</v>
      </c>
      <c r="K15" s="192">
        <f>H15*I15</f>
        <v>60766498.161600001</v>
      </c>
      <c r="L15" s="264" t="s">
        <v>437</v>
      </c>
      <c r="M15" s="192" t="e">
        <f>$H$15*$I$16</f>
        <v>#REF!</v>
      </c>
      <c r="N15" s="835" t="e">
        <f>K16-K15</f>
        <v>#REF!</v>
      </c>
    </row>
    <row r="16" spans="2:14">
      <c r="E16" s="113" t="s">
        <v>439</v>
      </c>
      <c r="F16" s="259" t="e">
        <f>SUM(F11:F15)</f>
        <v>#REF!</v>
      </c>
      <c r="I16" s="260" t="e">
        <f>'MONETIZACIONES PEND'!#REF!</f>
        <v>#REF!</v>
      </c>
      <c r="J16" s="260"/>
      <c r="K16" s="192" t="e">
        <f>$H$15*$I$16</f>
        <v>#REF!</v>
      </c>
      <c r="L16" s="192"/>
      <c r="M16" s="192"/>
      <c r="N16" s="835"/>
    </row>
    <row r="17" spans="5:14" ht="10.5" customHeight="1"/>
    <row r="18" spans="5:14">
      <c r="E18" s="113" t="s">
        <v>440</v>
      </c>
      <c r="F18" s="261" t="e">
        <f>F16-F9</f>
        <v>#REF!</v>
      </c>
      <c r="J18" s="265" t="s">
        <v>83</v>
      </c>
      <c r="K18" s="260">
        <f>K13+K15</f>
        <v>254560414.22510001</v>
      </c>
      <c r="L18" s="260"/>
      <c r="M18" s="260" t="e">
        <f>M13+M15</f>
        <v>#REF!</v>
      </c>
      <c r="N18" s="260" t="e">
        <f>N13+N15</f>
        <v>#REF!</v>
      </c>
    </row>
    <row r="19" spans="5:14">
      <c r="N19" s="266" t="e">
        <f>N18/K18</f>
        <v>#REF!</v>
      </c>
    </row>
    <row r="20" spans="5:14">
      <c r="N20" s="260"/>
    </row>
  </sheetData>
  <mergeCells count="4">
    <mergeCell ref="B7:E7"/>
    <mergeCell ref="B8:E8"/>
    <mergeCell ref="B9:E9"/>
    <mergeCell ref="N15:N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6CD1-33ED-4A3A-A3F0-91CA0BF51644}">
  <sheetPr codeName="Hoja12"/>
  <dimension ref="A2:M45"/>
  <sheetViews>
    <sheetView topLeftCell="A30" workbookViewId="0">
      <selection activeCell="I43" sqref="I43"/>
    </sheetView>
  </sheetViews>
  <sheetFormatPr baseColWidth="10" defaultColWidth="11.42578125" defaultRowHeight="15"/>
  <cols>
    <col min="3" max="3" width="14.140625" bestFit="1" customWidth="1"/>
    <col min="7" max="8" width="14.140625" bestFit="1" customWidth="1"/>
    <col min="9" max="9" width="17.85546875" bestFit="1" customWidth="1"/>
  </cols>
  <sheetData>
    <row r="2" spans="1:13">
      <c r="A2" s="194"/>
      <c r="B2" s="42" t="s">
        <v>441</v>
      </c>
      <c r="C2" s="197">
        <v>13336.33</v>
      </c>
      <c r="D2">
        <v>1</v>
      </c>
    </row>
    <row r="3" spans="1:13">
      <c r="A3" s="194"/>
      <c r="B3" s="42" t="s">
        <v>116</v>
      </c>
      <c r="C3" s="197">
        <v>6784.5</v>
      </c>
      <c r="D3">
        <v>2</v>
      </c>
      <c r="K3">
        <v>288.62</v>
      </c>
      <c r="L3" s="196">
        <f>K3/K5</f>
        <v>1.3950320772308939E-2</v>
      </c>
      <c r="M3" s="190">
        <f>G7*L3</f>
        <v>177.21915545989611</v>
      </c>
    </row>
    <row r="4" spans="1:13">
      <c r="A4" s="194"/>
      <c r="B4" s="42" t="s">
        <v>118</v>
      </c>
      <c r="C4" s="197">
        <v>2103.98</v>
      </c>
      <c r="D4">
        <v>3</v>
      </c>
      <c r="K4">
        <v>20400.509999999998</v>
      </c>
      <c r="L4" s="196">
        <f>K4/K5</f>
        <v>0.98604967922769116</v>
      </c>
      <c r="M4" s="190">
        <f>G7*L4</f>
        <v>12526.370844540104</v>
      </c>
    </row>
    <row r="5" spans="1:13">
      <c r="A5" s="193"/>
      <c r="B5" s="42" t="s">
        <v>442</v>
      </c>
      <c r="C5" s="190">
        <v>106335.63</v>
      </c>
      <c r="K5">
        <f>SUM(K3:K4)</f>
        <v>20689.129999999997</v>
      </c>
    </row>
    <row r="6" spans="1:13">
      <c r="A6" s="193"/>
      <c r="B6" s="42" t="s">
        <v>443</v>
      </c>
      <c r="C6" s="190">
        <v>33144.18</v>
      </c>
    </row>
    <row r="7" spans="1:13">
      <c r="A7" s="194"/>
      <c r="B7" s="42" t="s">
        <v>119</v>
      </c>
      <c r="C7" s="197">
        <v>20628.13</v>
      </c>
      <c r="D7">
        <v>4</v>
      </c>
      <c r="F7">
        <f>'MONETIZACIONES PEND'!K239+'MONETIZACIONES PEND'!K240</f>
        <v>7924.54</v>
      </c>
      <c r="G7" s="190">
        <f>C7-F7</f>
        <v>12703.59</v>
      </c>
    </row>
    <row r="8" spans="1:13">
      <c r="A8" s="194"/>
      <c r="B8" s="42" t="s">
        <v>120</v>
      </c>
      <c r="C8" s="197">
        <v>2866.23</v>
      </c>
      <c r="D8">
        <v>5</v>
      </c>
    </row>
    <row r="9" spans="1:13">
      <c r="B9" s="113" t="s">
        <v>83</v>
      </c>
      <c r="C9" s="191">
        <f>SUM(C2:C8)</f>
        <v>185198.98</v>
      </c>
    </row>
    <row r="10" spans="1:13">
      <c r="C10" s="190"/>
    </row>
    <row r="11" spans="1:13">
      <c r="C11" s="190"/>
      <c r="H11" s="195" t="s">
        <v>444</v>
      </c>
    </row>
    <row r="12" spans="1:13">
      <c r="A12" s="193"/>
      <c r="B12" s="42" t="s">
        <v>445</v>
      </c>
      <c r="C12" s="190">
        <v>133605.5</v>
      </c>
      <c r="E12" s="192">
        <v>4294.8100000000004</v>
      </c>
      <c r="G12" s="190">
        <f>C5+C6</f>
        <v>139479.81</v>
      </c>
      <c r="H12" s="190">
        <f>G12-C12</f>
        <v>5874.3099999999977</v>
      </c>
    </row>
    <row r="13" spans="1:13">
      <c r="A13" s="194"/>
      <c r="B13" s="42" t="s">
        <v>446</v>
      </c>
      <c r="C13" s="190">
        <v>49487.77</v>
      </c>
      <c r="E13" s="192">
        <v>4239.7700000000004</v>
      </c>
      <c r="G13" s="190">
        <f>C2+C3+C4+C7+C8</f>
        <v>45719.170000000006</v>
      </c>
      <c r="H13" s="190">
        <f>G13-C13</f>
        <v>-3768.5999999999913</v>
      </c>
    </row>
    <row r="14" spans="1:13">
      <c r="C14" s="190"/>
    </row>
    <row r="37" spans="6:9">
      <c r="G37" s="190"/>
    </row>
    <row r="38" spans="6:9">
      <c r="F38" s="42" t="s">
        <v>447</v>
      </c>
      <c r="G38" s="190">
        <v>33144.18</v>
      </c>
    </row>
    <row r="40" spans="6:9">
      <c r="F40" s="42" t="s">
        <v>448</v>
      </c>
      <c r="G40" s="190">
        <v>3768.6</v>
      </c>
    </row>
    <row r="41" spans="6:9">
      <c r="F41" s="42" t="s">
        <v>448</v>
      </c>
      <c r="G41" s="190">
        <v>27269.87</v>
      </c>
    </row>
    <row r="42" spans="6:9">
      <c r="F42" s="42" t="s">
        <v>449</v>
      </c>
      <c r="G42" s="190">
        <v>2105.71</v>
      </c>
    </row>
    <row r="43" spans="6:9">
      <c r="G43" s="191">
        <f>SUM(G40:G42)</f>
        <v>33144.18</v>
      </c>
      <c r="I43" s="64">
        <f>G43*4278.77</f>
        <v>141816323.05860001</v>
      </c>
    </row>
    <row r="45" spans="6:9">
      <c r="G45" s="190">
        <f>G38-G43</f>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9F58-E811-4AC2-A351-F420A10CAA0B}">
  <sheetPr codeName="Hoja13"/>
  <dimension ref="B1:AF30"/>
  <sheetViews>
    <sheetView showGridLines="0" zoomScale="85" zoomScaleNormal="85" workbookViewId="0">
      <selection activeCell="O4" sqref="O4"/>
    </sheetView>
  </sheetViews>
  <sheetFormatPr baseColWidth="10" defaultColWidth="11.42578125" defaultRowHeight="15" outlineLevelRow="1" outlineLevelCol="1"/>
  <cols>
    <col min="1" max="1" width="2.28515625" style="108" customWidth="1"/>
    <col min="2" max="2" width="4" style="108" bestFit="1" customWidth="1"/>
    <col min="3" max="3" width="34.5703125" style="108" customWidth="1"/>
    <col min="4" max="4" width="7.42578125" style="108" bestFit="1" customWidth="1"/>
    <col min="5" max="5" width="17.42578125" style="108" customWidth="1" outlineLevel="1"/>
    <col min="6" max="6" width="17.140625" style="108" hidden="1" customWidth="1" outlineLevel="1"/>
    <col min="7" max="7" width="5.7109375" style="108" hidden="1" customWidth="1"/>
    <col min="8" max="8" width="17.42578125" style="108" hidden="1" customWidth="1"/>
    <col min="9" max="9" width="10" style="108" hidden="1" customWidth="1"/>
    <col min="10" max="10" width="20.5703125" style="108" customWidth="1" outlineLevel="1"/>
    <col min="11" max="11" width="20.5703125" style="108" hidden="1" customWidth="1" outlineLevel="1"/>
    <col min="12" max="12" width="21.140625" style="108" customWidth="1" outlineLevel="1"/>
    <col min="13" max="13" width="16.28515625" style="108" customWidth="1" outlineLevel="1"/>
    <col min="14" max="15" width="13.5703125" style="108" bestFit="1" customWidth="1"/>
    <col min="16" max="16" width="16.28515625" style="108" bestFit="1" customWidth="1"/>
    <col min="17" max="18" width="24.5703125" style="108" bestFit="1" customWidth="1"/>
    <col min="19" max="19" width="21.42578125" style="108" bestFit="1" customWidth="1"/>
    <col min="20" max="20" width="14.5703125" style="108" bestFit="1" customWidth="1"/>
    <col min="21" max="21" width="11.42578125" style="108" customWidth="1"/>
    <col min="22" max="22" width="12.42578125" style="108" bestFit="1" customWidth="1"/>
    <col min="23" max="23" width="15.85546875" style="108" bestFit="1" customWidth="1"/>
    <col min="24" max="24" width="13.85546875" style="108" customWidth="1"/>
    <col min="25" max="25" width="15.5703125" style="108" customWidth="1"/>
    <col min="26" max="16384" width="11.42578125" style="108"/>
  </cols>
  <sheetData>
    <row r="1" spans="2:32" ht="15.75" thickBot="1"/>
    <row r="2" spans="2:32" ht="45.75" thickBot="1">
      <c r="B2" s="412" t="s">
        <v>242</v>
      </c>
      <c r="C2" s="413" t="s">
        <v>243</v>
      </c>
      <c r="D2" s="413" t="s">
        <v>244</v>
      </c>
      <c r="E2" s="414" t="s">
        <v>245</v>
      </c>
      <c r="F2" s="414" t="s">
        <v>246</v>
      </c>
      <c r="G2" s="414" t="s">
        <v>249</v>
      </c>
      <c r="H2" s="414" t="s">
        <v>250</v>
      </c>
      <c r="I2" s="414"/>
      <c r="J2" s="413" t="s">
        <v>251</v>
      </c>
      <c r="K2" s="413"/>
      <c r="L2" s="413" t="s">
        <v>252</v>
      </c>
      <c r="M2" s="414" t="s">
        <v>253</v>
      </c>
      <c r="N2" s="414" t="s">
        <v>254</v>
      </c>
      <c r="O2" s="415" t="s">
        <v>255</v>
      </c>
      <c r="P2" s="414" t="s">
        <v>256</v>
      </c>
      <c r="Q2" s="414" t="s">
        <v>257</v>
      </c>
      <c r="R2" s="414" t="s">
        <v>258</v>
      </c>
      <c r="S2" s="414" t="s">
        <v>259</v>
      </c>
      <c r="T2" s="413" t="s">
        <v>16</v>
      </c>
      <c r="U2" s="413" t="s">
        <v>260</v>
      </c>
    </row>
    <row r="3" spans="2:32" outlineLevel="1">
      <c r="B3" s="125">
        <v>1</v>
      </c>
      <c r="C3" s="120" t="s">
        <v>450</v>
      </c>
      <c r="D3" s="151">
        <v>4820</v>
      </c>
      <c r="E3" s="126">
        <v>45443</v>
      </c>
      <c r="F3" s="126">
        <v>45503</v>
      </c>
      <c r="G3" s="127">
        <f>F3-E3</f>
        <v>60</v>
      </c>
      <c r="H3" s="144">
        <f t="shared" ref="H3:H19" ca="1" si="0">IFERROR(IF(TODAY()&gt;=E3,(TODAY()-E3)/G3,0),0)</f>
        <v>11.3</v>
      </c>
      <c r="I3" s="144">
        <v>1</v>
      </c>
      <c r="J3" s="167">
        <v>9692.0499999999993</v>
      </c>
      <c r="K3" s="154">
        <f t="shared" ref="K3:K20" si="1">J3/$J$23</f>
        <v>8.8543302997146106E-2</v>
      </c>
      <c r="L3" s="128">
        <f>J3-M3</f>
        <v>9688.0655513651272</v>
      </c>
      <c r="M3" s="129">
        <f t="shared" ref="M3:M20" si="2">K3*$K$23</f>
        <v>3.9844486348715749</v>
      </c>
      <c r="N3" s="130">
        <v>3864.23</v>
      </c>
      <c r="O3" s="130">
        <v>3882.9</v>
      </c>
      <c r="P3" s="131">
        <f t="shared" ref="P3:P18" si="3">O3-N3</f>
        <v>18.670000000000073</v>
      </c>
      <c r="Q3" s="132">
        <f t="shared" ref="Q3:Q18" si="4">J3*N3</f>
        <v>37452310.3715</v>
      </c>
      <c r="R3" s="132">
        <f t="shared" ref="R3:R18" si="5">L3*O3</f>
        <v>37617789.72939565</v>
      </c>
      <c r="S3" s="132">
        <f t="shared" ref="S3:S18" si="6">R3-Q3</f>
        <v>165479.35789564997</v>
      </c>
      <c r="T3" s="133" t="str">
        <f t="shared" ref="T3:T18" si="7">IF(O3&lt;= N3,"No Monetizar","Monetizar")</f>
        <v>Monetizar</v>
      </c>
      <c r="U3" s="158"/>
      <c r="W3" s="108" t="s">
        <v>451</v>
      </c>
      <c r="AF3" s="112"/>
    </row>
    <row r="4" spans="2:32" outlineLevel="1">
      <c r="B4" s="125">
        <v>2</v>
      </c>
      <c r="C4" s="120" t="s">
        <v>452</v>
      </c>
      <c r="D4" s="152">
        <v>4821</v>
      </c>
      <c r="E4" s="126">
        <v>45443</v>
      </c>
      <c r="F4" s="126">
        <v>45503</v>
      </c>
      <c r="G4" s="127">
        <f t="shared" ref="G4:G19" si="8">F4-E4</f>
        <v>60</v>
      </c>
      <c r="H4" s="144">
        <f t="shared" ca="1" si="0"/>
        <v>11.3</v>
      </c>
      <c r="I4" s="144">
        <v>1</v>
      </c>
      <c r="J4" s="167">
        <v>8127.7</v>
      </c>
      <c r="K4" s="154">
        <f t="shared" si="1"/>
        <v>7.4251928515629242E-2</v>
      </c>
      <c r="L4" s="128">
        <f t="shared" ref="L4:L20" si="9">J4-M4</f>
        <v>8124.3586632167962</v>
      </c>
      <c r="M4" s="129">
        <f t="shared" si="2"/>
        <v>3.3413367832033161</v>
      </c>
      <c r="N4" s="130">
        <v>3864.23</v>
      </c>
      <c r="O4" s="130">
        <v>3882.9</v>
      </c>
      <c r="P4" s="131">
        <f t="shared" si="3"/>
        <v>18.670000000000073</v>
      </c>
      <c r="Q4" s="132">
        <f t="shared" si="4"/>
        <v>31407302.171</v>
      </c>
      <c r="R4" s="132">
        <f t="shared" si="5"/>
        <v>31546072.253404498</v>
      </c>
      <c r="S4" s="132">
        <f t="shared" si="6"/>
        <v>138770.08240449801</v>
      </c>
      <c r="T4" s="133" t="str">
        <f t="shared" si="7"/>
        <v>Monetizar</v>
      </c>
      <c r="U4" s="158"/>
      <c r="W4" s="108" t="s">
        <v>453</v>
      </c>
      <c r="AF4" s="112"/>
    </row>
    <row r="5" spans="2:32" outlineLevel="1">
      <c r="B5" s="125">
        <v>3</v>
      </c>
      <c r="C5" s="120" t="s">
        <v>454</v>
      </c>
      <c r="D5" s="153">
        <v>4822</v>
      </c>
      <c r="E5" s="126">
        <v>45443</v>
      </c>
      <c r="F5" s="126">
        <v>45503</v>
      </c>
      <c r="G5" s="127">
        <f t="shared" si="8"/>
        <v>60</v>
      </c>
      <c r="H5" s="144">
        <f t="shared" ca="1" si="0"/>
        <v>11.3</v>
      </c>
      <c r="I5" s="144">
        <v>1</v>
      </c>
      <c r="J5" s="167">
        <v>5392.67</v>
      </c>
      <c r="K5" s="154">
        <f t="shared" si="1"/>
        <v>4.9265616022783613E-2</v>
      </c>
      <c r="L5" s="128">
        <f t="shared" si="9"/>
        <v>5390.4530472789747</v>
      </c>
      <c r="M5" s="129">
        <f t="shared" si="2"/>
        <v>2.2169527210252626</v>
      </c>
      <c r="N5" s="130">
        <v>3864.23</v>
      </c>
      <c r="O5" s="130">
        <v>3882.9</v>
      </c>
      <c r="P5" s="131">
        <f t="shared" si="3"/>
        <v>18.670000000000073</v>
      </c>
      <c r="Q5" s="132">
        <f t="shared" si="4"/>
        <v>20838517.1941</v>
      </c>
      <c r="R5" s="132">
        <f t="shared" si="5"/>
        <v>20930590.137279533</v>
      </c>
      <c r="S5" s="132">
        <f t="shared" si="6"/>
        <v>92072.943179532886</v>
      </c>
      <c r="T5" s="133" t="str">
        <f t="shared" si="7"/>
        <v>Monetizar</v>
      </c>
      <c r="U5" s="158"/>
      <c r="W5" s="108" t="s">
        <v>455</v>
      </c>
      <c r="AF5" s="112"/>
    </row>
    <row r="6" spans="2:32" outlineLevel="1">
      <c r="B6" s="125">
        <v>4</v>
      </c>
      <c r="C6" s="120" t="s">
        <v>456</v>
      </c>
      <c r="D6" s="153">
        <v>4823</v>
      </c>
      <c r="E6" s="126">
        <v>45443</v>
      </c>
      <c r="F6" s="126">
        <v>45503</v>
      </c>
      <c r="G6" s="127">
        <f t="shared" si="8"/>
        <v>60</v>
      </c>
      <c r="H6" s="144">
        <f t="shared" ca="1" si="0"/>
        <v>11.3</v>
      </c>
      <c r="I6" s="144">
        <v>1</v>
      </c>
      <c r="J6" s="167">
        <v>6167.93</v>
      </c>
      <c r="K6" s="154">
        <f t="shared" si="1"/>
        <v>5.6348130153598817E-2</v>
      </c>
      <c r="L6" s="128">
        <f t="shared" si="9"/>
        <v>6165.3943341430886</v>
      </c>
      <c r="M6" s="129">
        <f t="shared" si="2"/>
        <v>2.5356658569119466</v>
      </c>
      <c r="N6" s="130">
        <v>3864.23</v>
      </c>
      <c r="O6" s="130">
        <v>3882.9</v>
      </c>
      <c r="P6" s="131">
        <f t="shared" si="3"/>
        <v>18.670000000000073</v>
      </c>
      <c r="Q6" s="132">
        <f t="shared" si="4"/>
        <v>23834300.1439</v>
      </c>
      <c r="R6" s="132">
        <f t="shared" si="5"/>
        <v>23939609.660044201</v>
      </c>
      <c r="S6" s="132">
        <f t="shared" si="6"/>
        <v>105309.51614420116</v>
      </c>
      <c r="T6" s="133" t="str">
        <f t="shared" si="7"/>
        <v>Monetizar</v>
      </c>
      <c r="U6" s="158"/>
      <c r="W6" s="108" t="s">
        <v>457</v>
      </c>
      <c r="AF6" s="112"/>
    </row>
    <row r="7" spans="2:32" outlineLevel="1">
      <c r="B7" s="125">
        <v>5</v>
      </c>
      <c r="C7" s="120" t="s">
        <v>458</v>
      </c>
      <c r="D7" s="153">
        <v>4824</v>
      </c>
      <c r="E7" s="126">
        <v>45443</v>
      </c>
      <c r="F7" s="126">
        <v>45503</v>
      </c>
      <c r="G7" s="127">
        <f t="shared" si="8"/>
        <v>60</v>
      </c>
      <c r="H7" s="144">
        <f t="shared" ca="1" si="0"/>
        <v>11.3</v>
      </c>
      <c r="I7" s="144">
        <v>1</v>
      </c>
      <c r="J7" s="167">
        <v>2914.59</v>
      </c>
      <c r="K7" s="154">
        <f t="shared" si="1"/>
        <v>2.662671214886965E-2</v>
      </c>
      <c r="L7" s="128">
        <f t="shared" si="9"/>
        <v>2913.3917979533012</v>
      </c>
      <c r="M7" s="129">
        <f t="shared" si="2"/>
        <v>1.1982020466991343</v>
      </c>
      <c r="N7" s="130">
        <v>3864.23</v>
      </c>
      <c r="O7" s="130">
        <v>3882.9</v>
      </c>
      <c r="P7" s="131">
        <f t="shared" si="3"/>
        <v>18.670000000000073</v>
      </c>
      <c r="Q7" s="132">
        <f t="shared" si="4"/>
        <v>11262646.115700001</v>
      </c>
      <c r="R7" s="132">
        <f t="shared" si="5"/>
        <v>11312409.012272874</v>
      </c>
      <c r="S7" s="132">
        <f t="shared" si="6"/>
        <v>49762.896572872996</v>
      </c>
      <c r="T7" s="133" t="str">
        <f t="shared" si="7"/>
        <v>Monetizar</v>
      </c>
      <c r="U7" s="158"/>
      <c r="W7" s="108" t="s">
        <v>459</v>
      </c>
      <c r="AF7" s="112"/>
    </row>
    <row r="8" spans="2:32" outlineLevel="1">
      <c r="B8" s="125">
        <v>6</v>
      </c>
      <c r="C8" s="120" t="s">
        <v>460</v>
      </c>
      <c r="D8" s="153">
        <v>4835</v>
      </c>
      <c r="E8" s="126">
        <v>45443</v>
      </c>
      <c r="F8" s="126">
        <v>45503</v>
      </c>
      <c r="G8" s="127">
        <f t="shared" si="8"/>
        <v>60</v>
      </c>
      <c r="H8" s="144">
        <f t="shared" ca="1" si="0"/>
        <v>11.3</v>
      </c>
      <c r="I8" s="144">
        <v>1</v>
      </c>
      <c r="J8" s="167">
        <v>3873.2</v>
      </c>
      <c r="K8" s="154">
        <f t="shared" si="1"/>
        <v>3.5384250098642316E-2</v>
      </c>
      <c r="L8" s="128">
        <f t="shared" si="9"/>
        <v>3871.607708745561</v>
      </c>
      <c r="M8" s="129">
        <f t="shared" si="2"/>
        <v>1.5922912544389043</v>
      </c>
      <c r="N8" s="130">
        <v>3864.23</v>
      </c>
      <c r="O8" s="130">
        <v>3882.9</v>
      </c>
      <c r="P8" s="131">
        <f t="shared" si="3"/>
        <v>18.670000000000073</v>
      </c>
      <c r="Q8" s="132">
        <f t="shared" si="4"/>
        <v>14966935.636</v>
      </c>
      <c r="R8" s="132">
        <f t="shared" si="5"/>
        <v>15033065.572288139</v>
      </c>
      <c r="S8" s="132">
        <f t="shared" si="6"/>
        <v>66129.936288138852</v>
      </c>
      <c r="T8" s="133" t="str">
        <f t="shared" si="7"/>
        <v>Monetizar</v>
      </c>
      <c r="U8" s="158"/>
      <c r="W8" s="108" t="s">
        <v>461</v>
      </c>
      <c r="AF8" s="112"/>
    </row>
    <row r="9" spans="2:32" outlineLevel="1">
      <c r="B9" s="125">
        <v>7</v>
      </c>
      <c r="C9" s="120" t="s">
        <v>462</v>
      </c>
      <c r="D9" s="153">
        <v>4825</v>
      </c>
      <c r="E9" s="126">
        <v>45443</v>
      </c>
      <c r="F9" s="126">
        <v>45503</v>
      </c>
      <c r="G9" s="127">
        <f t="shared" si="8"/>
        <v>60</v>
      </c>
      <c r="H9" s="144">
        <f t="shared" ca="1" si="0"/>
        <v>11.3</v>
      </c>
      <c r="I9" s="144">
        <v>1</v>
      </c>
      <c r="J9" s="167">
        <v>7033.16</v>
      </c>
      <c r="K9" s="154">
        <f t="shared" si="1"/>
        <v>6.4252579888404215E-2</v>
      </c>
      <c r="L9" s="128">
        <f t="shared" si="9"/>
        <v>7030.2686339050215</v>
      </c>
      <c r="M9" s="129">
        <f t="shared" si="2"/>
        <v>2.8913660949781899</v>
      </c>
      <c r="N9" s="130">
        <v>3864.23</v>
      </c>
      <c r="O9" s="130">
        <v>3882.9</v>
      </c>
      <c r="P9" s="131">
        <f t="shared" si="3"/>
        <v>18.670000000000073</v>
      </c>
      <c r="Q9" s="132">
        <f t="shared" si="4"/>
        <v>27177747.866799999</v>
      </c>
      <c r="R9" s="132">
        <f t="shared" si="5"/>
        <v>27297830.078589808</v>
      </c>
      <c r="S9" s="132">
        <f t="shared" si="6"/>
        <v>120082.21178980917</v>
      </c>
      <c r="T9" s="133" t="str">
        <f t="shared" si="7"/>
        <v>Monetizar</v>
      </c>
      <c r="U9" s="158"/>
      <c r="W9" s="108" t="s">
        <v>463</v>
      </c>
      <c r="AF9" s="112"/>
    </row>
    <row r="10" spans="2:32" outlineLevel="1">
      <c r="B10" s="125">
        <v>8</v>
      </c>
      <c r="C10" s="120" t="s">
        <v>464</v>
      </c>
      <c r="D10" s="153">
        <v>4826</v>
      </c>
      <c r="E10" s="126">
        <v>45443</v>
      </c>
      <c r="F10" s="126">
        <v>45503</v>
      </c>
      <c r="G10" s="127">
        <f t="shared" si="8"/>
        <v>60</v>
      </c>
      <c r="H10" s="144">
        <f t="shared" ca="1" si="0"/>
        <v>11.3</v>
      </c>
      <c r="I10" s="144">
        <v>1</v>
      </c>
      <c r="J10" s="167">
        <v>3625.59</v>
      </c>
      <c r="K10" s="154">
        <f t="shared" si="1"/>
        <v>3.3122168572533466E-2</v>
      </c>
      <c r="L10" s="128">
        <f t="shared" si="9"/>
        <v>3624.0995024142362</v>
      </c>
      <c r="M10" s="129">
        <f t="shared" si="2"/>
        <v>1.4904975857640059</v>
      </c>
      <c r="N10" s="130">
        <v>3864.23</v>
      </c>
      <c r="O10" s="130">
        <v>3882.9</v>
      </c>
      <c r="P10" s="131">
        <f t="shared" si="3"/>
        <v>18.670000000000073</v>
      </c>
      <c r="Q10" s="132">
        <f t="shared" si="4"/>
        <v>14010113.6457</v>
      </c>
      <c r="R10" s="132">
        <f t="shared" si="5"/>
        <v>14072015.957924237</v>
      </c>
      <c r="S10" s="132">
        <f t="shared" si="6"/>
        <v>61902.312224237248</v>
      </c>
      <c r="T10" s="133" t="str">
        <f t="shared" si="7"/>
        <v>Monetizar</v>
      </c>
      <c r="U10" s="158"/>
      <c r="W10" s="108" t="s">
        <v>465</v>
      </c>
      <c r="AF10" s="112"/>
    </row>
    <row r="11" spans="2:32" ht="30" outlineLevel="1">
      <c r="B11" s="125">
        <v>9</v>
      </c>
      <c r="C11" s="120" t="s">
        <v>466</v>
      </c>
      <c r="D11" s="153">
        <v>4827</v>
      </c>
      <c r="E11" s="126">
        <v>45443</v>
      </c>
      <c r="F11" s="126">
        <v>45503</v>
      </c>
      <c r="G11" s="127">
        <f t="shared" si="8"/>
        <v>60</v>
      </c>
      <c r="H11" s="144">
        <f t="shared" ca="1" si="0"/>
        <v>11.3</v>
      </c>
      <c r="I11" s="144">
        <v>1</v>
      </c>
      <c r="J11" s="167">
        <v>5792.08</v>
      </c>
      <c r="K11" s="154">
        <f t="shared" si="1"/>
        <v>5.2914491198839259E-2</v>
      </c>
      <c r="L11" s="128">
        <f t="shared" si="9"/>
        <v>5789.698847896052</v>
      </c>
      <c r="M11" s="129">
        <f t="shared" si="2"/>
        <v>2.3811521039477666</v>
      </c>
      <c r="N11" s="130">
        <v>3864.23</v>
      </c>
      <c r="O11" s="130">
        <v>3882.9</v>
      </c>
      <c r="P11" s="131">
        <f t="shared" si="3"/>
        <v>18.670000000000073</v>
      </c>
      <c r="Q11" s="132">
        <f t="shared" si="4"/>
        <v>22381929.2984</v>
      </c>
      <c r="R11" s="132">
        <f t="shared" si="5"/>
        <v>22480821.656495582</v>
      </c>
      <c r="S11" s="132">
        <f t="shared" si="6"/>
        <v>98892.358095582575</v>
      </c>
      <c r="T11" s="133" t="str">
        <f t="shared" si="7"/>
        <v>Monetizar</v>
      </c>
      <c r="U11" s="158"/>
      <c r="W11" s="108" t="s">
        <v>467</v>
      </c>
      <c r="AF11" s="112"/>
    </row>
    <row r="12" spans="2:32" outlineLevel="1">
      <c r="B12" s="125">
        <v>10</v>
      </c>
      <c r="C12" s="120" t="s">
        <v>468</v>
      </c>
      <c r="D12" s="153">
        <v>4828</v>
      </c>
      <c r="E12" s="126">
        <v>45443</v>
      </c>
      <c r="F12" s="126">
        <v>45503</v>
      </c>
      <c r="G12" s="127">
        <f t="shared" si="8"/>
        <v>60</v>
      </c>
      <c r="H12" s="144">
        <f t="shared" ca="1" si="0"/>
        <v>11.3</v>
      </c>
      <c r="I12" s="144">
        <v>1</v>
      </c>
      <c r="J12" s="167">
        <v>2779.9500000000003</v>
      </c>
      <c r="K12" s="154">
        <f t="shared" si="1"/>
        <v>2.5396686476742932E-2</v>
      </c>
      <c r="L12" s="128">
        <f t="shared" si="9"/>
        <v>2778.807149108547</v>
      </c>
      <c r="M12" s="129">
        <f t="shared" si="2"/>
        <v>1.1428508914534319</v>
      </c>
      <c r="N12" s="130">
        <v>3864.23</v>
      </c>
      <c r="O12" s="130">
        <v>3882.9</v>
      </c>
      <c r="P12" s="131">
        <f t="shared" si="3"/>
        <v>18.670000000000073</v>
      </c>
      <c r="Q12" s="132">
        <f t="shared" si="4"/>
        <v>10742366.188500002</v>
      </c>
      <c r="R12" s="132">
        <f t="shared" si="5"/>
        <v>10789830.279273577</v>
      </c>
      <c r="S12" s="132">
        <f t="shared" si="6"/>
        <v>47464.090773575008</v>
      </c>
      <c r="T12" s="133" t="str">
        <f t="shared" si="7"/>
        <v>Monetizar</v>
      </c>
      <c r="U12" s="158"/>
      <c r="W12" s="108" t="s">
        <v>469</v>
      </c>
      <c r="AF12" s="112"/>
    </row>
    <row r="13" spans="2:32" outlineLevel="1">
      <c r="B13" s="125">
        <v>11</v>
      </c>
      <c r="C13" s="120" t="s">
        <v>470</v>
      </c>
      <c r="D13" s="153">
        <v>4829</v>
      </c>
      <c r="E13" s="126">
        <v>45443</v>
      </c>
      <c r="F13" s="126">
        <v>45503</v>
      </c>
      <c r="G13" s="127">
        <f t="shared" si="8"/>
        <v>60</v>
      </c>
      <c r="H13" s="144">
        <f t="shared" ca="1" si="0"/>
        <v>11.3</v>
      </c>
      <c r="I13" s="144">
        <v>1</v>
      </c>
      <c r="J13" s="167">
        <v>1838.6499999999999</v>
      </c>
      <c r="K13" s="154">
        <f t="shared" si="1"/>
        <v>1.6797286854246796E-2</v>
      </c>
      <c r="L13" s="128">
        <f t="shared" si="9"/>
        <v>1837.8941220915588</v>
      </c>
      <c r="M13" s="129">
        <f t="shared" si="2"/>
        <v>0.75587790844110581</v>
      </c>
      <c r="N13" s="130">
        <v>3864.23</v>
      </c>
      <c r="O13" s="130">
        <v>3882.9</v>
      </c>
      <c r="P13" s="131">
        <f t="shared" si="3"/>
        <v>18.670000000000073</v>
      </c>
      <c r="Q13" s="132">
        <f t="shared" si="4"/>
        <v>7104966.4894999992</v>
      </c>
      <c r="R13" s="132">
        <f t="shared" si="5"/>
        <v>7136359.0866693137</v>
      </c>
      <c r="S13" s="132">
        <f t="shared" si="6"/>
        <v>31392.597169314511</v>
      </c>
      <c r="T13" s="133" t="str">
        <f t="shared" si="7"/>
        <v>Monetizar</v>
      </c>
      <c r="U13" s="158"/>
      <c r="W13" s="108" t="s">
        <v>471</v>
      </c>
      <c r="AF13" s="112"/>
    </row>
    <row r="14" spans="2:32" outlineLevel="1">
      <c r="B14" s="125">
        <v>12</v>
      </c>
      <c r="C14" s="120" t="s">
        <v>472</v>
      </c>
      <c r="D14" s="153">
        <v>4830</v>
      </c>
      <c r="E14" s="126">
        <v>45443</v>
      </c>
      <c r="F14" s="126">
        <v>45503</v>
      </c>
      <c r="G14" s="127">
        <f t="shared" si="8"/>
        <v>60</v>
      </c>
      <c r="H14" s="144">
        <f t="shared" ca="1" si="0"/>
        <v>11.3</v>
      </c>
      <c r="I14" s="144">
        <v>1</v>
      </c>
      <c r="J14" s="167">
        <v>19928.189999999999</v>
      </c>
      <c r="K14" s="154">
        <f t="shared" si="1"/>
        <v>0.18205722889942758</v>
      </c>
      <c r="L14" s="128">
        <f t="shared" si="9"/>
        <v>19919.997424699526</v>
      </c>
      <c r="M14" s="129">
        <f t="shared" si="2"/>
        <v>8.1925753004742408</v>
      </c>
      <c r="N14" s="130">
        <v>3864.23</v>
      </c>
      <c r="O14" s="130">
        <v>3882.9</v>
      </c>
      <c r="P14" s="131">
        <f t="shared" si="3"/>
        <v>18.670000000000073</v>
      </c>
      <c r="Q14" s="132">
        <f t="shared" si="4"/>
        <v>77007109.643699989</v>
      </c>
      <c r="R14" s="132">
        <f t="shared" si="5"/>
        <v>77347358.000365794</v>
      </c>
      <c r="S14" s="132">
        <f t="shared" si="6"/>
        <v>340248.35666580498</v>
      </c>
      <c r="T14" s="133" t="str">
        <f t="shared" si="7"/>
        <v>Monetizar</v>
      </c>
      <c r="U14" s="158"/>
      <c r="W14" s="108" t="s">
        <v>473</v>
      </c>
      <c r="AF14" s="112"/>
    </row>
    <row r="15" spans="2:32" outlineLevel="1">
      <c r="B15" s="125">
        <v>13</v>
      </c>
      <c r="C15" s="120" t="s">
        <v>474</v>
      </c>
      <c r="D15" s="153">
        <v>4831</v>
      </c>
      <c r="E15" s="126">
        <v>45443</v>
      </c>
      <c r="F15" s="126">
        <v>45503</v>
      </c>
      <c r="G15" s="127">
        <f t="shared" si="8"/>
        <v>60</v>
      </c>
      <c r="H15" s="144">
        <f t="shared" ca="1" si="0"/>
        <v>11.3</v>
      </c>
      <c r="I15" s="144">
        <v>1</v>
      </c>
      <c r="J15" s="167">
        <v>1774.1</v>
      </c>
      <c r="K15" s="154">
        <f t="shared" si="1"/>
        <v>1.6207579804812904E-2</v>
      </c>
      <c r="L15" s="128">
        <f t="shared" si="9"/>
        <v>1773.3706589087833</v>
      </c>
      <c r="M15" s="129">
        <f t="shared" si="2"/>
        <v>0.72934109121658064</v>
      </c>
      <c r="N15" s="130">
        <v>3864.23</v>
      </c>
      <c r="O15" s="130">
        <v>3882.9</v>
      </c>
      <c r="P15" s="131">
        <f t="shared" si="3"/>
        <v>18.670000000000073</v>
      </c>
      <c r="Q15" s="132">
        <f t="shared" si="4"/>
        <v>6855530.443</v>
      </c>
      <c r="R15" s="132">
        <f t="shared" si="5"/>
        <v>6885820.9314769153</v>
      </c>
      <c r="S15" s="132">
        <f t="shared" si="6"/>
        <v>30290.488476915285</v>
      </c>
      <c r="T15" s="133" t="str">
        <f t="shared" si="7"/>
        <v>Monetizar</v>
      </c>
      <c r="U15" s="158"/>
      <c r="W15" s="108" t="s">
        <v>475</v>
      </c>
      <c r="AF15" s="112"/>
    </row>
    <row r="16" spans="2:32" outlineLevel="1">
      <c r="B16" s="125">
        <v>14</v>
      </c>
      <c r="C16" s="120" t="s">
        <v>476</v>
      </c>
      <c r="D16" s="153">
        <v>4832</v>
      </c>
      <c r="E16" s="126">
        <v>45443</v>
      </c>
      <c r="F16" s="126">
        <v>45503</v>
      </c>
      <c r="G16" s="127">
        <f t="shared" si="8"/>
        <v>60</v>
      </c>
      <c r="H16" s="144">
        <f t="shared" ca="1" si="0"/>
        <v>11.3</v>
      </c>
      <c r="I16" s="144">
        <v>1</v>
      </c>
      <c r="J16" s="167">
        <v>4054.74</v>
      </c>
      <c r="K16" s="154">
        <f t="shared" si="1"/>
        <v>3.7042738367491723E-2</v>
      </c>
      <c r="L16" s="128">
        <f t="shared" si="9"/>
        <v>4053.0730767734626</v>
      </c>
      <c r="M16" s="129">
        <f t="shared" si="2"/>
        <v>1.6669232265371274</v>
      </c>
      <c r="N16" s="130">
        <v>3864.23</v>
      </c>
      <c r="O16" s="130">
        <v>3882.9</v>
      </c>
      <c r="P16" s="131">
        <f t="shared" si="3"/>
        <v>18.670000000000073</v>
      </c>
      <c r="Q16" s="132">
        <f t="shared" si="4"/>
        <v>15668447.950199999</v>
      </c>
      <c r="R16" s="132">
        <f t="shared" si="5"/>
        <v>15737677.449803678</v>
      </c>
      <c r="S16" s="132">
        <f t="shared" si="6"/>
        <v>69229.499603679404</v>
      </c>
      <c r="T16" s="133" t="str">
        <f t="shared" si="7"/>
        <v>Monetizar</v>
      </c>
      <c r="U16" s="158"/>
      <c r="W16" s="108" t="s">
        <v>477</v>
      </c>
      <c r="AF16" s="112"/>
    </row>
    <row r="17" spans="2:32" ht="30" outlineLevel="1">
      <c r="B17" s="125">
        <v>15</v>
      </c>
      <c r="C17" s="120" t="s">
        <v>478</v>
      </c>
      <c r="D17" s="153">
        <v>4833</v>
      </c>
      <c r="E17" s="126">
        <v>45443</v>
      </c>
      <c r="F17" s="126">
        <v>45503</v>
      </c>
      <c r="G17" s="127">
        <f t="shared" si="8"/>
        <v>60</v>
      </c>
      <c r="H17" s="144">
        <f t="shared" ca="1" si="0"/>
        <v>11.3</v>
      </c>
      <c r="I17" s="144">
        <v>1</v>
      </c>
      <c r="J17" s="167">
        <f>16965.69</f>
        <v>16965.689999999999</v>
      </c>
      <c r="K17" s="154">
        <f t="shared" si="1"/>
        <v>0.15499282713416168</v>
      </c>
      <c r="L17" s="128">
        <f t="shared" si="9"/>
        <v>16958.71532277896</v>
      </c>
      <c r="M17" s="129">
        <f t="shared" si="2"/>
        <v>6.9746772210372754</v>
      </c>
      <c r="N17" s="130">
        <v>3864.23</v>
      </c>
      <c r="O17" s="130">
        <v>3882.9</v>
      </c>
      <c r="P17" s="131">
        <f t="shared" si="3"/>
        <v>18.670000000000073</v>
      </c>
      <c r="Q17" s="132">
        <f t="shared" si="4"/>
        <v>65559328.268699996</v>
      </c>
      <c r="R17" s="132">
        <f t="shared" si="5"/>
        <v>65848995.726818427</v>
      </c>
      <c r="S17" s="132">
        <f t="shared" si="6"/>
        <v>289667.45811843127</v>
      </c>
      <c r="T17" s="133" t="str">
        <f t="shared" si="7"/>
        <v>Monetizar</v>
      </c>
      <c r="U17" s="158"/>
      <c r="W17" s="108" t="s">
        <v>479</v>
      </c>
      <c r="AF17" s="112"/>
    </row>
    <row r="18" spans="2:32" outlineLevel="1">
      <c r="B18" s="125">
        <v>16</v>
      </c>
      <c r="C18" s="120" t="s">
        <v>480</v>
      </c>
      <c r="D18" s="153">
        <v>4834</v>
      </c>
      <c r="E18" s="126">
        <v>45443</v>
      </c>
      <c r="F18" s="126">
        <v>45503</v>
      </c>
      <c r="G18" s="127">
        <f t="shared" si="8"/>
        <v>60</v>
      </c>
      <c r="H18" s="144">
        <f t="shared" ca="1" si="0"/>
        <v>11.3</v>
      </c>
      <c r="I18" s="144">
        <v>1</v>
      </c>
      <c r="J18" s="167">
        <f>1712.33</f>
        <v>1712.33</v>
      </c>
      <c r="K18" s="154">
        <f t="shared" si="1"/>
        <v>1.5643269898638904E-2</v>
      </c>
      <c r="L18" s="128">
        <f t="shared" si="9"/>
        <v>1711.6260528545611</v>
      </c>
      <c r="M18" s="129">
        <f t="shared" si="2"/>
        <v>0.7039471454387507</v>
      </c>
      <c r="N18" s="130">
        <v>3864.23</v>
      </c>
      <c r="O18" s="130">
        <v>3882.9</v>
      </c>
      <c r="P18" s="131">
        <f t="shared" si="3"/>
        <v>18.670000000000073</v>
      </c>
      <c r="Q18" s="132">
        <f t="shared" si="4"/>
        <v>6616836.9558999995</v>
      </c>
      <c r="R18" s="132">
        <f t="shared" si="5"/>
        <v>6646072.800628975</v>
      </c>
      <c r="S18" s="132">
        <f t="shared" si="6"/>
        <v>29235.844728975557</v>
      </c>
      <c r="T18" s="133" t="str">
        <f t="shared" si="7"/>
        <v>Monetizar</v>
      </c>
      <c r="U18" s="158"/>
      <c r="W18" s="108" t="s">
        <v>481</v>
      </c>
      <c r="AF18" s="112"/>
    </row>
    <row r="19" spans="2:32" outlineLevel="1">
      <c r="B19" s="125">
        <v>17</v>
      </c>
      <c r="C19" s="120" t="s">
        <v>482</v>
      </c>
      <c r="D19" s="160">
        <v>4879</v>
      </c>
      <c r="E19" s="126">
        <v>45443</v>
      </c>
      <c r="F19" s="126">
        <v>45503</v>
      </c>
      <c r="G19" s="127">
        <f t="shared" si="8"/>
        <v>60</v>
      </c>
      <c r="H19" s="144">
        <f t="shared" ca="1" si="0"/>
        <v>11.3</v>
      </c>
      <c r="I19" s="161"/>
      <c r="J19" s="167">
        <v>4772</v>
      </c>
      <c r="K19" s="162">
        <f t="shared" si="1"/>
        <v>4.3595384041805525E-2</v>
      </c>
      <c r="L19" s="163">
        <f t="shared" si="9"/>
        <v>4770.0382077181184</v>
      </c>
      <c r="M19" s="164">
        <f t="shared" si="2"/>
        <v>1.9617922818812485</v>
      </c>
      <c r="N19" s="165">
        <v>3864.23</v>
      </c>
      <c r="O19" s="130">
        <v>3882.9</v>
      </c>
      <c r="P19" s="131">
        <f>O19-N19</f>
        <v>18.670000000000073</v>
      </c>
      <c r="Q19" s="132">
        <f>J19*N19</f>
        <v>18440105.559999999</v>
      </c>
      <c r="R19" s="132">
        <f>L19*O19</f>
        <v>18521581.356748682</v>
      </c>
      <c r="S19" s="132">
        <f>R19-Q19</f>
        <v>81475.796748682857</v>
      </c>
      <c r="T19" s="133" t="str">
        <f>IF(O19&lt;= N19,"No Monetizar","Monetizar")</f>
        <v>Monetizar</v>
      </c>
      <c r="U19" s="166"/>
      <c r="W19" s="108" t="s">
        <v>483</v>
      </c>
      <c r="AF19" s="112"/>
    </row>
    <row r="20" spans="2:32" outlineLevel="1">
      <c r="B20" s="159">
        <v>18</v>
      </c>
      <c r="C20" s="120" t="s">
        <v>482</v>
      </c>
      <c r="D20" s="160">
        <v>4880</v>
      </c>
      <c r="E20" s="126">
        <v>45443</v>
      </c>
      <c r="F20" s="126">
        <v>45503</v>
      </c>
      <c r="G20" s="127">
        <f>F20-E20</f>
        <v>60</v>
      </c>
      <c r="H20" s="144">
        <f ca="1">IFERROR(IF(TODAY()&gt;=E20,(TODAY()-E20)/G20,0),0)</f>
        <v>11.3</v>
      </c>
      <c r="I20" s="161"/>
      <c r="J20" s="167">
        <v>3016.51</v>
      </c>
      <c r="K20" s="162">
        <f t="shared" si="1"/>
        <v>2.7557818926225226E-2</v>
      </c>
      <c r="L20" s="163">
        <f t="shared" si="9"/>
        <v>3015.26989814832</v>
      </c>
      <c r="M20" s="164">
        <f t="shared" si="2"/>
        <v>1.2401018516801352</v>
      </c>
      <c r="N20" s="165">
        <v>3864.23</v>
      </c>
      <c r="O20" s="130">
        <v>3882.9</v>
      </c>
      <c r="P20" s="131">
        <f>O20-N20</f>
        <v>18.670000000000073</v>
      </c>
      <c r="Q20" s="132">
        <f>J20*N20</f>
        <v>11656488.4373</v>
      </c>
      <c r="R20" s="132">
        <f>L20*O20</f>
        <v>11707991.487520112</v>
      </c>
      <c r="S20" s="132">
        <f>R20-Q20</f>
        <v>51503.050220111385</v>
      </c>
      <c r="T20" s="133" t="str">
        <f>IF(O20&lt;= N20,"No Monetizar","Monetizar")</f>
        <v>Monetizar</v>
      </c>
      <c r="U20" s="166"/>
      <c r="W20" s="108" t="s">
        <v>484</v>
      </c>
      <c r="AF20" s="112"/>
    </row>
    <row r="21" spans="2:32" ht="15.75" thickBot="1">
      <c r="B21" s="836" t="s">
        <v>170</v>
      </c>
      <c r="C21" s="836"/>
      <c r="D21" s="836"/>
      <c r="E21" s="836"/>
      <c r="F21" s="836"/>
      <c r="G21" s="836"/>
      <c r="H21" s="836"/>
      <c r="I21" s="114"/>
      <c r="J21" s="115">
        <f>SUM(J3:J20)</f>
        <v>109461.13</v>
      </c>
      <c r="K21" s="115"/>
      <c r="L21" s="115">
        <f>SUM(L3:L20)</f>
        <v>109416.13</v>
      </c>
      <c r="M21" s="115">
        <f>SUM(M3:M20)</f>
        <v>45.000000000000007</v>
      </c>
      <c r="O21" s="123"/>
      <c r="P21" s="391"/>
      <c r="Q21" s="147">
        <f>SUM(Q3:Q20)</f>
        <v>422982982.3799001</v>
      </c>
      <c r="R21" s="147">
        <f>SUM(R3:R20)</f>
        <v>424851891.17699999</v>
      </c>
      <c r="S21" s="147">
        <f>SUM(S3:S20)</f>
        <v>1868908.7971000131</v>
      </c>
      <c r="T21" s="135">
        <f>S21/Q21</f>
        <v>4.4184018623743635E-3</v>
      </c>
    </row>
    <row r="22" spans="2:32">
      <c r="G22" s="124"/>
      <c r="O22" s="122"/>
    </row>
    <row r="23" spans="2:32">
      <c r="H23" s="116" t="s">
        <v>442</v>
      </c>
      <c r="I23" s="116"/>
      <c r="J23" s="148">
        <f>SUM(J3:J20)</f>
        <v>109461.13</v>
      </c>
      <c r="K23" s="155">
        <v>45</v>
      </c>
      <c r="L23" s="118"/>
      <c r="P23" s="416"/>
      <c r="Q23" s="139"/>
      <c r="R23" s="139"/>
      <c r="S23" s="140"/>
    </row>
    <row r="26" spans="2:32">
      <c r="J26" s="391" t="s">
        <v>485</v>
      </c>
    </row>
    <row r="28" spans="2:32">
      <c r="J28" s="391" t="s">
        <v>420</v>
      </c>
      <c r="M28" s="372" t="e">
        <f>#REF!+#REF!+#REF!</f>
        <v>#REF!</v>
      </c>
    </row>
    <row r="29" spans="2:32">
      <c r="J29" s="391" t="s">
        <v>421</v>
      </c>
      <c r="M29" s="139">
        <f>S21+'MONETIZACIONES PEND'!S23</f>
        <v>-43667954.266399972</v>
      </c>
    </row>
    <row r="30" spans="2:32">
      <c r="J30" s="116" t="s">
        <v>486</v>
      </c>
      <c r="K30" s="116"/>
      <c r="L30" s="116"/>
      <c r="M30" s="156" t="e">
        <f>SUM(M28:M29)</f>
        <v>#REF!</v>
      </c>
    </row>
  </sheetData>
  <mergeCells count="1">
    <mergeCell ref="B21:H21"/>
  </mergeCells>
  <conditionalFormatting sqref="G22">
    <cfRule type="dataBar" priority="10">
      <dataBar>
        <cfvo type="min"/>
        <cfvo type="max"/>
        <color rgb="FFFFB628"/>
      </dataBar>
      <extLst>
        <ext xmlns:x14="http://schemas.microsoft.com/office/spreadsheetml/2009/9/main" uri="{B025F937-C7B1-47D3-B67F-A62EFF666E3E}">
          <x14:id>{B407E877-0324-404C-8642-2E9A234AD979}</x14:id>
        </ext>
      </extLst>
    </cfRule>
    <cfRule type="dataBar" priority="11">
      <dataBar>
        <cfvo type="min"/>
        <cfvo type="max"/>
        <color rgb="FFFF555A"/>
      </dataBar>
      <extLst>
        <ext xmlns:x14="http://schemas.microsoft.com/office/spreadsheetml/2009/9/main" uri="{B025F937-C7B1-47D3-B67F-A62EFF666E3E}">
          <x14:id>{BFF9E56E-7186-4AC2-B117-F7B581CD1022}</x14:id>
        </ext>
      </extLst>
    </cfRule>
    <cfRule type="dataBar" priority="12">
      <dataBar>
        <cfvo type="min"/>
        <cfvo type="max"/>
        <color rgb="FFFFB628"/>
      </dataBar>
      <extLst>
        <ext xmlns:x14="http://schemas.microsoft.com/office/spreadsheetml/2009/9/main" uri="{B025F937-C7B1-47D3-B67F-A62EFF666E3E}">
          <x14:id>{7BC3306E-1144-405A-A2D3-C8864E834739}</x14:id>
        </ext>
      </extLst>
    </cfRule>
  </conditionalFormatting>
  <conditionalFormatting sqref="H3:H20">
    <cfRule type="dataBar" priority="612">
      <dataBar>
        <cfvo type="min"/>
        <cfvo type="max"/>
        <color rgb="FFFFB628"/>
      </dataBar>
      <extLst>
        <ext xmlns:x14="http://schemas.microsoft.com/office/spreadsheetml/2009/9/main" uri="{B025F937-C7B1-47D3-B67F-A62EFF666E3E}">
          <x14:id>{F0029CB2-CF5B-484F-930B-3751964DA12C}</x14:id>
        </ext>
      </extLst>
    </cfRule>
    <cfRule type="dataBar" priority="613">
      <dataBar>
        <cfvo type="min"/>
        <cfvo type="max"/>
        <color rgb="FFFF555A"/>
      </dataBar>
      <extLst>
        <ext xmlns:x14="http://schemas.microsoft.com/office/spreadsheetml/2009/9/main" uri="{B025F937-C7B1-47D3-B67F-A62EFF666E3E}">
          <x14:id>{10511E3E-AD80-4437-8E4A-DE90F72C889B}</x14:id>
        </ext>
      </extLst>
    </cfRule>
    <cfRule type="dataBar" priority="614">
      <dataBar>
        <cfvo type="min"/>
        <cfvo type="max"/>
        <color rgb="FFFFB628"/>
      </dataBar>
      <extLst>
        <ext xmlns:x14="http://schemas.microsoft.com/office/spreadsheetml/2009/9/main" uri="{B025F937-C7B1-47D3-B67F-A62EFF666E3E}">
          <x14:id>{99551703-780D-4C31-9897-D95F2BEDE6AD}</x14:id>
        </ext>
      </extLst>
    </cfRule>
  </conditionalFormatting>
  <conditionalFormatting sqref="I3:I20">
    <cfRule type="dataBar" priority="615">
      <dataBar>
        <cfvo type="min"/>
        <cfvo type="max"/>
        <color rgb="FFFF555A"/>
      </dataBar>
      <extLst>
        <ext xmlns:x14="http://schemas.microsoft.com/office/spreadsheetml/2009/9/main" uri="{B025F937-C7B1-47D3-B67F-A62EFF666E3E}">
          <x14:id>{251D3B1F-1217-4A4E-A7B8-E5BBBC31FD24}</x14:id>
        </ext>
      </extLst>
    </cfRule>
    <cfRule type="dataBar" priority="616">
      <dataBar>
        <cfvo type="min"/>
        <cfvo type="max"/>
        <color rgb="FFFFB628"/>
      </dataBar>
      <extLst>
        <ext xmlns:x14="http://schemas.microsoft.com/office/spreadsheetml/2009/9/main" uri="{B025F937-C7B1-47D3-B67F-A62EFF666E3E}">
          <x14:id>{D638A243-C013-4EBC-9E08-C1EEEAE9CB05}</x14:id>
        </ext>
      </extLst>
    </cfRule>
    <cfRule type="dataBar" priority="617">
      <dataBar>
        <cfvo type="min"/>
        <cfvo type="max"/>
        <color rgb="FFFFB628"/>
      </dataBar>
      <extLst>
        <ext xmlns:x14="http://schemas.microsoft.com/office/spreadsheetml/2009/9/main" uri="{B025F937-C7B1-47D3-B67F-A62EFF666E3E}">
          <x14:id>{3802A114-7ED7-4BFE-96D0-A68555B00886}</x14:id>
        </ext>
      </extLst>
    </cfRule>
  </conditionalFormatting>
  <conditionalFormatting sqref="U3:U20">
    <cfRule type="containsText" dxfId="0" priority="18" operator="containsText" text="No monetizar">
      <formula>NOT(ISERROR(SEARCH("No monetizar",U3)))</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B407E877-0324-404C-8642-2E9A234AD979}">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BFF9E56E-7186-4AC2-B117-F7B581CD1022}">
            <x14:dataBar minLength="0" maxLength="100" gradient="0">
              <x14:cfvo type="autoMin"/>
              <x14:cfvo type="autoMax"/>
              <x14:negativeFillColor rgb="FFFF0000"/>
              <x14:axisColor rgb="FF000000"/>
            </x14:dataBar>
          </x14:cfRule>
          <x14:cfRule type="dataBar" id="{7BC3306E-1144-405A-A2D3-C8864E834739}">
            <x14:dataBar minLength="0" maxLength="100" border="1" negativeBarBorderColorSameAsPositive="0">
              <x14:cfvo type="autoMin"/>
              <x14:cfvo type="autoMax"/>
              <x14:borderColor rgb="FFFFB628"/>
              <x14:negativeFillColor rgb="FFFF0000"/>
              <x14:negativeBorderColor rgb="FFFF0000"/>
              <x14:axisColor rgb="FF000000"/>
            </x14:dataBar>
          </x14:cfRule>
          <xm:sqref>G22</xm:sqref>
        </x14:conditionalFormatting>
        <x14:conditionalFormatting xmlns:xm="http://schemas.microsoft.com/office/excel/2006/main">
          <x14:cfRule type="dataBar" id="{F0029CB2-CF5B-484F-930B-3751964DA12C}">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10511E3E-AD80-4437-8E4A-DE90F72C889B}">
            <x14:dataBar minLength="0" maxLength="100" gradient="0">
              <x14:cfvo type="autoMin"/>
              <x14:cfvo type="autoMax"/>
              <x14:negativeFillColor rgb="FFFF0000"/>
              <x14:axisColor rgb="FF000000"/>
            </x14:dataBar>
          </x14:cfRule>
          <x14:cfRule type="dataBar" id="{99551703-780D-4C31-9897-D95F2BEDE6AD}">
            <x14:dataBar minLength="0" maxLength="100" border="1" negativeBarBorderColorSameAsPositive="0">
              <x14:cfvo type="autoMin"/>
              <x14:cfvo type="autoMax"/>
              <x14:borderColor rgb="FFFFB628"/>
              <x14:negativeFillColor rgb="FFFF0000"/>
              <x14:negativeBorderColor rgb="FFFF0000"/>
              <x14:axisColor rgb="FF000000"/>
            </x14:dataBar>
          </x14:cfRule>
          <xm:sqref>H3:H20</xm:sqref>
        </x14:conditionalFormatting>
        <x14:conditionalFormatting xmlns:xm="http://schemas.microsoft.com/office/excel/2006/main">
          <x14:cfRule type="dataBar" id="{251D3B1F-1217-4A4E-A7B8-E5BBBC31FD24}">
            <x14:dataBar minLength="0" maxLength="100" gradient="0">
              <x14:cfvo type="autoMin"/>
              <x14:cfvo type="autoMax"/>
              <x14:negativeFillColor rgb="FFFF0000"/>
              <x14:axisColor rgb="FF000000"/>
            </x14:dataBar>
          </x14:cfRule>
          <x14:cfRule type="dataBar" id="{D638A243-C013-4EBC-9E08-C1EEEAE9CB05}">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3802A114-7ED7-4BFE-96D0-A68555B00886}">
            <x14:dataBar minLength="0" maxLength="100" border="1" negativeBarBorderColorSameAsPositive="0">
              <x14:cfvo type="autoMin"/>
              <x14:cfvo type="autoMax"/>
              <x14:borderColor rgb="FFFFB628"/>
              <x14:negativeFillColor rgb="FFFF0000"/>
              <x14:negativeBorderColor rgb="FFFF0000"/>
              <x14:axisColor rgb="FF000000"/>
            </x14:dataBar>
          </x14:cfRule>
          <xm:sqref>I3:I20</xm:sqref>
        </x14:conditionalFormatting>
        <x14:conditionalFormatting xmlns:xm="http://schemas.microsoft.com/office/excel/2006/main">
          <x14:cfRule type="containsText" priority="17" operator="containsText" id="{3E3F2A48-6827-4D08-92DB-CF917D088F56}">
            <xm:f>NOT(ISERROR(SEARCH(#REF!,U3)))</xm:f>
            <xm:f>#REF!</xm:f>
            <x14:dxf>
              <font>
                <color rgb="FF9C0006"/>
              </font>
              <fill>
                <patternFill>
                  <bgColor rgb="FFFFC7CE"/>
                </patternFill>
              </fill>
            </x14:dxf>
          </x14:cfRule>
          <xm:sqref>U3:U20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5746485-dadf-402b-946d-670a8d5419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526ECBB2595046A1C872549E0FCC00" ma:contentTypeVersion="18" ma:contentTypeDescription="Create a new document." ma:contentTypeScope="" ma:versionID="55669c6b34549bd3e376705e7e1ef2cb">
  <xsd:schema xmlns:xsd="http://www.w3.org/2001/XMLSchema" xmlns:xs="http://www.w3.org/2001/XMLSchema" xmlns:p="http://schemas.microsoft.com/office/2006/metadata/properties" xmlns:ns3="45746485-dadf-402b-946d-670a8d5419c5" xmlns:ns4="3144bafa-e542-4cda-980a-0dcf7db8d145" targetNamespace="http://schemas.microsoft.com/office/2006/metadata/properties" ma:root="true" ma:fieldsID="b88886202a0697c5ef5fc891686974ca" ns3:_="" ns4:_="">
    <xsd:import namespace="45746485-dadf-402b-946d-670a8d5419c5"/>
    <xsd:import namespace="3144bafa-e542-4cda-980a-0dcf7db8d14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46485-dadf-402b-946d-670a8d5419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44bafa-e542-4cda-980a-0dcf7db8d14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A64B71-E42A-48AF-A69D-3B016BCEC7DD}">
  <ds:schemaRefs>
    <ds:schemaRef ds:uri="3144bafa-e542-4cda-980a-0dcf7db8d145"/>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openxmlformats.org/package/2006/metadata/core-properties"/>
    <ds:schemaRef ds:uri="45746485-dadf-402b-946d-670a8d5419c5"/>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C4ABCE1-EF6B-417F-A750-929D09F9A11C}">
  <ds:schemaRefs>
    <ds:schemaRef ds:uri="http://schemas.microsoft.com/sharepoint/v3/contenttype/forms"/>
  </ds:schemaRefs>
</ds:datastoreItem>
</file>

<file path=customXml/itemProps3.xml><?xml version="1.0" encoding="utf-8"?>
<ds:datastoreItem xmlns:ds="http://schemas.openxmlformats.org/officeDocument/2006/customXml" ds:itemID="{D9031DAC-0052-47F4-AD2D-184F3AD5FC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746485-dadf-402b-946d-670a8d5419c5"/>
    <ds:schemaRef ds:uri="3144bafa-e542-4cda-980a-0dcf7db8d1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Festivos Colombia</vt:lpstr>
      <vt:lpstr>DICIEMBRE</vt:lpstr>
      <vt:lpstr>ENERO</vt:lpstr>
      <vt:lpstr>FEBRERO</vt:lpstr>
      <vt:lpstr>MARZO</vt:lpstr>
      <vt:lpstr>ABRIL</vt:lpstr>
      <vt:lpstr>DISTRIBUCIÓN</vt:lpstr>
      <vt:lpstr>MONETIZACIONES PEND</vt:lpstr>
      <vt:lpstr>DISTRIBUCIÓN (2)</vt:lpstr>
      <vt:lpstr>Balanza DF</vt:lpstr>
      <vt:lpstr>Hoja2</vt:lpstr>
      <vt:lpstr>Análisis</vt:lpstr>
      <vt:lpstr>Hoja1</vt:lpstr>
      <vt:lpstr>Proyectado Moneti </vt:lpstr>
      <vt:lpstr>'MONETIZACIONES PEND'!Área_de_impresión</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Sergio Romero</dc:creator>
  <cp:keywords/>
  <dc:description/>
  <cp:lastModifiedBy>Alfonso Fonseca</cp:lastModifiedBy>
  <cp:revision/>
  <cp:lastPrinted>2026-02-12T17:22:47Z</cp:lastPrinted>
  <dcterms:created xsi:type="dcterms:W3CDTF">2016-04-11T14:48:28Z</dcterms:created>
  <dcterms:modified xsi:type="dcterms:W3CDTF">2026-04-09T22:18:38Z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0x0101002E526ECBB2595046A1C872549E0FCC00</vt:lpwstr>
  </property>
</Properties>
</file>
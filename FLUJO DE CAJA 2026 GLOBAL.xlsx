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fonsoFonseca\Downloads\"/>
    </mc:Choice>
  </mc:AlternateContent>
  <xr:revisionPtr revIDLastSave="0" documentId="8_{2FB14121-7A26-4F01-B8B1-B006E958A22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ICIEMBRE" sheetId="47" state="hidden" r:id="rId1"/>
    <sheet name="ENERO" sheetId="48" r:id="rId2"/>
    <sheet name="FEBRERO" sheetId="50" r:id="rId3"/>
    <sheet name="MARZO" sheetId="51" r:id="rId4"/>
    <sheet name="ABRIL" sheetId="52" r:id="rId5"/>
    <sheet name="MAYO" sheetId="53" r:id="rId6"/>
    <sheet name="RESUMEN" sheetId="49" r:id="rId7"/>
    <sheet name="Prioridades de pago" sheetId="7" state="hidden" r:id="rId8"/>
    <sheet name="Pagos realiDiferencia 2022" sheetId="10" state="hidden" r:id="rId9"/>
    <sheet name="Festivos Colombia" sheetId="2" state="hidden" r:id="rId10"/>
  </sheets>
  <definedNames>
    <definedName name="_xlnm._FilterDatabase" localSheetId="4" hidden="1">ABRIL!$C$12:$I$125</definedName>
    <definedName name="_xlnm._FilterDatabase" localSheetId="0" hidden="1">DICIEMBRE!$C$12:$I$138</definedName>
    <definedName name="_xlnm._FilterDatabase" localSheetId="1" hidden="1">ENERO!$C$12:$I$115</definedName>
    <definedName name="_xlnm._FilterDatabase" localSheetId="2" hidden="1">FEBRERO!$C$12:$I$130</definedName>
    <definedName name="_xlnm._FilterDatabase" localSheetId="3" hidden="1">MARZO!$C$12:$I$122</definedName>
    <definedName name="_xlnm._FilterDatabase" localSheetId="5" hidden="1">MAYO!$C$12:$I$85</definedName>
    <definedName name="_Key1" localSheetId="4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9" hidden="1">#REF!</definedName>
    <definedName name="_Key1" localSheetId="3" hidden="1">#REF!</definedName>
    <definedName name="_Key1" localSheetId="5" hidden="1">#REF!</definedName>
    <definedName name="_Key1" hidden="1">#REF!</definedName>
    <definedName name="_Order1" hidden="1">255</definedName>
    <definedName name="_Sort" localSheetId="4" hidden="1">#REF!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9" hidden="1">#REF!</definedName>
    <definedName name="_Sort" localSheetId="3" hidden="1">#REF!</definedName>
    <definedName name="_Sort" localSheetId="5" hidden="1">#REF!</definedName>
    <definedName name="_Sort" hidden="1">#REF!</definedName>
    <definedName name="_xlnm.Print_Area" localSheetId="8">'Pagos realiDiferencia 2022'!$A$1:$Q$15</definedName>
    <definedName name="B" localSheetId="4" hidden="1">#REF!</definedName>
    <definedName name="B" localSheetId="0" hidden="1">#REF!</definedName>
    <definedName name="B" localSheetId="1" hidden="1">#REF!</definedName>
    <definedName name="B" localSheetId="2" hidden="1">#REF!</definedName>
    <definedName name="B" localSheetId="9" hidden="1">#REF!</definedName>
    <definedName name="B" localSheetId="3" hidden="1">#REF!</definedName>
    <definedName name="B" localSheetId="5" hidden="1">#REF!</definedName>
    <definedName name="B" hidden="1">#REF!</definedName>
    <definedName name="I" localSheetId="4" hidden="1">#REF!</definedName>
    <definedName name="I" localSheetId="0" hidden="1">#REF!</definedName>
    <definedName name="I" localSheetId="1" hidden="1">#REF!</definedName>
    <definedName name="I" localSheetId="2" hidden="1">#REF!</definedName>
    <definedName name="I" localSheetId="9" hidden="1">#REF!</definedName>
    <definedName name="I" localSheetId="3" hidden="1">#REF!</definedName>
    <definedName name="I" localSheetId="5" hidden="1">#REF!</definedName>
    <definedName name="I" hidden="1">#REF!</definedName>
    <definedName name="Marca" localSheetId="8">#REF!</definedName>
    <definedName name="Marca">#REF!</definedName>
    <definedName name="Marca1" localSheetId="8">#REF!</definedName>
    <definedName name="Marca1">#REF!</definedName>
    <definedName name="Marcas" localSheetId="8">#REF!</definedName>
    <definedName name="Marcas">#REF!</definedName>
    <definedName name="Valor" localSheetId="8">#REF!</definedName>
    <definedName name="Valor">#REF!</definedName>
    <definedName name="Value" localSheetId="8">#REF!</definedName>
    <definedName name="Value">#REF!</definedName>
    <definedName name="valu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3" l="1"/>
  <c r="E53" i="53"/>
  <c r="H50" i="53"/>
  <c r="I50" i="53" s="1"/>
  <c r="H49" i="53" l="1"/>
  <c r="I49" i="53" s="1"/>
  <c r="H48" i="53"/>
  <c r="I48" i="53" s="1"/>
  <c r="H47" i="53"/>
  <c r="I47" i="53" s="1"/>
  <c r="H46" i="53"/>
  <c r="I46" i="53" s="1"/>
  <c r="H45" i="53"/>
  <c r="I45" i="53" s="1"/>
  <c r="H44" i="53"/>
  <c r="I44" i="53" s="1"/>
  <c r="H43" i="53"/>
  <c r="I43" i="53" s="1"/>
  <c r="H42" i="53"/>
  <c r="I42" i="53" s="1"/>
  <c r="H41" i="53"/>
  <c r="I41" i="53" s="1"/>
  <c r="J22" i="53" l="1"/>
  <c r="E21" i="53" l="1"/>
  <c r="H24" i="53"/>
  <c r="I24" i="53" s="1"/>
  <c r="B24" i="53"/>
  <c r="A24" i="53"/>
  <c r="E17" i="53"/>
  <c r="H18" i="53"/>
  <c r="I18" i="53" s="1"/>
  <c r="B18" i="53"/>
  <c r="A18" i="53"/>
  <c r="E64" i="53"/>
  <c r="H40" i="53" l="1"/>
  <c r="I40" i="53" s="1"/>
  <c r="H39" i="53"/>
  <c r="I39" i="53" s="1"/>
  <c r="H38" i="53"/>
  <c r="I38" i="53" s="1"/>
  <c r="H37" i="53"/>
  <c r="I37" i="53" s="1"/>
  <c r="H36" i="53"/>
  <c r="I36" i="53" s="1"/>
  <c r="H35" i="53"/>
  <c r="I35" i="53" s="1"/>
  <c r="H34" i="53"/>
  <c r="I34" i="53" s="1"/>
  <c r="H33" i="53"/>
  <c r="I33" i="53" s="1"/>
  <c r="E25" i="53"/>
  <c r="H27" i="53"/>
  <c r="I27" i="53" s="1"/>
  <c r="B27" i="53"/>
  <c r="A27" i="53"/>
  <c r="E69" i="53"/>
  <c r="H68" i="53"/>
  <c r="I68" i="53" s="1"/>
  <c r="E68" i="53"/>
  <c r="B68" i="53"/>
  <c r="A68" i="53"/>
  <c r="E67" i="53"/>
  <c r="E66" i="53"/>
  <c r="E65" i="53"/>
  <c r="E55" i="53"/>
  <c r="E52" i="53"/>
  <c r="E32" i="53" s="1"/>
  <c r="E76" i="53" l="1"/>
  <c r="H55" i="53" l="1"/>
  <c r="I55" i="53" s="1"/>
  <c r="H52" i="53"/>
  <c r="I52" i="53" s="1"/>
  <c r="H51" i="53"/>
  <c r="I51" i="53" s="1"/>
  <c r="H23" i="53"/>
  <c r="I23" i="53" s="1"/>
  <c r="B23" i="53"/>
  <c r="A23" i="53"/>
  <c r="F96" i="53"/>
  <c r="H77" i="53"/>
  <c r="I77" i="53" s="1"/>
  <c r="B77" i="53"/>
  <c r="A77" i="53"/>
  <c r="H75" i="53"/>
  <c r="I75" i="53" s="1"/>
  <c r="B75" i="53"/>
  <c r="A75" i="53"/>
  <c r="E74" i="53"/>
  <c r="H73" i="53"/>
  <c r="I73" i="53" s="1"/>
  <c r="B73" i="53"/>
  <c r="A73" i="53"/>
  <c r="H72" i="53"/>
  <c r="I72" i="53" s="1"/>
  <c r="B72" i="53"/>
  <c r="A72" i="53"/>
  <c r="H71" i="53"/>
  <c r="I71" i="53" s="1"/>
  <c r="E70" i="53"/>
  <c r="B71" i="53"/>
  <c r="A71" i="53"/>
  <c r="H69" i="53"/>
  <c r="I69" i="53" s="1"/>
  <c r="B69" i="53"/>
  <c r="A69" i="53"/>
  <c r="H67" i="53"/>
  <c r="I67" i="53" s="1"/>
  <c r="B67" i="53"/>
  <c r="A67" i="53"/>
  <c r="H66" i="53"/>
  <c r="I66" i="53" s="1"/>
  <c r="F95" i="53"/>
  <c r="B66" i="53"/>
  <c r="A66" i="53"/>
  <c r="H65" i="53"/>
  <c r="I65" i="53" s="1"/>
  <c r="F94" i="53"/>
  <c r="B65" i="53"/>
  <c r="A65" i="53"/>
  <c r="H64" i="53"/>
  <c r="I64" i="53" s="1"/>
  <c r="B64" i="53"/>
  <c r="A64" i="53"/>
  <c r="H62" i="53"/>
  <c r="I62" i="53" s="1"/>
  <c r="B62" i="53"/>
  <c r="A62" i="53"/>
  <c r="E61" i="53"/>
  <c r="H60" i="53"/>
  <c r="I60" i="53" s="1"/>
  <c r="B60" i="53"/>
  <c r="A60" i="53"/>
  <c r="E59" i="53"/>
  <c r="H58" i="53"/>
  <c r="I58" i="53" s="1"/>
  <c r="B58" i="53"/>
  <c r="A58" i="53"/>
  <c r="H57" i="53"/>
  <c r="I57" i="53" s="1"/>
  <c r="B57" i="53"/>
  <c r="A57" i="53"/>
  <c r="E56" i="53"/>
  <c r="H54" i="53"/>
  <c r="I54" i="53" s="1"/>
  <c r="H31" i="53"/>
  <c r="I31" i="53" s="1"/>
  <c r="B31" i="53"/>
  <c r="A31" i="53"/>
  <c r="H30" i="53"/>
  <c r="I30" i="53" s="1"/>
  <c r="B30" i="53"/>
  <c r="A30" i="53"/>
  <c r="H29" i="53"/>
  <c r="H28" i="53"/>
  <c r="I28" i="53" s="1"/>
  <c r="B28" i="53"/>
  <c r="A28" i="53"/>
  <c r="H26" i="53"/>
  <c r="I26" i="53" s="1"/>
  <c r="B26" i="53"/>
  <c r="A26" i="53"/>
  <c r="H25" i="53"/>
  <c r="H22" i="53"/>
  <c r="I22" i="53" s="1"/>
  <c r="B22" i="53"/>
  <c r="A22" i="53"/>
  <c r="H21" i="53"/>
  <c r="I21" i="53" s="1"/>
  <c r="H20" i="53"/>
  <c r="I20" i="53" s="1"/>
  <c r="B20" i="53"/>
  <c r="A20" i="53"/>
  <c r="H19" i="53"/>
  <c r="I19" i="53" s="1"/>
  <c r="B19" i="53"/>
  <c r="A19" i="53"/>
  <c r="H16" i="53"/>
  <c r="I16" i="53" s="1"/>
  <c r="B16" i="53"/>
  <c r="A16" i="53"/>
  <c r="E15" i="53"/>
  <c r="H14" i="53"/>
  <c r="I14" i="53" s="1"/>
  <c r="B14" i="53"/>
  <c r="A14" i="53"/>
  <c r="E13" i="53"/>
  <c r="E6" i="53"/>
  <c r="E7" i="52"/>
  <c r="F109" i="53" l="1"/>
  <c r="E29" i="53"/>
  <c r="F93" i="53"/>
  <c r="F91" i="53"/>
  <c r="F97" i="53"/>
  <c r="F92" i="53"/>
  <c r="F110" i="53"/>
  <c r="E63" i="53"/>
  <c r="F137" i="52"/>
  <c r="E84" i="52"/>
  <c r="H86" i="52"/>
  <c r="I86" i="52" s="1"/>
  <c r="H117" i="52"/>
  <c r="I117" i="52" s="1"/>
  <c r="E117" i="52"/>
  <c r="B117" i="52"/>
  <c r="A117" i="52"/>
  <c r="H83" i="52"/>
  <c r="I83" i="52" s="1"/>
  <c r="H82" i="52"/>
  <c r="I82" i="52" s="1"/>
  <c r="H81" i="52"/>
  <c r="I81" i="52" s="1"/>
  <c r="H80" i="52"/>
  <c r="I80" i="52" s="1"/>
  <c r="H79" i="52"/>
  <c r="I79" i="52" s="1"/>
  <c r="H78" i="52"/>
  <c r="I78" i="52" s="1"/>
  <c r="H77" i="52"/>
  <c r="I77" i="52" s="1"/>
  <c r="H76" i="52"/>
  <c r="I76" i="52" s="1"/>
  <c r="F111" i="53" l="1"/>
  <c r="F101" i="53"/>
  <c r="F102" i="53" s="1"/>
  <c r="F103" i="53" s="1"/>
  <c r="F106" i="53" s="1"/>
  <c r="F98" i="53"/>
  <c r="E78" i="53"/>
  <c r="H75" i="52"/>
  <c r="I75" i="52" s="1"/>
  <c r="H26" i="52"/>
  <c r="I26" i="52" s="1"/>
  <c r="B26" i="52"/>
  <c r="A26" i="52"/>
  <c r="H74" i="52"/>
  <c r="I74" i="52" s="1"/>
  <c r="H73" i="52"/>
  <c r="I73" i="52" s="1"/>
  <c r="H72" i="52"/>
  <c r="I72" i="52" s="1"/>
  <c r="H71" i="52"/>
  <c r="I71" i="52" s="1"/>
  <c r="H70" i="52"/>
  <c r="I70" i="52" s="1"/>
  <c r="H69" i="52"/>
  <c r="I69" i="52" s="1"/>
  <c r="H68" i="52"/>
  <c r="I68" i="52" s="1"/>
  <c r="H67" i="52"/>
  <c r="I67" i="52" s="1"/>
  <c r="H66" i="52"/>
  <c r="I66" i="52" s="1"/>
  <c r="F112" i="53" l="1"/>
  <c r="E79" i="53"/>
  <c r="E80" i="53" s="1"/>
  <c r="E107" i="52"/>
  <c r="H109" i="52"/>
  <c r="I109" i="52" s="1"/>
  <c r="B109" i="52"/>
  <c r="A109" i="52"/>
  <c r="E101" i="52" l="1"/>
  <c r="H101" i="52"/>
  <c r="I101" i="52" s="1"/>
  <c r="B101" i="52"/>
  <c r="A101" i="52"/>
  <c r="E100" i="52"/>
  <c r="H100" i="52"/>
  <c r="I100" i="52" s="1"/>
  <c r="B100" i="52"/>
  <c r="A100" i="52"/>
  <c r="H23" i="52"/>
  <c r="I23" i="52" s="1"/>
  <c r="B23" i="52"/>
  <c r="A23" i="52"/>
  <c r="H59" i="52"/>
  <c r="I59" i="52" s="1"/>
  <c r="H58" i="52"/>
  <c r="I58" i="52" s="1"/>
  <c r="H57" i="52"/>
  <c r="I57" i="52" s="1"/>
  <c r="H56" i="52"/>
  <c r="I56" i="52" s="1"/>
  <c r="H55" i="52"/>
  <c r="I55" i="52" s="1"/>
  <c r="H54" i="52"/>
  <c r="I54" i="52" s="1"/>
  <c r="E116" i="52"/>
  <c r="H116" i="52"/>
  <c r="I116" i="52" s="1"/>
  <c r="B116" i="52"/>
  <c r="A116" i="52"/>
  <c r="E115" i="52"/>
  <c r="E110" i="52" s="1"/>
  <c r="H115" i="52"/>
  <c r="I115" i="52" s="1"/>
  <c r="B115" i="52"/>
  <c r="A115" i="52"/>
  <c r="H114" i="52"/>
  <c r="I114" i="52" s="1"/>
  <c r="B114" i="52"/>
  <c r="A114" i="52"/>
  <c r="H113" i="52"/>
  <c r="I113" i="52" s="1"/>
  <c r="B113" i="52"/>
  <c r="A113" i="52"/>
  <c r="H112" i="52"/>
  <c r="I112" i="52" s="1"/>
  <c r="B112" i="52"/>
  <c r="A112" i="52"/>
  <c r="E99" i="52"/>
  <c r="H99" i="52"/>
  <c r="I99" i="52" s="1"/>
  <c r="B99" i="52"/>
  <c r="A99" i="52"/>
  <c r="H87" i="52"/>
  <c r="I87" i="52" s="1"/>
  <c r="K16" i="52"/>
  <c r="H65" i="52"/>
  <c r="I65" i="52" s="1"/>
  <c r="H64" i="52"/>
  <c r="I64" i="52" s="1"/>
  <c r="H63" i="52"/>
  <c r="I63" i="52" s="1"/>
  <c r="H62" i="52"/>
  <c r="I62" i="52" s="1"/>
  <c r="H61" i="52"/>
  <c r="I61" i="52" s="1"/>
  <c r="H60" i="52"/>
  <c r="I60" i="52" s="1"/>
  <c r="H42" i="52" l="1"/>
  <c r="I42" i="52" s="1"/>
  <c r="E42" i="52"/>
  <c r="H41" i="52"/>
  <c r="I41" i="52" s="1"/>
  <c r="E41" i="52"/>
  <c r="H40" i="52"/>
  <c r="I40" i="52" s="1"/>
  <c r="E40" i="52"/>
  <c r="H39" i="52"/>
  <c r="I39" i="52" s="1"/>
  <c r="E39" i="52"/>
  <c r="H38" i="52"/>
  <c r="I38" i="52" s="1"/>
  <c r="E38" i="52"/>
  <c r="H37" i="52"/>
  <c r="I37" i="52" s="1"/>
  <c r="E37" i="52"/>
  <c r="H36" i="52"/>
  <c r="I36" i="52" s="1"/>
  <c r="E36" i="52"/>
  <c r="H35" i="52"/>
  <c r="I35" i="52" s="1"/>
  <c r="E35" i="52"/>
  <c r="H34" i="52"/>
  <c r="I34" i="52" s="1"/>
  <c r="E34" i="52"/>
  <c r="H33" i="52"/>
  <c r="I33" i="52" s="1"/>
  <c r="E33" i="52"/>
  <c r="H32" i="52"/>
  <c r="I32" i="52" s="1"/>
  <c r="E32" i="52"/>
  <c r="E98" i="52"/>
  <c r="H98" i="52"/>
  <c r="I98" i="52" s="1"/>
  <c r="B98" i="52"/>
  <c r="A98" i="52"/>
  <c r="E104" i="52"/>
  <c r="E96" i="52"/>
  <c r="H92" i="52"/>
  <c r="I92" i="52" s="1"/>
  <c r="E31" i="52" l="1"/>
  <c r="E30" i="52"/>
  <c r="E29" i="52"/>
  <c r="E28" i="52"/>
  <c r="F135" i="52" l="1"/>
  <c r="F134" i="52"/>
  <c r="F132" i="52"/>
  <c r="F131" i="52"/>
  <c r="H111" i="52"/>
  <c r="I111" i="52" s="1"/>
  <c r="B111" i="52"/>
  <c r="A111" i="52"/>
  <c r="H108" i="52"/>
  <c r="I108" i="52" s="1"/>
  <c r="B108" i="52"/>
  <c r="A108" i="52"/>
  <c r="H104" i="52"/>
  <c r="I104" i="52" s="1"/>
  <c r="B104" i="52"/>
  <c r="A104" i="52"/>
  <c r="H106" i="52"/>
  <c r="I106" i="52" s="1"/>
  <c r="B106" i="52"/>
  <c r="A106" i="52"/>
  <c r="H105" i="52"/>
  <c r="I105" i="52" s="1"/>
  <c r="B105" i="52"/>
  <c r="A105" i="52"/>
  <c r="H102" i="52"/>
  <c r="I102" i="52" s="1"/>
  <c r="E102" i="52"/>
  <c r="E95" i="52" s="1"/>
  <c r="B102" i="52"/>
  <c r="A102" i="52"/>
  <c r="H97" i="52"/>
  <c r="I97" i="52" s="1"/>
  <c r="B97" i="52"/>
  <c r="A97" i="52"/>
  <c r="H96" i="52"/>
  <c r="I96" i="52" s="1"/>
  <c r="B96" i="52"/>
  <c r="A96" i="52"/>
  <c r="H94" i="52"/>
  <c r="I94" i="52" s="1"/>
  <c r="B94" i="52"/>
  <c r="A94" i="52"/>
  <c r="E93" i="52"/>
  <c r="B92" i="52"/>
  <c r="A92" i="52"/>
  <c r="E91" i="52"/>
  <c r="H90" i="52"/>
  <c r="I90" i="52" s="1"/>
  <c r="B90" i="52"/>
  <c r="A90" i="52"/>
  <c r="H89" i="52"/>
  <c r="I89" i="52" s="1"/>
  <c r="B89" i="52"/>
  <c r="A89" i="52"/>
  <c r="H85" i="52"/>
  <c r="I85" i="52" s="1"/>
  <c r="H53" i="52"/>
  <c r="I53" i="52" s="1"/>
  <c r="H52" i="52"/>
  <c r="I52" i="52" s="1"/>
  <c r="H51" i="52"/>
  <c r="I51" i="52" s="1"/>
  <c r="H50" i="52"/>
  <c r="I50" i="52" s="1"/>
  <c r="H49" i="52"/>
  <c r="I49" i="52" s="1"/>
  <c r="H48" i="52"/>
  <c r="I48" i="52" s="1"/>
  <c r="H47" i="52"/>
  <c r="I47" i="52" s="1"/>
  <c r="H46" i="52"/>
  <c r="I46" i="52" s="1"/>
  <c r="H45" i="52"/>
  <c r="I45" i="52" s="1"/>
  <c r="H44" i="52"/>
  <c r="I44" i="52" s="1"/>
  <c r="H43" i="52"/>
  <c r="I43" i="52" s="1"/>
  <c r="H30" i="52"/>
  <c r="I30" i="52" s="1"/>
  <c r="B30" i="52"/>
  <c r="A30" i="52"/>
  <c r="H29" i="52"/>
  <c r="I29" i="52" s="1"/>
  <c r="B29" i="52"/>
  <c r="A29" i="52"/>
  <c r="H28" i="52"/>
  <c r="I28" i="52" s="1"/>
  <c r="E27" i="52"/>
  <c r="B28" i="52"/>
  <c r="A28" i="52"/>
  <c r="H27" i="52"/>
  <c r="H25" i="52"/>
  <c r="I25" i="52" s="1"/>
  <c r="B25" i="52"/>
  <c r="A25" i="52"/>
  <c r="H24" i="52"/>
  <c r="I24" i="52" s="1"/>
  <c r="B24" i="52"/>
  <c r="A24" i="52"/>
  <c r="H22" i="52"/>
  <c r="H21" i="52"/>
  <c r="I21" i="52" s="1"/>
  <c r="B21" i="52"/>
  <c r="A21" i="52"/>
  <c r="H20" i="52"/>
  <c r="I20" i="52" s="1"/>
  <c r="E20" i="52"/>
  <c r="H19" i="52"/>
  <c r="I19" i="52" s="1"/>
  <c r="B19" i="52"/>
  <c r="A19" i="52"/>
  <c r="H18" i="52"/>
  <c r="I18" i="52" s="1"/>
  <c r="B18" i="52"/>
  <c r="A18" i="52"/>
  <c r="E17" i="52"/>
  <c r="H16" i="52"/>
  <c r="I16" i="52" s="1"/>
  <c r="B16" i="52"/>
  <c r="A16" i="52"/>
  <c r="E15" i="52"/>
  <c r="H14" i="52"/>
  <c r="I14" i="52" s="1"/>
  <c r="B14" i="52"/>
  <c r="A14" i="52"/>
  <c r="E13" i="52"/>
  <c r="E6" i="52"/>
  <c r="E7" i="51"/>
  <c r="F147" i="51"/>
  <c r="F148" i="51"/>
  <c r="F135" i="51"/>
  <c r="H33" i="51"/>
  <c r="I33" i="51" s="1"/>
  <c r="B33" i="51"/>
  <c r="A33" i="51"/>
  <c r="H32" i="51"/>
  <c r="I32" i="51" s="1"/>
  <c r="B32" i="51"/>
  <c r="A32" i="51"/>
  <c r="H31" i="51"/>
  <c r="I31" i="51" s="1"/>
  <c r="E31" i="51"/>
  <c r="B31" i="51"/>
  <c r="A31" i="51"/>
  <c r="E85" i="51"/>
  <c r="H89" i="51"/>
  <c r="I89" i="51" s="1"/>
  <c r="H109" i="51"/>
  <c r="I109" i="51" s="1"/>
  <c r="E109" i="51"/>
  <c r="B109" i="51"/>
  <c r="A109" i="51"/>
  <c r="E37" i="51"/>
  <c r="H73" i="51"/>
  <c r="I73" i="51" s="1"/>
  <c r="H72" i="51"/>
  <c r="I72" i="51" s="1"/>
  <c r="H71" i="51"/>
  <c r="I71" i="51" s="1"/>
  <c r="H70" i="51"/>
  <c r="I70" i="51" s="1"/>
  <c r="H69" i="51"/>
  <c r="I69" i="51" s="1"/>
  <c r="H68" i="51"/>
  <c r="I68" i="51" s="1"/>
  <c r="H67" i="51"/>
  <c r="I67" i="51" s="1"/>
  <c r="H66" i="51"/>
  <c r="I66" i="51" s="1"/>
  <c r="H65" i="51"/>
  <c r="I65" i="51" s="1"/>
  <c r="H64" i="51"/>
  <c r="I64" i="51" s="1"/>
  <c r="H63" i="51"/>
  <c r="I63" i="51" s="1"/>
  <c r="F150" i="52" l="1"/>
  <c r="E22" i="52"/>
  <c r="F149" i="52"/>
  <c r="F133" i="52"/>
  <c r="F136" i="52"/>
  <c r="E103" i="52"/>
  <c r="E88" i="52"/>
  <c r="E103" i="51"/>
  <c r="H103" i="51"/>
  <c r="I103" i="51" s="1"/>
  <c r="B103" i="51"/>
  <c r="A103" i="51"/>
  <c r="E112" i="51"/>
  <c r="H113" i="51"/>
  <c r="I113" i="51" s="1"/>
  <c r="B113" i="51"/>
  <c r="A113" i="51"/>
  <c r="H84" i="51"/>
  <c r="I84" i="51" s="1"/>
  <c r="H83" i="51"/>
  <c r="I83" i="51" s="1"/>
  <c r="H82" i="51"/>
  <c r="I82" i="51" s="1"/>
  <c r="H81" i="51"/>
  <c r="I81" i="51" s="1"/>
  <c r="H80" i="51"/>
  <c r="I80" i="51" s="1"/>
  <c r="H79" i="51"/>
  <c r="I79" i="51" s="1"/>
  <c r="H78" i="51"/>
  <c r="I78" i="51" s="1"/>
  <c r="H77" i="51"/>
  <c r="I77" i="51" s="1"/>
  <c r="H76" i="51"/>
  <c r="I76" i="51" s="1"/>
  <c r="H75" i="51"/>
  <c r="I75" i="51" s="1"/>
  <c r="H74" i="51"/>
  <c r="I74" i="51" s="1"/>
  <c r="F141" i="52" l="1"/>
  <c r="F142" i="52" s="1"/>
  <c r="F138" i="52"/>
  <c r="E118" i="52"/>
  <c r="F151" i="52"/>
  <c r="E17" i="51"/>
  <c r="E119" i="52" l="1"/>
  <c r="E120" i="52" s="1"/>
  <c r="F143" i="52"/>
  <c r="F146" i="52" s="1"/>
  <c r="E4" i="53" s="1"/>
  <c r="E8" i="53" s="1"/>
  <c r="E84" i="53" s="1"/>
  <c r="E85" i="53" s="1"/>
  <c r="F152" i="52"/>
  <c r="H54" i="51"/>
  <c r="I54" i="51" s="1"/>
  <c r="H55" i="51"/>
  <c r="I55" i="51" s="1"/>
  <c r="H53" i="51"/>
  <c r="I53" i="51" s="1"/>
  <c r="H52" i="51"/>
  <c r="I52" i="51" s="1"/>
  <c r="H51" i="51"/>
  <c r="I51" i="51" s="1"/>
  <c r="H50" i="51"/>
  <c r="I50" i="51" s="1"/>
  <c r="H49" i="51"/>
  <c r="I49" i="51" s="1"/>
  <c r="H61" i="51"/>
  <c r="I61" i="51" s="1"/>
  <c r="E102" i="51"/>
  <c r="H102" i="51"/>
  <c r="I102" i="51" s="1"/>
  <c r="B102" i="51"/>
  <c r="A102" i="51"/>
  <c r="H62" i="51" l="1"/>
  <c r="I62" i="51" s="1"/>
  <c r="H60" i="51"/>
  <c r="I60" i="51" s="1"/>
  <c r="H59" i="51"/>
  <c r="I59" i="51" s="1"/>
  <c r="H58" i="51"/>
  <c r="I58" i="51" s="1"/>
  <c r="H57" i="51"/>
  <c r="I57" i="51" s="1"/>
  <c r="E29" i="51"/>
  <c r="E28" i="51"/>
  <c r="E27" i="51"/>
  <c r="E26" i="51"/>
  <c r="H90" i="51"/>
  <c r="I90" i="51" s="1"/>
  <c r="H88" i="51"/>
  <c r="I88" i="51" s="1"/>
  <c r="H35" i="51"/>
  <c r="I35" i="51" s="1"/>
  <c r="B35" i="51"/>
  <c r="A35" i="51"/>
  <c r="H36" i="51"/>
  <c r="I36" i="51" s="1"/>
  <c r="B36" i="51"/>
  <c r="A36" i="51"/>
  <c r="H86" i="51"/>
  <c r="I86" i="51" s="1"/>
  <c r="H38" i="51"/>
  <c r="I38" i="51" s="1"/>
  <c r="H39" i="51"/>
  <c r="I39" i="51" s="1"/>
  <c r="H40" i="51"/>
  <c r="I40" i="51" s="1"/>
  <c r="H41" i="51"/>
  <c r="I41" i="51" s="1"/>
  <c r="H42" i="51"/>
  <c r="I42" i="51" s="1"/>
  <c r="H43" i="51"/>
  <c r="I43" i="51" s="1"/>
  <c r="H44" i="51"/>
  <c r="I44" i="51" s="1"/>
  <c r="H45" i="51"/>
  <c r="I45" i="51" s="1"/>
  <c r="H46" i="51"/>
  <c r="I46" i="51" s="1"/>
  <c r="H47" i="51"/>
  <c r="I47" i="51" s="1"/>
  <c r="H48" i="51"/>
  <c r="I48" i="51" s="1"/>
  <c r="H56" i="51"/>
  <c r="I56" i="51" s="1"/>
  <c r="F156" i="50"/>
  <c r="F157" i="50" l="1"/>
  <c r="F144" i="50"/>
  <c r="F145" i="50" s="1"/>
  <c r="F131" i="51"/>
  <c r="F130" i="51"/>
  <c r="F129" i="51"/>
  <c r="F137" i="50"/>
  <c r="F128" i="51"/>
  <c r="H111" i="51"/>
  <c r="I111" i="51" s="1"/>
  <c r="H108" i="51"/>
  <c r="I108" i="51" s="1"/>
  <c r="E106" i="51"/>
  <c r="E105" i="51" s="1"/>
  <c r="E101" i="51"/>
  <c r="E100" i="51"/>
  <c r="E99" i="51"/>
  <c r="E93" i="51"/>
  <c r="E92" i="51"/>
  <c r="H87" i="51"/>
  <c r="I87" i="51" s="1"/>
  <c r="H29" i="51"/>
  <c r="I29" i="51" s="1"/>
  <c r="H25" i="51"/>
  <c r="I25" i="51" s="1"/>
  <c r="H28" i="51"/>
  <c r="I28" i="51" s="1"/>
  <c r="H27" i="51"/>
  <c r="I27" i="51" s="1"/>
  <c r="H26" i="51"/>
  <c r="I26" i="51" s="1"/>
  <c r="F148" i="50" l="1"/>
  <c r="F132" i="51"/>
  <c r="H114" i="51"/>
  <c r="I114" i="51" s="1"/>
  <c r="B114" i="51"/>
  <c r="A114" i="51"/>
  <c r="B111" i="51"/>
  <c r="A111" i="51"/>
  <c r="E110" i="51"/>
  <c r="H106" i="51"/>
  <c r="I106" i="51" s="1"/>
  <c r="B106" i="51"/>
  <c r="A106" i="51"/>
  <c r="B108" i="51"/>
  <c r="A108" i="51"/>
  <c r="H107" i="51"/>
  <c r="I107" i="51" s="1"/>
  <c r="B107" i="51"/>
  <c r="A107" i="51"/>
  <c r="H101" i="51"/>
  <c r="I101" i="51" s="1"/>
  <c r="B101" i="51"/>
  <c r="A101" i="51"/>
  <c r="H100" i="51"/>
  <c r="I100" i="51" s="1"/>
  <c r="B100" i="51"/>
  <c r="A100" i="51"/>
  <c r="H99" i="51"/>
  <c r="I99" i="51" s="1"/>
  <c r="B99" i="51"/>
  <c r="A99" i="51"/>
  <c r="H104" i="51"/>
  <c r="I104" i="51" s="1"/>
  <c r="E104" i="51"/>
  <c r="F133" i="51" s="1"/>
  <c r="B104" i="51"/>
  <c r="A104" i="51"/>
  <c r="H97" i="51"/>
  <c r="I97" i="51" s="1"/>
  <c r="B97" i="51"/>
  <c r="A97" i="51"/>
  <c r="E96" i="51"/>
  <c r="H95" i="51"/>
  <c r="I95" i="51" s="1"/>
  <c r="E94" i="51"/>
  <c r="B95" i="51"/>
  <c r="A95" i="51"/>
  <c r="H93" i="51"/>
  <c r="I93" i="51" s="1"/>
  <c r="B93" i="51"/>
  <c r="A93" i="51"/>
  <c r="H92" i="51"/>
  <c r="I92" i="51" s="1"/>
  <c r="B92" i="51"/>
  <c r="A92" i="51"/>
  <c r="H34" i="51"/>
  <c r="I34" i="51" s="1"/>
  <c r="E34" i="51"/>
  <c r="B34" i="51"/>
  <c r="A34" i="51"/>
  <c r="H30" i="51"/>
  <c r="B29" i="51"/>
  <c r="A29" i="51"/>
  <c r="B25" i="51"/>
  <c r="A25" i="51"/>
  <c r="B28" i="51"/>
  <c r="A28" i="51"/>
  <c r="B27" i="51"/>
  <c r="A27" i="51"/>
  <c r="B26" i="51"/>
  <c r="A26" i="51"/>
  <c r="H24" i="51"/>
  <c r="I24" i="51" s="1"/>
  <c r="B24" i="51"/>
  <c r="A24" i="51"/>
  <c r="H23" i="51"/>
  <c r="E23" i="51"/>
  <c r="H22" i="51"/>
  <c r="I22" i="51" s="1"/>
  <c r="B22" i="51"/>
  <c r="A22" i="51"/>
  <c r="H21" i="51"/>
  <c r="I21" i="51" s="1"/>
  <c r="B21" i="51"/>
  <c r="A21" i="51"/>
  <c r="H20" i="51"/>
  <c r="I20" i="51" s="1"/>
  <c r="E20" i="51"/>
  <c r="H19" i="51"/>
  <c r="I19" i="51" s="1"/>
  <c r="B19" i="51"/>
  <c r="A19" i="51"/>
  <c r="H18" i="51"/>
  <c r="I18" i="51" s="1"/>
  <c r="B18" i="51"/>
  <c r="A18" i="51"/>
  <c r="H16" i="51"/>
  <c r="I16" i="51" s="1"/>
  <c r="B16" i="51"/>
  <c r="A16" i="51"/>
  <c r="E15" i="51"/>
  <c r="H14" i="51"/>
  <c r="I14" i="51" s="1"/>
  <c r="B14" i="51"/>
  <c r="A14" i="51"/>
  <c r="E13" i="51"/>
  <c r="E6" i="51"/>
  <c r="E7" i="50"/>
  <c r="E101" i="50"/>
  <c r="E41" i="50"/>
  <c r="H82" i="50"/>
  <c r="I82" i="50" s="1"/>
  <c r="H81" i="50"/>
  <c r="I81" i="50" s="1"/>
  <c r="H80" i="50"/>
  <c r="I80" i="50" s="1"/>
  <c r="H79" i="50"/>
  <c r="I79" i="50" s="1"/>
  <c r="H78" i="50"/>
  <c r="I78" i="50" s="1"/>
  <c r="H77" i="50"/>
  <c r="I77" i="50" s="1"/>
  <c r="H76" i="50"/>
  <c r="I76" i="50" s="1"/>
  <c r="H75" i="50"/>
  <c r="I75" i="50" s="1"/>
  <c r="H74" i="50"/>
  <c r="I74" i="50" s="1"/>
  <c r="E99" i="50"/>
  <c r="E117" i="50"/>
  <c r="H117" i="50"/>
  <c r="I117" i="50" s="1"/>
  <c r="B117" i="50"/>
  <c r="A117" i="50"/>
  <c r="H90" i="50"/>
  <c r="I90" i="50" s="1"/>
  <c r="H99" i="50"/>
  <c r="I99" i="50" s="1"/>
  <c r="B99" i="50"/>
  <c r="A99" i="50"/>
  <c r="F134" i="51" l="1"/>
  <c r="F139" i="51" s="1"/>
  <c r="E30" i="51"/>
  <c r="E98" i="51"/>
  <c r="E91" i="51"/>
  <c r="E98" i="50"/>
  <c r="E95" i="50" s="1"/>
  <c r="H98" i="50"/>
  <c r="I98" i="50" s="1"/>
  <c r="B98" i="50"/>
  <c r="A98" i="50"/>
  <c r="H89" i="50"/>
  <c r="I89" i="50" s="1"/>
  <c r="H26" i="50"/>
  <c r="I26" i="50" s="1"/>
  <c r="B26" i="50"/>
  <c r="A26" i="50"/>
  <c r="H27" i="50"/>
  <c r="I27" i="50" s="1"/>
  <c r="B27" i="50"/>
  <c r="A27" i="50"/>
  <c r="H28" i="50"/>
  <c r="I28" i="50" s="1"/>
  <c r="B28" i="50"/>
  <c r="A28" i="50"/>
  <c r="H116" i="50"/>
  <c r="I116" i="50" s="1"/>
  <c r="B116" i="50"/>
  <c r="A116" i="50"/>
  <c r="H110" i="50"/>
  <c r="I110" i="50" s="1"/>
  <c r="E110" i="50"/>
  <c r="B110" i="50"/>
  <c r="A110" i="50"/>
  <c r="H91" i="50"/>
  <c r="I91" i="50" s="1"/>
  <c r="H88" i="50"/>
  <c r="I88" i="50" s="1"/>
  <c r="H87" i="50"/>
  <c r="I87" i="50" s="1"/>
  <c r="H86" i="50"/>
  <c r="I86" i="50" s="1"/>
  <c r="H85" i="50"/>
  <c r="I85" i="50" s="1"/>
  <c r="H84" i="50"/>
  <c r="I84" i="50" s="1"/>
  <c r="H83" i="50"/>
  <c r="I83" i="50" s="1"/>
  <c r="H73" i="50"/>
  <c r="I73" i="50" s="1"/>
  <c r="H72" i="50"/>
  <c r="I72" i="50" s="1"/>
  <c r="H71" i="50"/>
  <c r="I71" i="50" s="1"/>
  <c r="H70" i="50"/>
  <c r="I70" i="50" s="1"/>
  <c r="H69" i="50"/>
  <c r="I69" i="50" s="1"/>
  <c r="H68" i="50"/>
  <c r="I68" i="50" s="1"/>
  <c r="H67" i="50"/>
  <c r="I67" i="50" s="1"/>
  <c r="H66" i="50"/>
  <c r="I66" i="50" s="1"/>
  <c r="H65" i="50"/>
  <c r="I65" i="50" s="1"/>
  <c r="H64" i="50"/>
  <c r="I64" i="50" s="1"/>
  <c r="H63" i="50"/>
  <c r="I63" i="50" s="1"/>
  <c r="H62" i="50"/>
  <c r="I62" i="50" s="1"/>
  <c r="H61" i="50"/>
  <c r="I61" i="50" s="1"/>
  <c r="H60" i="50"/>
  <c r="I60" i="50" s="1"/>
  <c r="E118" i="50"/>
  <c r="E109" i="50"/>
  <c r="H109" i="50"/>
  <c r="I109" i="50" s="1"/>
  <c r="B109" i="50"/>
  <c r="A109" i="50"/>
  <c r="F136" i="51" l="1"/>
  <c r="F140" i="51"/>
  <c r="F141" i="51" s="1"/>
  <c r="E115" i="51"/>
  <c r="E23" i="50"/>
  <c r="H25" i="50"/>
  <c r="I25" i="50" s="1"/>
  <c r="B25" i="50"/>
  <c r="A25" i="50"/>
  <c r="H24" i="50"/>
  <c r="I24" i="50" s="1"/>
  <c r="B24" i="50"/>
  <c r="A24" i="50"/>
  <c r="F144" i="51" l="1"/>
  <c r="E116" i="51"/>
  <c r="E117" i="51" s="1"/>
  <c r="H58" i="50"/>
  <c r="I58" i="50" s="1"/>
  <c r="E108" i="50"/>
  <c r="H108" i="50"/>
  <c r="I108" i="50" s="1"/>
  <c r="B108" i="50"/>
  <c r="A108" i="50"/>
  <c r="H59" i="50"/>
  <c r="I59" i="50" s="1"/>
  <c r="H57" i="50"/>
  <c r="I57" i="50" s="1"/>
  <c r="H56" i="50"/>
  <c r="I56" i="50" s="1"/>
  <c r="H55" i="50"/>
  <c r="I55" i="50" s="1"/>
  <c r="E107" i="50"/>
  <c r="H107" i="50"/>
  <c r="I107" i="50" s="1"/>
  <c r="B107" i="50"/>
  <c r="A107" i="50"/>
  <c r="H119" i="50"/>
  <c r="I119" i="50" s="1"/>
  <c r="B119" i="50"/>
  <c r="A119" i="50"/>
  <c r="H53" i="50"/>
  <c r="I53" i="50" s="1"/>
  <c r="H52" i="50"/>
  <c r="I52" i="50" s="1"/>
  <c r="H51" i="50"/>
  <c r="I51" i="50" s="1"/>
  <c r="H50" i="50"/>
  <c r="I50" i="50" s="1"/>
  <c r="H49" i="50"/>
  <c r="I49" i="50" s="1"/>
  <c r="H48" i="50"/>
  <c r="I48" i="50" s="1"/>
  <c r="H47" i="50"/>
  <c r="I47" i="50" s="1"/>
  <c r="H40" i="50" l="1"/>
  <c r="I40" i="50" s="1"/>
  <c r="B40" i="50"/>
  <c r="A40" i="50"/>
  <c r="E120" i="50"/>
  <c r="H122" i="50"/>
  <c r="I122" i="50" s="1"/>
  <c r="B122" i="50"/>
  <c r="A122" i="50"/>
  <c r="H121" i="50"/>
  <c r="I121" i="50" s="1"/>
  <c r="B121" i="50"/>
  <c r="A121" i="50"/>
  <c r="H46" i="50"/>
  <c r="I46" i="50" s="1"/>
  <c r="H45" i="50"/>
  <c r="I45" i="50" s="1"/>
  <c r="H44" i="50"/>
  <c r="I44" i="50" s="1"/>
  <c r="H43" i="50"/>
  <c r="I43" i="50" s="1"/>
  <c r="F139" i="50"/>
  <c r="E112" i="50"/>
  <c r="E111" i="50" s="1"/>
  <c r="H115" i="50"/>
  <c r="I115" i="50" s="1"/>
  <c r="H114" i="50"/>
  <c r="I114" i="50" s="1"/>
  <c r="E105" i="50"/>
  <c r="H97" i="50"/>
  <c r="I97" i="50" s="1"/>
  <c r="H94" i="50"/>
  <c r="I94" i="50" s="1"/>
  <c r="E93" i="50"/>
  <c r="E92" i="50" s="1"/>
  <c r="E39" i="50"/>
  <c r="E38" i="50"/>
  <c r="E37" i="50"/>
  <c r="E36" i="50"/>
  <c r="E35" i="50"/>
  <c r="E34" i="50"/>
  <c r="E33" i="50"/>
  <c r="E32" i="50"/>
  <c r="E31" i="50"/>
  <c r="F140" i="50" l="1"/>
  <c r="E30" i="50"/>
  <c r="F142" i="50"/>
  <c r="F141" i="50"/>
  <c r="F138" i="50"/>
  <c r="H112" i="50"/>
  <c r="I112" i="50" s="1"/>
  <c r="B112" i="50"/>
  <c r="A112" i="50"/>
  <c r="B115" i="50"/>
  <c r="A115" i="50"/>
  <c r="B114" i="50"/>
  <c r="A114" i="50"/>
  <c r="H113" i="50"/>
  <c r="I113" i="50" s="1"/>
  <c r="B113" i="50"/>
  <c r="A113" i="50"/>
  <c r="H105" i="50"/>
  <c r="I105" i="50" s="1"/>
  <c r="B105" i="50"/>
  <c r="A105" i="50"/>
  <c r="H106" i="50"/>
  <c r="I106" i="50" s="1"/>
  <c r="E106" i="50"/>
  <c r="E104" i="50" s="1"/>
  <c r="B106" i="50"/>
  <c r="A106" i="50"/>
  <c r="H103" i="50"/>
  <c r="I103" i="50" s="1"/>
  <c r="B103" i="50"/>
  <c r="A103" i="50"/>
  <c r="E102" i="50"/>
  <c r="H101" i="50"/>
  <c r="I101" i="50" s="1"/>
  <c r="B101" i="50"/>
  <c r="A101" i="50"/>
  <c r="E100" i="50"/>
  <c r="B97" i="50"/>
  <c r="A97" i="50"/>
  <c r="H96" i="50"/>
  <c r="I96" i="50" s="1"/>
  <c r="B96" i="50"/>
  <c r="A96" i="50"/>
  <c r="H54" i="50"/>
  <c r="I54" i="50" s="1"/>
  <c r="H42" i="50"/>
  <c r="I42" i="50" s="1"/>
  <c r="H39" i="50"/>
  <c r="I39" i="50" s="1"/>
  <c r="B39" i="50"/>
  <c r="A39" i="50"/>
  <c r="H38" i="50"/>
  <c r="I38" i="50" s="1"/>
  <c r="B38" i="50"/>
  <c r="A38" i="50"/>
  <c r="H37" i="50"/>
  <c r="I37" i="50" s="1"/>
  <c r="B37" i="50"/>
  <c r="A37" i="50"/>
  <c r="H36" i="50"/>
  <c r="I36" i="50" s="1"/>
  <c r="B36" i="50"/>
  <c r="A36" i="50"/>
  <c r="H35" i="50"/>
  <c r="I35" i="50" s="1"/>
  <c r="B35" i="50"/>
  <c r="A35" i="50"/>
  <c r="H34" i="50"/>
  <c r="I34" i="50" s="1"/>
  <c r="B34" i="50"/>
  <c r="A34" i="50"/>
  <c r="H33" i="50"/>
  <c r="I33" i="50" s="1"/>
  <c r="B33" i="50"/>
  <c r="A33" i="50"/>
  <c r="H32" i="50"/>
  <c r="I32" i="50" s="1"/>
  <c r="B32" i="50"/>
  <c r="A32" i="50"/>
  <c r="H31" i="50"/>
  <c r="I31" i="50" s="1"/>
  <c r="B31" i="50"/>
  <c r="A31" i="50"/>
  <c r="H30" i="50"/>
  <c r="H29" i="50"/>
  <c r="I29" i="50" s="1"/>
  <c r="B29" i="50"/>
  <c r="A29" i="50"/>
  <c r="H23" i="50"/>
  <c r="H22" i="50"/>
  <c r="I22" i="50" s="1"/>
  <c r="B22" i="50"/>
  <c r="A22" i="50"/>
  <c r="H21" i="50"/>
  <c r="I21" i="50" s="1"/>
  <c r="B21" i="50"/>
  <c r="A21" i="50"/>
  <c r="H20" i="50"/>
  <c r="I20" i="50" s="1"/>
  <c r="E20" i="50"/>
  <c r="H19" i="50"/>
  <c r="I19" i="50" s="1"/>
  <c r="B19" i="50"/>
  <c r="A19" i="50"/>
  <c r="H18" i="50"/>
  <c r="I18" i="50" s="1"/>
  <c r="B18" i="50"/>
  <c r="A18" i="50"/>
  <c r="E17" i="50"/>
  <c r="H16" i="50"/>
  <c r="I16" i="50" s="1"/>
  <c r="B16" i="50"/>
  <c r="A16" i="50"/>
  <c r="E15" i="50"/>
  <c r="H14" i="50"/>
  <c r="I14" i="50" s="1"/>
  <c r="B14" i="50"/>
  <c r="A14" i="50"/>
  <c r="E13" i="50"/>
  <c r="E6" i="50"/>
  <c r="F141" i="48"/>
  <c r="F142" i="48"/>
  <c r="F129" i="48"/>
  <c r="E7" i="48"/>
  <c r="H19" i="48"/>
  <c r="I19" i="48" s="1"/>
  <c r="B19" i="48"/>
  <c r="A19" i="48"/>
  <c r="H103" i="48"/>
  <c r="I103" i="48" s="1"/>
  <c r="B103" i="48"/>
  <c r="A103" i="48"/>
  <c r="E25" i="48"/>
  <c r="H28" i="48"/>
  <c r="I28" i="48" s="1"/>
  <c r="E94" i="48"/>
  <c r="F143" i="50" l="1"/>
  <c r="H99" i="48"/>
  <c r="I99" i="48" s="1"/>
  <c r="B99" i="48"/>
  <c r="A99" i="48"/>
  <c r="H86" i="48"/>
  <c r="I86" i="48" s="1"/>
  <c r="B86" i="48"/>
  <c r="A86" i="48"/>
  <c r="H66" i="48"/>
  <c r="I66" i="48" s="1"/>
  <c r="H65" i="48"/>
  <c r="I65" i="48" s="1"/>
  <c r="H64" i="48"/>
  <c r="I64" i="48" s="1"/>
  <c r="H63" i="48"/>
  <c r="I63" i="48" s="1"/>
  <c r="H62" i="48"/>
  <c r="I62" i="48" s="1"/>
  <c r="H61" i="48"/>
  <c r="I61" i="48" s="1"/>
  <c r="H60" i="48"/>
  <c r="I60" i="48" s="1"/>
  <c r="H59" i="48"/>
  <c r="I59" i="48" s="1"/>
  <c r="H58" i="48"/>
  <c r="I58" i="48" s="1"/>
  <c r="H57" i="48"/>
  <c r="I57" i="48" s="1"/>
  <c r="H56" i="48"/>
  <c r="I56" i="48" s="1"/>
  <c r="H55" i="48"/>
  <c r="I55" i="48" s="1"/>
  <c r="H54" i="48"/>
  <c r="I54" i="48" s="1"/>
  <c r="H53" i="48"/>
  <c r="I53" i="48" s="1"/>
  <c r="H52" i="48"/>
  <c r="I52" i="48" s="1"/>
  <c r="H51" i="48"/>
  <c r="I51" i="48" s="1"/>
  <c r="H50" i="48"/>
  <c r="I50" i="48" s="1"/>
  <c r="H49" i="48"/>
  <c r="I49" i="48" s="1"/>
  <c r="H48" i="48"/>
  <c r="I48" i="48" s="1"/>
  <c r="H47" i="48"/>
  <c r="I47" i="48" s="1"/>
  <c r="H46" i="48"/>
  <c r="I46" i="48" s="1"/>
  <c r="H45" i="48"/>
  <c r="I45" i="48" s="1"/>
  <c r="H44" i="48"/>
  <c r="I44" i="48" s="1"/>
  <c r="H43" i="48"/>
  <c r="I43" i="48" s="1"/>
  <c r="H42" i="48"/>
  <c r="I42" i="48" s="1"/>
  <c r="H41" i="48"/>
  <c r="I41" i="48" s="1"/>
  <c r="H40" i="48"/>
  <c r="I40" i="48" s="1"/>
  <c r="F149" i="50" l="1"/>
  <c r="F150" i="50" s="1"/>
  <c r="F153" i="50" s="1"/>
  <c r="E123" i="50"/>
  <c r="F158" i="50"/>
  <c r="E105" i="48"/>
  <c r="F159" i="50" l="1"/>
  <c r="E124" i="50"/>
  <c r="E125" i="50" s="1"/>
  <c r="E93" i="48"/>
  <c r="H93" i="48"/>
  <c r="I93" i="48" s="1"/>
  <c r="B93" i="48"/>
  <c r="A93" i="48"/>
  <c r="H102" i="48"/>
  <c r="I102" i="48" s="1"/>
  <c r="B102" i="48"/>
  <c r="A102" i="48"/>
  <c r="F123" i="48"/>
  <c r="E100" i="48"/>
  <c r="H101" i="48"/>
  <c r="I101" i="48" s="1"/>
  <c r="B101" i="48"/>
  <c r="A101" i="48"/>
  <c r="H104" i="48"/>
  <c r="I104" i="48" s="1"/>
  <c r="B104" i="48"/>
  <c r="A104" i="48"/>
  <c r="E20" i="49" l="1"/>
  <c r="E21" i="49"/>
  <c r="E8" i="49"/>
  <c r="F8" i="49" s="1"/>
  <c r="F17" i="49"/>
  <c r="F16" i="49"/>
  <c r="F15" i="49"/>
  <c r="F14" i="49"/>
  <c r="F13" i="49"/>
  <c r="E18" i="49"/>
  <c r="E22" i="49" l="1"/>
  <c r="E24" i="49" s="1"/>
  <c r="F20" i="49"/>
  <c r="F21" i="49" s="1"/>
  <c r="F22" i="49" s="1"/>
  <c r="F24" i="49" s="1"/>
  <c r="F18" i="49"/>
  <c r="H98" i="48"/>
  <c r="I98" i="48" s="1"/>
  <c r="H97" i="48"/>
  <c r="I97" i="48" s="1"/>
  <c r="E91" i="48"/>
  <c r="E90" i="48"/>
  <c r="E89" i="48"/>
  <c r="E88" i="48"/>
  <c r="H92" i="48"/>
  <c r="I92" i="48" s="1"/>
  <c r="E92" i="48"/>
  <c r="B92" i="48"/>
  <c r="A92" i="48"/>
  <c r="E74" i="48"/>
  <c r="E73" i="48" s="1"/>
  <c r="E46" i="48"/>
  <c r="E45" i="48"/>
  <c r="E44" i="48"/>
  <c r="E43" i="48"/>
  <c r="E42" i="48"/>
  <c r="E41" i="48"/>
  <c r="E40" i="48"/>
  <c r="E38" i="48"/>
  <c r="E37" i="48"/>
  <c r="E36" i="48"/>
  <c r="E35" i="48"/>
  <c r="E34" i="48"/>
  <c r="E33" i="48"/>
  <c r="E32" i="48"/>
  <c r="E31" i="48"/>
  <c r="E30" i="48"/>
  <c r="H24" i="48"/>
  <c r="I24" i="48" s="1"/>
  <c r="H23" i="48"/>
  <c r="I23" i="48" s="1"/>
  <c r="B24" i="48"/>
  <c r="A24" i="48"/>
  <c r="B23" i="48"/>
  <c r="A23" i="48"/>
  <c r="E39" i="48" l="1"/>
  <c r="E87" i="48"/>
  <c r="E21" i="48"/>
  <c r="E5" i="48" l="1"/>
  <c r="F127" i="48" l="1"/>
  <c r="F126" i="48"/>
  <c r="F125" i="48"/>
  <c r="F124" i="48"/>
  <c r="F122" i="48"/>
  <c r="H107" i="48"/>
  <c r="I107" i="48" s="1"/>
  <c r="B107" i="48"/>
  <c r="A107" i="48"/>
  <c r="E106" i="48"/>
  <c r="H105" i="48"/>
  <c r="I105" i="48" s="1"/>
  <c r="B105" i="48"/>
  <c r="A105" i="48"/>
  <c r="H96" i="48"/>
  <c r="I96" i="48" s="1"/>
  <c r="B96" i="48"/>
  <c r="A96" i="48"/>
  <c r="B98" i="48"/>
  <c r="A98" i="48"/>
  <c r="B97" i="48"/>
  <c r="A97" i="48"/>
  <c r="H95" i="48"/>
  <c r="I95" i="48" s="1"/>
  <c r="B95" i="48"/>
  <c r="A95" i="48"/>
  <c r="H91" i="48"/>
  <c r="I91" i="48" s="1"/>
  <c r="B91" i="48"/>
  <c r="A91" i="48"/>
  <c r="H90" i="48"/>
  <c r="I90" i="48" s="1"/>
  <c r="B90" i="48"/>
  <c r="A90" i="48"/>
  <c r="H89" i="48"/>
  <c r="I89" i="48" s="1"/>
  <c r="B89" i="48"/>
  <c r="A89" i="48"/>
  <c r="H88" i="48"/>
  <c r="I88" i="48" s="1"/>
  <c r="B88" i="48"/>
  <c r="A88" i="48"/>
  <c r="E85" i="48"/>
  <c r="H84" i="48"/>
  <c r="I84" i="48" s="1"/>
  <c r="B84" i="48"/>
  <c r="A84" i="48"/>
  <c r="H82" i="48"/>
  <c r="I82" i="48" s="1"/>
  <c r="B82" i="48"/>
  <c r="A82" i="48"/>
  <c r="H81" i="48"/>
  <c r="I81" i="48" s="1"/>
  <c r="B81" i="48"/>
  <c r="A81" i="48"/>
  <c r="E80" i="48"/>
  <c r="H74" i="48"/>
  <c r="I74" i="48" s="1"/>
  <c r="H75" i="48"/>
  <c r="I75" i="48" s="1"/>
  <c r="H38" i="48"/>
  <c r="I38" i="48" s="1"/>
  <c r="B38" i="48"/>
  <c r="A38" i="48"/>
  <c r="H37" i="48"/>
  <c r="I37" i="48" s="1"/>
  <c r="B37" i="48"/>
  <c r="A37" i="48"/>
  <c r="H36" i="48"/>
  <c r="I36" i="48" s="1"/>
  <c r="B36" i="48"/>
  <c r="A36" i="48"/>
  <c r="H35" i="48"/>
  <c r="I35" i="48" s="1"/>
  <c r="B35" i="48"/>
  <c r="A35" i="48"/>
  <c r="H34" i="48"/>
  <c r="I34" i="48" s="1"/>
  <c r="B34" i="48"/>
  <c r="A34" i="48"/>
  <c r="H33" i="48"/>
  <c r="I33" i="48" s="1"/>
  <c r="B33" i="48"/>
  <c r="A33" i="48"/>
  <c r="H32" i="48"/>
  <c r="I32" i="48" s="1"/>
  <c r="B32" i="48"/>
  <c r="A32" i="48"/>
  <c r="H31" i="48"/>
  <c r="I31" i="48" s="1"/>
  <c r="B31" i="48"/>
  <c r="A31" i="48"/>
  <c r="H30" i="48"/>
  <c r="I30" i="48" s="1"/>
  <c r="B30" i="48"/>
  <c r="A30" i="48"/>
  <c r="H29" i="48"/>
  <c r="E29" i="48"/>
  <c r="H27" i="48"/>
  <c r="I27" i="48" s="1"/>
  <c r="B27" i="48"/>
  <c r="A27" i="48"/>
  <c r="B28" i="48"/>
  <c r="A28" i="48"/>
  <c r="H26" i="48"/>
  <c r="I26" i="48" s="1"/>
  <c r="B26" i="48"/>
  <c r="A26" i="48"/>
  <c r="H25" i="48"/>
  <c r="H22" i="48"/>
  <c r="I22" i="48" s="1"/>
  <c r="B22" i="48"/>
  <c r="A22" i="48"/>
  <c r="H21" i="48"/>
  <c r="I21" i="48" s="1"/>
  <c r="H20" i="48"/>
  <c r="I20" i="48" s="1"/>
  <c r="B20" i="48"/>
  <c r="A20" i="48"/>
  <c r="H18" i="48"/>
  <c r="I18" i="48" s="1"/>
  <c r="B18" i="48"/>
  <c r="A18" i="48"/>
  <c r="H16" i="48"/>
  <c r="I16" i="48" s="1"/>
  <c r="B16" i="48"/>
  <c r="A16" i="48"/>
  <c r="E15" i="48"/>
  <c r="H14" i="48"/>
  <c r="I14" i="48" s="1"/>
  <c r="B14" i="48"/>
  <c r="A14" i="48"/>
  <c r="E13" i="48"/>
  <c r="E6" i="48"/>
  <c r="E4" i="48"/>
  <c r="F164" i="47"/>
  <c r="F152" i="47"/>
  <c r="E7" i="47"/>
  <c r="E83" i="48" l="1"/>
  <c r="F133" i="48"/>
  <c r="E17" i="48"/>
  <c r="F128" i="48"/>
  <c r="F130" i="48" s="1"/>
  <c r="E8" i="48"/>
  <c r="E101" i="47"/>
  <c r="E92" i="47"/>
  <c r="H96" i="47"/>
  <c r="I96" i="47" s="1"/>
  <c r="E108" i="48" l="1"/>
  <c r="E109" i="48" s="1"/>
  <c r="E110" i="48" s="1"/>
  <c r="F134" i="48"/>
  <c r="F135" i="48" s="1"/>
  <c r="F138" i="48" s="1"/>
  <c r="F143" i="48"/>
  <c r="F144" i="48" s="1"/>
  <c r="E26" i="47"/>
  <c r="H44" i="47"/>
  <c r="I44" i="47" s="1"/>
  <c r="B44" i="47"/>
  <c r="A44" i="47"/>
  <c r="H43" i="47"/>
  <c r="I43" i="47" s="1"/>
  <c r="B43" i="47"/>
  <c r="A43" i="47"/>
  <c r="H42" i="47"/>
  <c r="I42" i="47" s="1"/>
  <c r="B42" i="47"/>
  <c r="A42" i="47"/>
  <c r="H41" i="47"/>
  <c r="I41" i="47" s="1"/>
  <c r="B41" i="47"/>
  <c r="A41" i="47"/>
  <c r="H40" i="47"/>
  <c r="I40" i="47" s="1"/>
  <c r="B40" i="47"/>
  <c r="A40" i="47"/>
  <c r="H39" i="47"/>
  <c r="I39" i="47" s="1"/>
  <c r="B39" i="47"/>
  <c r="A39" i="47"/>
  <c r="H38" i="47"/>
  <c r="I38" i="47" s="1"/>
  <c r="B38" i="47"/>
  <c r="A38" i="47"/>
  <c r="H37" i="47"/>
  <c r="I37" i="47" s="1"/>
  <c r="B37" i="47"/>
  <c r="A37" i="47"/>
  <c r="H36" i="47"/>
  <c r="I36" i="47" s="1"/>
  <c r="B36" i="47"/>
  <c r="A36" i="47"/>
  <c r="E123" i="47"/>
  <c r="H122" i="47"/>
  <c r="I122" i="47" s="1"/>
  <c r="B122" i="47"/>
  <c r="A122" i="47"/>
  <c r="H121" i="47"/>
  <c r="I121" i="47" s="1"/>
  <c r="B121" i="47"/>
  <c r="A121" i="47"/>
  <c r="E114" i="48" l="1"/>
  <c r="E5" i="50" s="1"/>
  <c r="E4" i="50" s="1"/>
  <c r="E8" i="50" s="1"/>
  <c r="H14" i="47"/>
  <c r="I14" i="47" s="1"/>
  <c r="E129" i="50" l="1"/>
  <c r="E5" i="51" s="1"/>
  <c r="E4" i="51" s="1"/>
  <c r="E8" i="51" s="1"/>
  <c r="E121" i="51" s="1"/>
  <c r="E115" i="48"/>
  <c r="G137" i="48"/>
  <c r="E79" i="47"/>
  <c r="E45" i="47" s="1"/>
  <c r="E122" i="51" l="1"/>
  <c r="E5" i="52"/>
  <c r="E4" i="52" s="1"/>
  <c r="E8" i="52" s="1"/>
  <c r="E130" i="50"/>
  <c r="I153" i="50"/>
  <c r="H123" i="47"/>
  <c r="I123" i="47" s="1"/>
  <c r="B123" i="47"/>
  <c r="A123" i="47"/>
  <c r="E118" i="47"/>
  <c r="F165" i="47" s="1"/>
  <c r="E22" i="47"/>
  <c r="E124" i="52" l="1"/>
  <c r="E114" i="47"/>
  <c r="E18" i="47"/>
  <c r="E125" i="52" l="1"/>
  <c r="E113" i="47"/>
  <c r="H113" i="47"/>
  <c r="I113" i="47" s="1"/>
  <c r="B113" i="47"/>
  <c r="A113" i="47"/>
  <c r="H117" i="47"/>
  <c r="I117" i="47" s="1"/>
  <c r="B117" i="47"/>
  <c r="A117" i="47"/>
  <c r="E112" i="47"/>
  <c r="H112" i="47"/>
  <c r="I112" i="47" s="1"/>
  <c r="B112" i="47"/>
  <c r="A112" i="47"/>
  <c r="E111" i="47"/>
  <c r="H111" i="47"/>
  <c r="I111" i="47" s="1"/>
  <c r="B111" i="47"/>
  <c r="A111" i="47"/>
  <c r="E97" i="47"/>
  <c r="H93" i="47"/>
  <c r="I93" i="47" s="1"/>
  <c r="H94" i="47" l="1"/>
  <c r="I94" i="47" s="1"/>
  <c r="H109" i="47"/>
  <c r="I109" i="47" s="1"/>
  <c r="B109" i="47"/>
  <c r="A109" i="47"/>
  <c r="E110" i="47"/>
  <c r="H110" i="47"/>
  <c r="I110" i="47" s="1"/>
  <c r="B110" i="47"/>
  <c r="A110" i="47"/>
  <c r="H128" i="47"/>
  <c r="I128" i="47" s="1"/>
  <c r="B128" i="47"/>
  <c r="A128" i="47"/>
  <c r="H127" i="47"/>
  <c r="I127" i="47" s="1"/>
  <c r="E127" i="47"/>
  <c r="B127" i="47"/>
  <c r="A127" i="47"/>
  <c r="H129" i="47"/>
  <c r="I129" i="47" s="1"/>
  <c r="B129" i="47"/>
  <c r="A129" i="47"/>
  <c r="F147" i="47" l="1"/>
  <c r="E126" i="47"/>
  <c r="H116" i="47"/>
  <c r="I116" i="47" s="1"/>
  <c r="B116" i="47"/>
  <c r="A116" i="47"/>
  <c r="E108" i="47"/>
  <c r="E107" i="47"/>
  <c r="E106" i="47"/>
  <c r="E105" i="47"/>
  <c r="E104" i="47" l="1"/>
  <c r="F149" i="47"/>
  <c r="E20" i="47"/>
  <c r="F150" i="47"/>
  <c r="F148" i="47"/>
  <c r="F145" i="47"/>
  <c r="H130" i="47"/>
  <c r="I130" i="47" s="1"/>
  <c r="B130" i="47"/>
  <c r="A130" i="47"/>
  <c r="H125" i="47"/>
  <c r="I125" i="47" s="1"/>
  <c r="B125" i="47"/>
  <c r="A125" i="47"/>
  <c r="E124" i="47"/>
  <c r="H120" i="47"/>
  <c r="I120" i="47" s="1"/>
  <c r="B120" i="47"/>
  <c r="A120" i="47"/>
  <c r="H119" i="47"/>
  <c r="I119" i="47" s="1"/>
  <c r="B119" i="47"/>
  <c r="A119" i="47"/>
  <c r="H118" i="47"/>
  <c r="I118" i="47" s="1"/>
  <c r="B118" i="47"/>
  <c r="A118" i="47"/>
  <c r="H115" i="47"/>
  <c r="I115" i="47" s="1"/>
  <c r="B115" i="47"/>
  <c r="A115" i="47"/>
  <c r="H108" i="47"/>
  <c r="I108" i="47" s="1"/>
  <c r="B108" i="47"/>
  <c r="A108" i="47"/>
  <c r="H107" i="47"/>
  <c r="I107" i="47" s="1"/>
  <c r="B107" i="47"/>
  <c r="A107" i="47"/>
  <c r="H106" i="47"/>
  <c r="I106" i="47" s="1"/>
  <c r="B106" i="47"/>
  <c r="A106" i="47"/>
  <c r="H105" i="47"/>
  <c r="I105" i="47" s="1"/>
  <c r="B105" i="47"/>
  <c r="A105" i="47"/>
  <c r="H103" i="47"/>
  <c r="I103" i="47" s="1"/>
  <c r="B103" i="47"/>
  <c r="A103" i="47"/>
  <c r="E102" i="47"/>
  <c r="H101" i="47"/>
  <c r="I101" i="47" s="1"/>
  <c r="B101" i="47"/>
  <c r="A101" i="47"/>
  <c r="E100" i="47"/>
  <c r="H99" i="47"/>
  <c r="I99" i="47" s="1"/>
  <c r="B99" i="47"/>
  <c r="A99" i="47"/>
  <c r="H98" i="47"/>
  <c r="I98" i="47" s="1"/>
  <c r="B98" i="47"/>
  <c r="A98" i="47"/>
  <c r="H95" i="47"/>
  <c r="I95" i="47" s="1"/>
  <c r="H35" i="47"/>
  <c r="I35" i="47" s="1"/>
  <c r="B35" i="47"/>
  <c r="A35" i="47"/>
  <c r="H34" i="47"/>
  <c r="I34" i="47" s="1"/>
  <c r="B34" i="47"/>
  <c r="A34" i="47"/>
  <c r="H33" i="47"/>
  <c r="I33" i="47" s="1"/>
  <c r="B33" i="47"/>
  <c r="A33" i="47"/>
  <c r="H32" i="47"/>
  <c r="I32" i="47" s="1"/>
  <c r="B32" i="47"/>
  <c r="A32" i="47"/>
  <c r="H31" i="47"/>
  <c r="I31" i="47" s="1"/>
  <c r="B31" i="47"/>
  <c r="A31" i="47"/>
  <c r="H30" i="47"/>
  <c r="I30" i="47" s="1"/>
  <c r="B30" i="47"/>
  <c r="A30" i="47"/>
  <c r="H29" i="47"/>
  <c r="I29" i="47" s="1"/>
  <c r="B29" i="47"/>
  <c r="A29" i="47"/>
  <c r="H28" i="47"/>
  <c r="I28" i="47" s="1"/>
  <c r="B28" i="47"/>
  <c r="A28" i="47"/>
  <c r="H27" i="47"/>
  <c r="I27" i="47" s="1"/>
  <c r="B27" i="47"/>
  <c r="A27" i="47"/>
  <c r="H26" i="47"/>
  <c r="H24" i="47"/>
  <c r="I24" i="47" s="1"/>
  <c r="B24" i="47"/>
  <c r="A24" i="47"/>
  <c r="H23" i="47"/>
  <c r="I23" i="47" s="1"/>
  <c r="B23" i="47"/>
  <c r="A23" i="47"/>
  <c r="H25" i="47"/>
  <c r="I25" i="47" s="1"/>
  <c r="B25" i="47"/>
  <c r="A25" i="47"/>
  <c r="H22" i="47"/>
  <c r="H21" i="47"/>
  <c r="I21" i="47" s="1"/>
  <c r="B21" i="47"/>
  <c r="A21" i="47"/>
  <c r="H20" i="47"/>
  <c r="I20" i="47" s="1"/>
  <c r="H19" i="47"/>
  <c r="I19" i="47" s="1"/>
  <c r="B19" i="47"/>
  <c r="A19" i="47"/>
  <c r="H18" i="47"/>
  <c r="I18" i="47" s="1"/>
  <c r="B18" i="47"/>
  <c r="A18" i="47"/>
  <c r="H16" i="47"/>
  <c r="I16" i="47" s="1"/>
  <c r="B16" i="47"/>
  <c r="A16" i="47"/>
  <c r="E15" i="47"/>
  <c r="B14" i="47"/>
  <c r="A14" i="47"/>
  <c r="E13" i="47"/>
  <c r="E6" i="47"/>
  <c r="F146" i="47" l="1"/>
  <c r="E17" i="47"/>
  <c r="E131" i="47" s="1"/>
  <c r="F151" i="47"/>
  <c r="F166" i="47"/>
  <c r="F167" i="47" l="1"/>
  <c r="F156" i="47"/>
  <c r="F157" i="47" s="1"/>
  <c r="F158" i="47" s="1"/>
  <c r="F161" i="47" s="1"/>
  <c r="F153" i="47"/>
  <c r="F14" i="10" l="1"/>
  <c r="O13" i="10"/>
  <c r="P13" i="10" s="1"/>
  <c r="G13" i="10"/>
  <c r="O12" i="10"/>
  <c r="P12" i="10" s="1"/>
  <c r="G12" i="10"/>
  <c r="O11" i="10"/>
  <c r="P11" i="10" s="1"/>
  <c r="G11" i="10"/>
  <c r="O10" i="10"/>
  <c r="P10" i="10" s="1"/>
  <c r="G10" i="10"/>
  <c r="O9" i="10"/>
  <c r="I9" i="10"/>
  <c r="G9" i="10"/>
  <c r="O8" i="10"/>
  <c r="I8" i="10"/>
  <c r="G8" i="10"/>
  <c r="O7" i="10"/>
  <c r="I7" i="10"/>
  <c r="G7" i="10"/>
  <c r="O6" i="10"/>
  <c r="J6" i="10"/>
  <c r="O5" i="10"/>
  <c r="J5" i="10"/>
  <c r="G5" i="10"/>
  <c r="M14" i="10"/>
  <c r="D12" i="7"/>
  <c r="D24" i="7"/>
  <c r="D15" i="7"/>
  <c r="D14" i="7"/>
  <c r="D45" i="7"/>
  <c r="D46" i="7" s="1"/>
  <c r="D13" i="7"/>
  <c r="D21" i="7"/>
  <c r="D20" i="7"/>
  <c r="D26" i="7" s="1"/>
  <c r="D11" i="7"/>
  <c r="D10" i="7"/>
  <c r="D16" i="7" s="1"/>
  <c r="D25" i="7"/>
  <c r="H4" i="7"/>
  <c r="E4" i="7"/>
  <c r="D4" i="7" s="1"/>
  <c r="D5" i="7" s="1"/>
  <c r="D23" i="7"/>
  <c r="D22" i="7"/>
  <c r="P6" i="10" l="1"/>
  <c r="P5" i="10"/>
  <c r="P9" i="10"/>
  <c r="J14" i="10"/>
  <c r="P8" i="10"/>
  <c r="D28" i="7"/>
  <c r="D30" i="7" s="1"/>
  <c r="D32" i="7" s="1"/>
  <c r="I14" i="10"/>
  <c r="O14" i="10"/>
  <c r="G14" i="10"/>
  <c r="D47" i="7"/>
  <c r="D49" i="7" s="1"/>
  <c r="D51" i="7" s="1"/>
  <c r="P7" i="10"/>
  <c r="D29" i="7" l="1"/>
  <c r="P14" i="10"/>
  <c r="E4" i="47" l="1"/>
  <c r="E8" i="47" s="1"/>
  <c r="E137" i="47" l="1"/>
  <c r="E138" i="47" l="1"/>
  <c r="I161" i="47"/>
  <c r="E132" i="47"/>
  <c r="E133" i="47" s="1"/>
  <c r="F149" i="51"/>
  <c r="F150" i="51" s="1"/>
</calcChain>
</file>

<file path=xl/sharedStrings.xml><?xml version="1.0" encoding="utf-8"?>
<sst xmlns="http://schemas.openxmlformats.org/spreadsheetml/2006/main" count="1506" uniqueCount="392">
  <si>
    <t>BANCOS</t>
  </si>
  <si>
    <t xml:space="preserve">CUENTAS X PAGAR MES </t>
  </si>
  <si>
    <t>Fecha de Elaboración:</t>
  </si>
  <si>
    <t>Factura</t>
  </si>
  <si>
    <t>PROVEEDOR</t>
  </si>
  <si>
    <t>VALOR</t>
  </si>
  <si>
    <t>Fecha vencimiento</t>
  </si>
  <si>
    <t>Estado</t>
  </si>
  <si>
    <t>KPI</t>
  </si>
  <si>
    <t>Objeto</t>
  </si>
  <si>
    <t>PAGOS ANTICIPADOS</t>
  </si>
  <si>
    <t xml:space="preserve">Anticipo nómina Ivonne Torres </t>
  </si>
  <si>
    <t>Cancelado</t>
  </si>
  <si>
    <t>SEGURIDAD SOCIAL</t>
  </si>
  <si>
    <t>AFC´S</t>
  </si>
  <si>
    <t xml:space="preserve">IMPUESTOS </t>
  </si>
  <si>
    <t>Retención en la fuente</t>
  </si>
  <si>
    <t>PLANES COMPLEMENTARIOS Y PREPAGADAS</t>
  </si>
  <si>
    <t>Póliza suramericana 090001175163 SALUD FAMILIAR</t>
  </si>
  <si>
    <t>Sin Pagar</t>
  </si>
  <si>
    <t>Póliza suramericana 090001175195 SALUD FAMILIAR</t>
  </si>
  <si>
    <t>PÓLIZAS Y SEGUROS</t>
  </si>
  <si>
    <t>Plan dental 10325327 Ivonne Torres</t>
  </si>
  <si>
    <t>REEMBOLSO GASTOS VIAJE</t>
  </si>
  <si>
    <t xml:space="preserve">TIQUETES AÉREOS , HOTELES </t>
  </si>
  <si>
    <t>Total</t>
  </si>
  <si>
    <t>ASESORÍAS</t>
  </si>
  <si>
    <t xml:space="preserve">COSTOS FINANCIEROS </t>
  </si>
  <si>
    <t>Costos financieros (Cuenta GLOBAL CS)</t>
  </si>
  <si>
    <t>CREDITOS Y LIBRANZAS</t>
  </si>
  <si>
    <t xml:space="preserve">EMASOC </t>
  </si>
  <si>
    <t>NÓMINAS Y ABONO A TARJETAS PEOPLE PASS</t>
  </si>
  <si>
    <t xml:space="preserve">LIQUIDACIONES </t>
  </si>
  <si>
    <t>IMPREVISTO</t>
  </si>
  <si>
    <t>TOTAL EGRESOS</t>
  </si>
  <si>
    <t>SALDO</t>
  </si>
  <si>
    <t xml:space="preserve">% </t>
  </si>
  <si>
    <t>Correción retención en la fuente Diciembre</t>
  </si>
  <si>
    <t>IVA diciembre</t>
  </si>
  <si>
    <t>ICA</t>
  </si>
  <si>
    <t>4 x mil transacciones</t>
  </si>
  <si>
    <t>TOTAL A PAGAR</t>
  </si>
  <si>
    <t>Gran total</t>
  </si>
  <si>
    <r>
      <t xml:space="preserve">Póliza suramericana # </t>
    </r>
    <r>
      <rPr>
        <b/>
        <sz val="11"/>
        <color rgb="FF0000CC"/>
        <rFont val="Calibri"/>
        <family val="2"/>
        <scheme val="minor"/>
      </rPr>
      <t xml:space="preserve"> 091000808150</t>
    </r>
    <r>
      <rPr>
        <sz val="11"/>
        <color theme="1"/>
        <rFont val="Calibri"/>
        <family val="2"/>
        <scheme val="minor"/>
      </rPr>
      <t xml:space="preserve"> SALUD FAMILIAR</t>
    </r>
  </si>
  <si>
    <t>PAYMENTS</t>
  </si>
  <si>
    <t>BALANCE</t>
  </si>
  <si>
    <t>Number</t>
  </si>
  <si>
    <t>TRM Factura</t>
  </si>
  <si>
    <t>Client</t>
  </si>
  <si>
    <t xml:space="preserve">Description </t>
  </si>
  <si>
    <t>Date</t>
  </si>
  <si>
    <t>GLOBAL PEO SERVICES LLC</t>
  </si>
  <si>
    <t>EO Third parties service Client: GLOBAL CS COLOMBIA -November</t>
  </si>
  <si>
    <t>Banking Taxes - November (4x1000)</t>
  </si>
  <si>
    <t>Banking Taxes - December (4x1000)</t>
  </si>
  <si>
    <t>INVOICES</t>
  </si>
  <si>
    <t>Invoice Amount USD</t>
  </si>
  <si>
    <t>Invoice Amount COPS</t>
  </si>
  <si>
    <t>Total Payment</t>
  </si>
  <si>
    <t>partial payments COPS</t>
  </si>
  <si>
    <t>traded value</t>
  </si>
  <si>
    <t>TRM</t>
  </si>
  <si>
    <t>Difference</t>
  </si>
  <si>
    <t>FV-4-3521</t>
  </si>
  <si>
    <t>FV-4-3522</t>
  </si>
  <si>
    <t>Employer of Record Service - November</t>
  </si>
  <si>
    <t>FV-4-3523</t>
  </si>
  <si>
    <t>FV-4-3528</t>
  </si>
  <si>
    <t>EO Third parties service Client: GLOBAL CS COLOMBIA -November (Paola Romero)</t>
  </si>
  <si>
    <t>FV-4-3579</t>
  </si>
  <si>
    <t>Employer of Record Service - December</t>
  </si>
  <si>
    <t>FV-4-3580</t>
  </si>
  <si>
    <t>EO Third parties service Client: GLOBAL CS COLOMBIA -December</t>
  </si>
  <si>
    <t>FV-4-3581</t>
  </si>
  <si>
    <t>FV-4-3582</t>
  </si>
  <si>
    <t>PEO Third parties service Client: GLOBAL CS COLOMBIA -December (Paola Romero)</t>
  </si>
  <si>
    <t>4 x mil</t>
  </si>
  <si>
    <t>Diferencia</t>
  </si>
  <si>
    <t xml:space="preserve">Ingreso </t>
  </si>
  <si>
    <t xml:space="preserve">Saldo Banco </t>
  </si>
  <si>
    <t>Dnero pendiente por llegar</t>
  </si>
  <si>
    <t xml:space="preserve">Pagos Urgentes </t>
  </si>
  <si>
    <t xml:space="preserve">Rte Fte </t>
  </si>
  <si>
    <t>Seguridad social</t>
  </si>
  <si>
    <t xml:space="preserve">Cesantías </t>
  </si>
  <si>
    <t>Otros pagos y proveedores a realizar mes de febrero</t>
  </si>
  <si>
    <t>Emasoc Fra #4340</t>
  </si>
  <si>
    <t>Final mes</t>
  </si>
  <si>
    <t>Emasoc Fra #4368</t>
  </si>
  <si>
    <t>AFC Ivonne Torres</t>
  </si>
  <si>
    <t xml:space="preserve">Ya se pago 01 de febrero </t>
  </si>
  <si>
    <t>Total Pagos urgentes + otros pagos</t>
  </si>
  <si>
    <r>
      <rPr>
        <b/>
        <i/>
        <u/>
        <sz val="10"/>
        <color rgb="FF0000CC"/>
        <rFont val="Calibri"/>
        <family val="2"/>
        <scheme val="minor"/>
      </rPr>
      <t>Nota:</t>
    </r>
    <r>
      <rPr>
        <b/>
        <sz val="10"/>
        <color rgb="FF0000CC"/>
        <rFont val="Calibri"/>
        <family val="2"/>
        <scheme val="minor"/>
      </rPr>
      <t xml:space="preserve"> No se tiene en cuenta los valores por reembolos, tiquetes</t>
    </r>
  </si>
  <si>
    <t>Nóminas y AFC para pagar el 28 de febrero</t>
  </si>
  <si>
    <t>FESTIVOS COLOMBIA</t>
  </si>
  <si>
    <r>
      <t>Cristhian Guapacha-Root Capital -</t>
    </r>
    <r>
      <rPr>
        <b/>
        <sz val="11"/>
        <color rgb="FFFF0000"/>
        <rFont val="Calibri"/>
        <family val="2"/>
        <scheme val="minor"/>
      </rPr>
      <t>Tarjeta 1</t>
    </r>
  </si>
  <si>
    <t>Carestream</t>
  </si>
  <si>
    <t>FACTURACIÓN PENDIENTE POR MONETIZAR</t>
  </si>
  <si>
    <t xml:space="preserve">TOTAL EGRESOS </t>
  </si>
  <si>
    <t xml:space="preserve">Nómina Sergio Jimenez Belimo </t>
  </si>
  <si>
    <t xml:space="preserve">1 registro </t>
  </si>
  <si>
    <t>AFC y aportes voluntarios  -SOI y Aportes en Linea</t>
  </si>
  <si>
    <t>ENERO</t>
  </si>
  <si>
    <t xml:space="preserve">Pago seguridad social Global </t>
  </si>
  <si>
    <t>Reembolso andy william muñoz bonfante cc021 - hitachi global air power</t>
  </si>
  <si>
    <t>Reembolso Catalina Duque cc021 - hitachi global air power</t>
  </si>
  <si>
    <t>Reembolso Fabian Augusto Porto Dulcey  cc020 - Sophos</t>
  </si>
  <si>
    <r>
      <t xml:space="preserve">Póliza suramericana # </t>
    </r>
    <r>
      <rPr>
        <b/>
        <sz val="11"/>
        <color rgb="FF0000CC"/>
        <rFont val="Calibri"/>
        <family val="2"/>
        <scheme val="minor"/>
      </rPr>
      <t xml:space="preserve"> 0904418894</t>
    </r>
    <r>
      <rPr>
        <sz val="11"/>
        <color theme="1"/>
        <rFont val="Calibri"/>
        <family val="2"/>
        <scheme val="minor"/>
      </rPr>
      <t xml:space="preserve"> SALUD FAMILIAR</t>
    </r>
  </si>
  <si>
    <t>Reembolso Jorge Daniel Ramos DUran cc040 - Environmental Dynamics INTL</t>
  </si>
  <si>
    <t>AFC y aportes voluntarios  - Cheque</t>
  </si>
  <si>
    <t>Reembolso Ivonne Torres-cc012 - lifenet health</t>
  </si>
  <si>
    <t>Reembolso Edith johana pineda zapata cc020 - sophos</t>
  </si>
  <si>
    <t>Reembolso Cristhian Javier Gutierrez Torres-Sophos-CC020</t>
  </si>
  <si>
    <t>Reembolso Edwin fernando alonso castelblanco cc020 - sophos</t>
  </si>
  <si>
    <t>Reembolso Sandra viviana barba lizarralde - cco65 - allegis group inc</t>
  </si>
  <si>
    <t>Reembolso Diana Ximena Rodriguez Patiño-HSI</t>
  </si>
  <si>
    <t>Reembolso Angélica María Benitez Yusti cc070- BMC Medical</t>
  </si>
  <si>
    <t>Reembolsos y tiquetes</t>
  </si>
  <si>
    <t xml:space="preserve">Reembolso Cristian Javier Gutierrez Torres-cc020 - Sophos     </t>
  </si>
  <si>
    <t>Reembolso Milagros Sanchez cc020 - sophos</t>
  </si>
  <si>
    <t>Reembolso Pablo Andres Ossa Ocampo  cc073- Zenio</t>
  </si>
  <si>
    <t>Reembolso Howard Antonio Donado Padilla  cc073- Zenio</t>
  </si>
  <si>
    <t xml:space="preserve">Plan grupo 103225452 - Freddy Gomez -  TITAN METER BIDCO CORPORATION </t>
  </si>
  <si>
    <t>Plan grupo 10108174837 - Freddy Gomez -  TITAN METER BIDCO CORPORATION</t>
  </si>
  <si>
    <t>Reembolso Mario Fernando Benitez Zabala cc020 - sophos</t>
  </si>
  <si>
    <t>Reembolso Sandra Juliana Mariño Lozano-cc073 - Zennio</t>
  </si>
  <si>
    <t>Superavit o Deficit</t>
  </si>
  <si>
    <t xml:space="preserve"> </t>
  </si>
  <si>
    <t>Reembolso Marylin Restrepo z cc020 - sophos</t>
  </si>
  <si>
    <t>Plan grupo-103229134  - María Gabriela Acosta -  LANO SOFTWARE</t>
  </si>
  <si>
    <t>People Pass-Market</t>
  </si>
  <si>
    <t>Bancos</t>
  </si>
  <si>
    <t>Plan grupo 10108069057</t>
  </si>
  <si>
    <t>Reembolso Christian Henao - CC079 - GILL INSTRUMENTS</t>
  </si>
  <si>
    <t xml:space="preserve">Libranza compensar </t>
  </si>
  <si>
    <t>Certificado camara de comercio</t>
  </si>
  <si>
    <t>Reembolso Camila Marin Melo cc020 - sophos</t>
  </si>
  <si>
    <t>Reembolso Maria Claudia Bohorquez Quintero cc020 - Sophos</t>
  </si>
  <si>
    <t>Monetización Sena Septiembre</t>
  </si>
  <si>
    <t>Plan grupo-103229134  - María Amaya Gomez -  LANO SOFTWARE</t>
  </si>
  <si>
    <t>Plan grupo 10108170475 - Sandra Barba  -  ALLEGIS GROUP INC</t>
  </si>
  <si>
    <t>Plan dental 103229130 Luna Rodriguez - LANO SOFTWARE GMBH</t>
  </si>
  <si>
    <t>Plan grupo 103226992 - Aana Aguirre - GRAINGER SERVICES INTERNATIONA</t>
  </si>
  <si>
    <t xml:space="preserve">Comprobación </t>
  </si>
  <si>
    <t>ESTUDIOS DE SEGURIDAD Y EXAMENES OCUPACIONALES-PÓLIZAS SALUD</t>
  </si>
  <si>
    <t>16001348099148</t>
  </si>
  <si>
    <t>Allianz Póliza No: 23730847- Jerson Porras</t>
  </si>
  <si>
    <t>Reembolso de santa anna campdera alberto enrique - cc029 - leistritz advanced technologies corp</t>
  </si>
  <si>
    <t>Reembolso hoyos arrioja carlos alberto - cc029 - leistritz advanced technologies corp</t>
  </si>
  <si>
    <t xml:space="preserve">Reembolso genesis marchena gómez - cc081 - go - global outsourcing inc </t>
  </si>
  <si>
    <t>Reembolso anaya latorre juan felipe - cc005 - basis global technologies, inc.</t>
  </si>
  <si>
    <t xml:space="preserve">Monetización - facturación y Offycycle Diciembre </t>
  </si>
  <si>
    <t>DICIEMBRE</t>
  </si>
  <si>
    <t>Global CS Colombia SAS -Solutions &amp; payroll- Reembolso Gastos Noviembre</t>
  </si>
  <si>
    <t>Global CS Colombia SAS -Solutions &amp; payroll-Servicio Noviembre 2025</t>
  </si>
  <si>
    <t>6443</t>
  </si>
  <si>
    <t>Prima OE</t>
  </si>
  <si>
    <t xml:space="preserve">Nomina OE </t>
  </si>
  <si>
    <t xml:space="preserve">Prima </t>
  </si>
  <si>
    <r>
      <t>Seguridad social y RTE FTE-</t>
    </r>
    <r>
      <rPr>
        <b/>
        <sz val="11"/>
        <color rgb="FF0000CC"/>
        <rFont val="Calibri"/>
        <family val="2"/>
        <scheme val="minor"/>
      </rPr>
      <t>Reembolsos y tiquetes</t>
    </r>
  </si>
  <si>
    <t>Nóminas , Reembolsos, libranzas</t>
  </si>
  <si>
    <t>AFC Gastos financieros</t>
  </si>
  <si>
    <t>C344-14103874/C667-58997</t>
  </si>
  <si>
    <t>Reembolso gastos vale María Paula Amaya-Vales de sanitas</t>
  </si>
  <si>
    <t>FVE	1840</t>
  </si>
  <si>
    <t>Siigo Renovación nube y certificado Andes</t>
  </si>
  <si>
    <t>5-124</t>
  </si>
  <si>
    <t>Tiquete Andy Muñoz Cartagena-Bogota y Vsa</t>
  </si>
  <si>
    <t>Tiquete Sandra Barba</t>
  </si>
  <si>
    <t>Estrategia en Ventas - Catalina Duque</t>
  </si>
  <si>
    <t>Tiquete Andy Muñoz Cartagena-Bogota y Vsa-Equipaje Cartagena</t>
  </si>
  <si>
    <t>Prima OE-Pago adicional por personal nuevo ingreso el 15 diciembre</t>
  </si>
  <si>
    <t>4 Registros</t>
  </si>
  <si>
    <t>Gastos del 01 al 31 Diciembre</t>
  </si>
  <si>
    <t>2091201744</t>
  </si>
  <si>
    <t>20911202787</t>
  </si>
  <si>
    <t>20833316862</t>
  </si>
  <si>
    <t>FPP434067</t>
  </si>
  <si>
    <t>Saldo pendiente de pagar</t>
  </si>
  <si>
    <t>Reembolso Alina Restrepo Jaramillo-cc035 - Georgia Institute</t>
  </si>
  <si>
    <t>87 Registros</t>
  </si>
  <si>
    <t xml:space="preserve">Pago institucional Protección Sergio Jimenez Belimo </t>
  </si>
  <si>
    <t>Pago Ajuste prima extralegal Jerson Porras</t>
  </si>
  <si>
    <t>Liquidación Ernestro Zamora Pardo-SIG Sauer</t>
  </si>
  <si>
    <t>Tiquete Andy Muñoz Cartagena-ciudades estados unidos Vsa-Equipaje Cartagena</t>
  </si>
  <si>
    <t>07/01/2026 Santander</t>
  </si>
  <si>
    <t>Monetización - facturación y Offycycle enero</t>
  </si>
  <si>
    <t>IVA tecer cuatrimestre</t>
  </si>
  <si>
    <t>Monetización Sena Diciembre</t>
  </si>
  <si>
    <t>People Pass-Market-Diciembre</t>
  </si>
  <si>
    <t>People Pass-Market Enero</t>
  </si>
  <si>
    <t>Liquidaciones previstas</t>
  </si>
  <si>
    <t xml:space="preserve">Imprevisto </t>
  </si>
  <si>
    <t>6554</t>
  </si>
  <si>
    <t>Global CS Colombia SAS -Solutions &amp; payroll-Servicio Diciembre 2025</t>
  </si>
  <si>
    <t>Global CS Colombia SAS -Solutions &amp; payroll- Reembolso Gastos Diciembre</t>
  </si>
  <si>
    <t>Gastos del 01 al 25 de enero</t>
  </si>
  <si>
    <t>Valor previsto cesantías Feb</t>
  </si>
  <si>
    <t>Retención ICA, liquidacion prevista, reembolso y tiquete</t>
  </si>
  <si>
    <t>Seguridad social, Rte fte e IVA tercer cuatrimestre</t>
  </si>
  <si>
    <t xml:space="preserve">Desde </t>
  </si>
  <si>
    <t>Hasta</t>
  </si>
  <si>
    <t xml:space="preserve">Descripción </t>
  </si>
  <si>
    <t>Valores COPS</t>
  </si>
  <si>
    <t>Valor USD</t>
  </si>
  <si>
    <t>Saldo Banco Santander 07/01/2026</t>
  </si>
  <si>
    <t xml:space="preserve">PAGOS </t>
  </si>
  <si>
    <t>INGRESOS</t>
  </si>
  <si>
    <t xml:space="preserve">Pagos del 01 al 25 de enero </t>
  </si>
  <si>
    <t>Trm ref 7/1/26</t>
  </si>
  <si>
    <t>TOTAL EGRESOS DEL MES</t>
  </si>
  <si>
    <t>Reembolsos</t>
  </si>
  <si>
    <t>Nómina, Libranzas, AFC, Reembolsos,pagos terceros</t>
  </si>
  <si>
    <t>Polizas de salud, Reembolsos y tiquetes</t>
  </si>
  <si>
    <t>Retención ICA, liquidacion prevista, reembolso y tiquetes</t>
  </si>
  <si>
    <t>Impuesto 4 x mil por transacciones</t>
  </si>
  <si>
    <t xml:space="preserve">Gran total </t>
  </si>
  <si>
    <t>Tiquete Sandra Barba Bog - Ciudad de México - Bog</t>
  </si>
  <si>
    <t>5-163</t>
  </si>
  <si>
    <t>Reembolso Cristiam Silva  cc020 - sophos</t>
  </si>
  <si>
    <t>Reembolso Jhon Grazon  cc020 - sophos</t>
  </si>
  <si>
    <t>Reembolso Juan Pablo Giraldo Rios CC037 - EDRINGTON AMERICAS</t>
  </si>
  <si>
    <t>Tiquete Sandra Barba Viaje a Brasil</t>
  </si>
  <si>
    <t>Liquidación Howard Antonio Donado Padilla  cc073- Zennio</t>
  </si>
  <si>
    <t>Liquidación Pablo Andres Ossa Ocampo  cc073- Zennio</t>
  </si>
  <si>
    <t>Retención de ICA  6to bimestre 2025</t>
  </si>
  <si>
    <t>Tiquete Sandra Barba Viaje a Monterrey</t>
  </si>
  <si>
    <t>Liquidación Sandra Juliana Mariño Lozano-cc073 - Zennio</t>
  </si>
  <si>
    <t>Reembolso Jorge Crismatt  cc060 - Best Formulation</t>
  </si>
  <si>
    <t>Reembolso Mario Benitez  cc020 - sophos</t>
  </si>
  <si>
    <t>Reembolso Paula Andrea Alba  cc020 - sophos</t>
  </si>
  <si>
    <t>16001350783712</t>
  </si>
  <si>
    <t>Tiquete Catalina Duque Bogotá-Cartagena y Vsa</t>
  </si>
  <si>
    <t>FPP439858</t>
  </si>
  <si>
    <t>Reembolso Maria Claudia Bohorquez  cc020 - sophos</t>
  </si>
  <si>
    <t>Reembolso Jhon Garzon  cc020 - sophos</t>
  </si>
  <si>
    <t>Reembolso Mairilyn Restrepo  cc020 - sophos</t>
  </si>
  <si>
    <t>Reembolso Jandres Arbelaez CC037 - EDRINGTON AMERICAS</t>
  </si>
  <si>
    <t>FPP443638</t>
  </si>
  <si>
    <t>Reembolso Hitchcok Benjamin Maxvell cc074 - Earthworks</t>
  </si>
  <si>
    <t>Reembolso Fabio Alejandro Melo Torrez CC075 - DET-TRONICS</t>
  </si>
  <si>
    <t>Reembolso Andy Muñoz CC021 - HITACHI GLOBAL AIR POWER</t>
  </si>
  <si>
    <t>Reembolso Giraldo Rios Juan Pablo CC037 - EDRINGTON AMERICAS</t>
  </si>
  <si>
    <t>Reembolso Stephanie Perez cc020 - sophos</t>
  </si>
  <si>
    <t>Reembolso Milagro del Vallle Sanchez  cc020 - sophos</t>
  </si>
  <si>
    <t>Reembolso Andy Muñoz CC021 - HITACHI GLOBAL AIR POWER Pago Cotización D GROUPE SAS</t>
  </si>
  <si>
    <t>Monetización Sena Enero</t>
  </si>
  <si>
    <t>20911207746</t>
  </si>
  <si>
    <t>20833359623</t>
  </si>
  <si>
    <t>20911209250</t>
  </si>
  <si>
    <t>Liquidación Andrea del Pilar Alvarado - Oportunity International</t>
  </si>
  <si>
    <t>Tiquete Sandra Barba Bog - SFO - Bog</t>
  </si>
  <si>
    <t>AFC y aportes voluntarios   Aportes en Linea adicional Skandia</t>
  </si>
  <si>
    <t>Monetización - facturación y Offycycle Febrero</t>
  </si>
  <si>
    <t>FEBRERO</t>
  </si>
  <si>
    <t>ICA anual</t>
  </si>
  <si>
    <t xml:space="preserve">	10090637</t>
  </si>
  <si>
    <t xml:space="preserve">	10173108</t>
  </si>
  <si>
    <t xml:space="preserve">10245676	</t>
  </si>
  <si>
    <t>6605</t>
  </si>
  <si>
    <t>Global CS Colombia SAS -Solutions &amp; payroll-Servicio Enero 2026</t>
  </si>
  <si>
    <t>Global CS Colombia SAS -Solutions &amp; payroll- Reembolso Gastos Enero</t>
  </si>
  <si>
    <t>Cesantías</t>
  </si>
  <si>
    <t xml:space="preserve">Pago suramericana </t>
  </si>
  <si>
    <t xml:space="preserve">Seguridad social, Rte fte </t>
  </si>
  <si>
    <t xml:space="preserve">Nóminas , Reembolsos, libranzas, ICA anual </t>
  </si>
  <si>
    <t>Cesantías, nómina anticipadas reembolsos y tiquetes previstos</t>
  </si>
  <si>
    <t>Reembolso Jhon Jairo Garzon Beleño cc020 - Sophos</t>
  </si>
  <si>
    <t>Reembolso Laura Marilyn Restrepo cc020 - sophos</t>
  </si>
  <si>
    <t>Comisiones anticipadas María Paula Amaya Gómez-Grainger Services international INC</t>
  </si>
  <si>
    <t>Comisiones anticipadas Ana María Aguirre Alvarado-Grainger Services international INC</t>
  </si>
  <si>
    <t>Póliza Sanitas Carlos Urrego</t>
  </si>
  <si>
    <t>Liquidaciones Sebastian Terreros Perdomo</t>
  </si>
  <si>
    <t>Tiquete Andy Muñoz Cartagena- Lima y VSA</t>
  </si>
  <si>
    <t>Reembolso Jorge Eduardo Crismatt Dungand  cc060 - Best Formulation</t>
  </si>
  <si>
    <t>Reembolso Paula Andrea Alba Grajales  cc020 - sophos</t>
  </si>
  <si>
    <t xml:space="preserve">Reembolso Andy Muñoz CC021 - HITACHI GLOBAL AIR POWER </t>
  </si>
  <si>
    <t>Gastos del 23 al 28 febrero</t>
  </si>
  <si>
    <t>Reembolso Catalina Duque CC021 - HITACHI GLOBAL AIR POWER /Factura 1844 estrategia en ventas</t>
  </si>
  <si>
    <t>20911209573</t>
  </si>
  <si>
    <t>20911209571</t>
  </si>
  <si>
    <t>20911209572</t>
  </si>
  <si>
    <t>Reembolso Christian Camilo Diaz cc079- Gill Instruments</t>
  </si>
  <si>
    <t>Reembolso Mateo David Jaramillo Menses  CC005 -  basis global technologies, inc.</t>
  </si>
  <si>
    <t>Reembolso Stoever edward Martin  cc013 - Mariadb</t>
  </si>
  <si>
    <t>Reembolso Carla Georgina Arcia Venegas   cc083 - Acaps</t>
  </si>
  <si>
    <t>Reembolso Maria Monica Marin Rueda  cc082- Christel house international</t>
  </si>
  <si>
    <t xml:space="preserve">Reembolso Genesis Coromoto Marchena Gómez - cc081 - go - global outsourcing inc </t>
  </si>
  <si>
    <t>Reembolso Juan Felipe Anaya Felipe cc005 - basis global technologies, inc.</t>
  </si>
  <si>
    <t>Reembolso Carlos Alberto Hoyos Arrioja cc029 -Leistritz advanced technologies corp</t>
  </si>
  <si>
    <t>FP454293</t>
  </si>
  <si>
    <t>Reembolso Lina Marcela Gomez Nuñez cc083 - Acaps</t>
  </si>
  <si>
    <t>Reembolso Andres Arbelaez CC037 - EDRINGTON AMERICAS</t>
  </si>
  <si>
    <t>S/N</t>
  </si>
  <si>
    <t>Reintregro Libranza marzo Juan Anaya</t>
  </si>
  <si>
    <t>20911214073</t>
  </si>
  <si>
    <t>209833411130</t>
  </si>
  <si>
    <t>20911213105</t>
  </si>
  <si>
    <t>Reembolso Manuel Francisco Torres Prieto CC057 - PROJECT MANAGEMENT INSTITUTE</t>
  </si>
  <si>
    <t>6696</t>
  </si>
  <si>
    <t>Global CS Colombia SAS -Solutions &amp; payroll-Servicio Febrero 2026</t>
  </si>
  <si>
    <t>Global CS Colombia SAS -Solutions &amp; payroll- Reembolso Gastos Febrero</t>
  </si>
  <si>
    <t xml:space="preserve">Anticipo Reembolso Genesis Coromoto Marchena Gómez - cc081 - go - global outsourcing inc </t>
  </si>
  <si>
    <t>Monetización Sena Febrero</t>
  </si>
  <si>
    <t>5-235</t>
  </si>
  <si>
    <t>Reembolso Camila Marin Melo  cc020 - sophos</t>
  </si>
  <si>
    <t>Reembolso Carla Georgina Arcia Venegas cc083 - Acaps</t>
  </si>
  <si>
    <t>Reembolso Daniel Alberto Ramos Duran cc040 - Environmental Dynamics INTL</t>
  </si>
  <si>
    <t>MARZO</t>
  </si>
  <si>
    <t>Reteica 1er bimestre 2026</t>
  </si>
  <si>
    <t>Sin radicar</t>
  </si>
  <si>
    <t>Sanitas y reembolsos</t>
  </si>
  <si>
    <t>Tiquete Catalina Duque Bog - Medellin y Bog - Barranquilla</t>
  </si>
  <si>
    <t xml:space="preserve">Total </t>
  </si>
  <si>
    <t>Reembolso Monica  Martinez Martinez-cc012 - lifenet health</t>
  </si>
  <si>
    <t>Reembolso Sandra Viviana Barba cc065 - Allegis Group Inc</t>
  </si>
  <si>
    <t>El laboratorio de café - Andy Muñoz</t>
  </si>
  <si>
    <t>Tiquete Sandra Barba Bog - Ctg y Bog - Smr</t>
  </si>
  <si>
    <t>Plan Dental 103232083</t>
  </si>
  <si>
    <t>Plan salud 10108211747</t>
  </si>
  <si>
    <t>Tiquete Sandra Bogota -San francisco -Orlando- Bogota</t>
  </si>
  <si>
    <t>Tiquete Andy Muñoz Cartagena-Medellin-Bogota y vsa</t>
  </si>
  <si>
    <t>Gastos del 24 al 31 Marzo</t>
  </si>
  <si>
    <t>Anticipo Reembolso Monica  Martinez Martinez-cc012 - lifenet health</t>
  </si>
  <si>
    <t>FPP464570</t>
  </si>
  <si>
    <t>20911217888</t>
  </si>
  <si>
    <t>20833457861</t>
  </si>
  <si>
    <t>Reembolso Alberto de santa Anna Capedra -CC029 - LEISTRITZ ADVANCED TECHNOLOGIES CORP</t>
  </si>
  <si>
    <t>Anticipo Reembolso Angelica Benitez CC070 - BMC</t>
  </si>
  <si>
    <t>Reembolso Jorge Viera Olivero CC076 - FORGE GLOBAL</t>
  </si>
  <si>
    <t>Reembolso Anaya latorre juan felipe - cc005 - basis global technologies, inc.</t>
  </si>
  <si>
    <t>Reembolso Mateo Jaramillo Meneses - cc005 - basis global technologies, inc.</t>
  </si>
  <si>
    <t>Reembolso Monica Marin Rueda CC082 - CHRISTEL HOUSE INTERNATIONAL</t>
  </si>
  <si>
    <t>Reembolso Luna Rodriguez Salazar CC077 - LANO SOFTWARE GMBH</t>
  </si>
  <si>
    <t>Renovación registro mercantil - Global</t>
  </si>
  <si>
    <t>Reembolso Carla Georgina Arcia - CC070 - BMC</t>
  </si>
  <si>
    <t>Reembolso Monica Martinez CC082 - CHRISTEL HOUSE INTERNATIONAL</t>
  </si>
  <si>
    <t>Reembolso Paula Andrea Alba Grajales CC077 - LANO SOFTWARE GMBH</t>
  </si>
  <si>
    <t>Monetización Sena Marzo</t>
  </si>
  <si>
    <t xml:space="preserve">Tiquete Andy Muñoz Viaje a Chile </t>
  </si>
  <si>
    <t>Monetización - facturación y Offycycle Marzo</t>
  </si>
  <si>
    <t>Monetización - facturación y Offycycle Abril</t>
  </si>
  <si>
    <t>ABRIL</t>
  </si>
  <si>
    <t>Global CS Colombia SAS -Solutions &amp; payroll-Servicio Marzo 2026</t>
  </si>
  <si>
    <t>6778</t>
  </si>
  <si>
    <t>5-272</t>
  </si>
  <si>
    <t>Global CS Colombia SAS -Solutions &amp; payroll- Reembolso Gastos Marzo</t>
  </si>
  <si>
    <t>RTE FTE y SS</t>
  </si>
  <si>
    <t>Gastos adicionales evento hotel - Catalina Duque (Hitachi)</t>
  </si>
  <si>
    <t>Reembolso Juan Giraldo Rios CC037 - EDRINGTON AMERICAS</t>
  </si>
  <si>
    <t>Reembolso Catalina Duque CC021 - HITACHI GLOBAL AIR POWER</t>
  </si>
  <si>
    <t>Liquidación Jorge Crismatt Dungand-Best Formulations</t>
  </si>
  <si>
    <t xml:space="preserve">Bonos anticipados Alberto de Santa Ana y Carlos Hoyos- Leistritz advanced Technologies Corp </t>
  </si>
  <si>
    <t xml:space="preserve">Tiquete Catalina Duque Bog - Lima, guayaquil y Bog </t>
  </si>
  <si>
    <t xml:space="preserve">Tiquete Andy Muñoz  Bog - Lima, guayaquil y Bog </t>
  </si>
  <si>
    <t>Generacióncertificado camara y comercio</t>
  </si>
  <si>
    <t>Pago a proveedor - Ivonne Torres Cotización La piña electrica (anticipo 50%)</t>
  </si>
  <si>
    <t>Pago a proveedor - Ivonne Torres Cotización La piña electrica (saldo 50%)</t>
  </si>
  <si>
    <t>Pago vales sanitas - Ivonne Torres</t>
  </si>
  <si>
    <t>Pago vales sanitas -Maria Gabriela Acosta</t>
  </si>
  <si>
    <t>20833471824</t>
  </si>
  <si>
    <t>Gastos del 27 al 30 Marzo</t>
  </si>
  <si>
    <t>12310363886</t>
  </si>
  <si>
    <t>FPP476539</t>
  </si>
  <si>
    <t>Liquidación Sandra Viviana Barba Lizaralde-Allegis Group</t>
  </si>
  <si>
    <t>Reembolso Alberto Enrique de Santa Ana Campdera  cc029 -Leistritz advanced technologies corp</t>
  </si>
  <si>
    <t>Reembolso Juan Camilo Rozo Pabón CC084 - Dairy Farmers of america inc</t>
  </si>
  <si>
    <t>Reembolso Maria Gabriela Acosta Roman- cc077- Lano Software GMBH</t>
  </si>
  <si>
    <t>20911224616</t>
  </si>
  <si>
    <t>20833497839</t>
  </si>
  <si>
    <t>Reembolso Carla Georgina Arcia - CC083 - ACAPS</t>
  </si>
  <si>
    <t>Reembolso Manuela Barrero cc083 - Acaps</t>
  </si>
  <si>
    <t>Tiquete Catalina Duque viaje a Mexico</t>
  </si>
  <si>
    <t>Monetización - facturación y Offycycle mayo</t>
  </si>
  <si>
    <t>MAYO</t>
  </si>
  <si>
    <t>Renta año 2025</t>
  </si>
  <si>
    <t>Reembolso Previsto</t>
  </si>
  <si>
    <t>Tiquete Previsto</t>
  </si>
  <si>
    <t>6857</t>
  </si>
  <si>
    <t>5-313</t>
  </si>
  <si>
    <t>Global CS Colombia SAS -Solutions &amp; payroll-Servicio abril 2026</t>
  </si>
  <si>
    <t xml:space="preserve">Global CS Colombia SAS -Solutions &amp; payroll- Reembolso Gastos abril </t>
  </si>
  <si>
    <t>Liquidacion prevista</t>
  </si>
  <si>
    <t>Colsanitas</t>
  </si>
  <si>
    <t>Gastos 01 al 27 mayo</t>
  </si>
  <si>
    <t>20911226831</t>
  </si>
  <si>
    <t>20911226519</t>
  </si>
  <si>
    <t>20911226518</t>
  </si>
  <si>
    <t xml:space="preserve">AFC Bancolombia Carlos de real de Abril por devolución </t>
  </si>
  <si>
    <t>Retención de ICA</t>
  </si>
  <si>
    <t>Reembolso Sthepanie del carmen Perez Lanza  cc020 - sophos</t>
  </si>
  <si>
    <t>Tiquete Andy Muñoz Cartagena-Lima y Vsa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</si>
</sst>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\ * #,##0.00_-;\-&quot;$&quot;\ * #,##0.00_-;_-&quot;$&quot;\ 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;;;"/>
    <numFmt numFmtId="169" formatCode="[$$-240A]\ #,##0"/>
    <numFmt numFmtId="170" formatCode=";\:;;"/>
    <numFmt numFmtId="171" formatCode="0.0%"/>
    <numFmt numFmtId="172" formatCode="_-&quot;$&quot;\ * #,##0_-;\-&quot;$&quot;\ * #,##0_-;_-&quot;$&quot;\ * &quot;-&quot;??_-;_-@_-"/>
    <numFmt numFmtId="173" formatCode="dd/mm/yyyy"/>
    <numFmt numFmtId="174" formatCode="[$USD]\ #,##0.00"/>
    <numFmt numFmtId="175" formatCode="_(&quot;$&quot;* #,##0.00_);_(&quot;$&quot;* \(#,##0.00\);_(&quot;$&quot;* &quot;-&quot;_);_(@_)"/>
    <numFmt numFmtId="176" formatCode="[$-F800]dddd\,\ mmmm\ dd\,\ yyyy"/>
    <numFmt numFmtId="177" formatCode="[$USD]\ 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CC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12"/>
      <color rgb="FF0033CC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CC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Frutiger-Bold"/>
    </font>
    <font>
      <sz val="11"/>
      <color theme="0"/>
      <name val="Frutiger-Light"/>
    </font>
    <font>
      <b/>
      <sz val="11"/>
      <color rgb="FF000000"/>
      <name val="Calibri"/>
      <family val="2"/>
    </font>
    <font>
      <b/>
      <sz val="12"/>
      <color rgb="FF0033CC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0"/>
      <color rgb="FF0000CC"/>
      <name val="Calibri"/>
      <family val="2"/>
      <scheme val="minor"/>
    </font>
    <font>
      <b/>
      <i/>
      <u/>
      <sz val="10"/>
      <color rgb="FF0000CC"/>
      <name val="Calibri"/>
      <family val="2"/>
      <scheme val="minor"/>
    </font>
    <font>
      <b/>
      <i/>
      <sz val="11"/>
      <color rgb="FF0000CC"/>
      <name val="Calibri"/>
      <family val="2"/>
      <scheme val="minor"/>
    </font>
    <font>
      <sz val="12"/>
      <color rgb="FFFF0000"/>
      <name val="Frutiger-Bold"/>
    </font>
    <font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1F4F9"/>
      </patternFill>
    </fill>
  </fills>
  <borders count="3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/>
      <top style="medium">
        <color indexed="9"/>
      </top>
      <bottom style="thin">
        <color indexed="9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thin">
        <color indexed="9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9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42">
    <xf numFmtId="0" fontId="0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0" fontId="7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166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64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164" fontId="1" fillId="0" borderId="0" xfId="3" applyFont="1" applyFill="1" applyBorder="1"/>
    <xf numFmtId="164" fontId="6" fillId="0" borderId="0" xfId="3" applyFont="1" applyBorder="1" applyAlignment="1">
      <alignment horizontal="center"/>
    </xf>
    <xf numFmtId="0" fontId="8" fillId="0" borderId="0" xfId="4" applyFont="1" applyAlignment="1" applyProtection="1">
      <protection locked="0"/>
    </xf>
    <xf numFmtId="0" fontId="9" fillId="0" borderId="0" xfId="4" applyFont="1" applyAlignment="1" applyProtection="1">
      <alignment horizontal="center" vertical="center"/>
      <protection locked="0"/>
    </xf>
    <xf numFmtId="0" fontId="10" fillId="2" borderId="1" xfId="4" applyFont="1" applyFill="1" applyBorder="1" applyAlignment="1">
      <alignment horizontal="left" vertical="center"/>
    </xf>
    <xf numFmtId="164" fontId="10" fillId="2" borderId="1" xfId="3" applyFont="1" applyFill="1" applyBorder="1" applyAlignment="1" applyProtection="1">
      <alignment vertical="top"/>
    </xf>
    <xf numFmtId="0" fontId="8" fillId="0" borderId="0" xfId="4" applyFont="1" applyAlignment="1" applyProtection="1">
      <alignment horizontal="center"/>
      <protection locked="0"/>
    </xf>
    <xf numFmtId="0" fontId="8" fillId="0" borderId="0" xfId="4" applyFont="1" applyAlignment="1">
      <alignment horizontal="left" wrapText="1" indent="1"/>
    </xf>
    <xf numFmtId="164" fontId="8" fillId="0" borderId="0" xfId="3" applyFont="1" applyFill="1" applyBorder="1" applyAlignment="1" applyProtection="1">
      <alignment vertical="top"/>
    </xf>
    <xf numFmtId="0" fontId="2" fillId="0" borderId="0" xfId="4" applyFont="1" applyAlignment="1" applyProtection="1">
      <protection locked="0"/>
    </xf>
    <xf numFmtId="164" fontId="8" fillId="0" borderId="0" xfId="4" applyNumberFormat="1" applyFont="1" applyAlignment="1" applyProtection="1">
      <protection locked="0"/>
    </xf>
    <xf numFmtId="164" fontId="1" fillId="0" borderId="0" xfId="3" applyFont="1" applyFill="1" applyBorder="1" applyAlignment="1" applyProtection="1">
      <alignment vertical="top"/>
    </xf>
    <xf numFmtId="169" fontId="8" fillId="0" borderId="0" xfId="4" applyNumberFormat="1" applyFont="1" applyAlignment="1" applyProtection="1">
      <protection locked="0"/>
    </xf>
    <xf numFmtId="164" fontId="2" fillId="0" borderId="0" xfId="3" applyFont="1" applyFill="1" applyBorder="1" applyAlignment="1" applyProtection="1">
      <alignment vertical="top"/>
    </xf>
    <xf numFmtId="0" fontId="12" fillId="3" borderId="0" xfId="5" applyFont="1" applyFill="1"/>
    <xf numFmtId="164" fontId="12" fillId="3" borderId="0" xfId="3" applyFont="1" applyFill="1"/>
    <xf numFmtId="164" fontId="13" fillId="0" borderId="0" xfId="3" applyFont="1" applyFill="1" applyBorder="1" applyAlignment="1" applyProtection="1">
      <protection locked="0"/>
    </xf>
    <xf numFmtId="164" fontId="13" fillId="0" borderId="0" xfId="4" applyNumberFormat="1" applyFont="1" applyAlignment="1" applyProtection="1">
      <protection locked="0"/>
    </xf>
    <xf numFmtId="0" fontId="13" fillId="0" borderId="0" xfId="4" applyFont="1" applyAlignment="1" applyProtection="1"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0" fontId="15" fillId="0" borderId="0" xfId="4" applyFont="1" applyAlignment="1" applyProtection="1">
      <alignment horizontal="center" vertical="center"/>
      <protection locked="0"/>
    </xf>
    <xf numFmtId="0" fontId="10" fillId="4" borderId="0" xfId="5" applyFont="1" applyFill="1" applyAlignment="1">
      <alignment horizontal="center"/>
    </xf>
    <xf numFmtId="14" fontId="10" fillId="4" borderId="0" xfId="5" applyNumberFormat="1" applyFont="1" applyFill="1" applyAlignment="1">
      <alignment horizontal="center"/>
    </xf>
    <xf numFmtId="0" fontId="13" fillId="0" borderId="0" xfId="4" applyFont="1" applyAlignment="1" applyProtection="1">
      <alignment horizontal="center"/>
      <protection locked="0"/>
    </xf>
    <xf numFmtId="0" fontId="13" fillId="0" borderId="0" xfId="4" applyFont="1" applyAlignment="1">
      <alignment horizontal="left" wrapText="1" indent="1"/>
    </xf>
    <xf numFmtId="164" fontId="13" fillId="0" borderId="0" xfId="3" applyFont="1" applyFill="1" applyBorder="1" applyAlignment="1" applyProtection="1">
      <alignment vertical="top"/>
    </xf>
    <xf numFmtId="0" fontId="13" fillId="0" borderId="0" xfId="4" applyFont="1" applyAlignment="1" applyProtection="1">
      <alignment wrapText="1"/>
      <protection locked="0"/>
    </xf>
    <xf numFmtId="0" fontId="13" fillId="0" borderId="0" xfId="4" applyFont="1" applyAlignment="1" applyProtection="1">
      <alignment horizontal="center" wrapText="1"/>
      <protection locked="0"/>
    </xf>
    <xf numFmtId="0" fontId="14" fillId="0" borderId="0" xfId="4" applyFont="1" applyAlignment="1" applyProtection="1">
      <alignment horizontal="center" vertical="center"/>
      <protection locked="0"/>
    </xf>
    <xf numFmtId="9" fontId="8" fillId="0" borderId="0" xfId="1" applyFont="1" applyFill="1" applyBorder="1" applyAlignment="1" applyProtection="1">
      <alignment horizontal="center"/>
      <protection locked="0"/>
    </xf>
    <xf numFmtId="14" fontId="8" fillId="0" borderId="0" xfId="4" applyNumberFormat="1" applyFont="1" applyAlignment="1" applyProtection="1">
      <protection locked="0"/>
    </xf>
    <xf numFmtId="170" fontId="8" fillId="0" borderId="0" xfId="6" applyNumberFormat="1" applyFont="1" applyBorder="1" applyAlignment="1" applyProtection="1">
      <protection locked="0"/>
    </xf>
    <xf numFmtId="164" fontId="17" fillId="0" borderId="0" xfId="3" applyFont="1" applyFill="1" applyBorder="1" applyAlignment="1" applyProtection="1">
      <alignment vertical="top"/>
    </xf>
    <xf numFmtId="170" fontId="8" fillId="0" borderId="0" xfId="6" applyNumberFormat="1" applyFont="1" applyFill="1" applyBorder="1" applyAlignment="1" applyProtection="1">
      <protection locked="0"/>
    </xf>
    <xf numFmtId="0" fontId="8" fillId="0" borderId="0" xfId="4" applyFont="1" applyAlignment="1" applyProtection="1">
      <alignment horizontal="center" wrapText="1"/>
      <protection locked="0"/>
    </xf>
    <xf numFmtId="0" fontId="2" fillId="0" borderId="0" xfId="4" applyFont="1" applyAlignment="1" applyProtection="1">
      <alignment horizontal="center"/>
      <protection locked="0"/>
    </xf>
    <xf numFmtId="171" fontId="8" fillId="0" borderId="0" xfId="1" applyNumberFormat="1" applyFont="1" applyFill="1" applyBorder="1" applyAlignment="1" applyProtection="1">
      <protection locked="0"/>
    </xf>
    <xf numFmtId="0" fontId="4" fillId="6" borderId="0" xfId="2" applyFont="1" applyFill="1"/>
    <xf numFmtId="3" fontId="12" fillId="7" borderId="0" xfId="4" applyNumberFormat="1" applyFont="1" applyFill="1" applyAlignment="1">
      <alignment vertical="top"/>
    </xf>
    <xf numFmtId="0" fontId="20" fillId="8" borderId="0" xfId="5" applyFont="1" applyFill="1"/>
    <xf numFmtId="164" fontId="12" fillId="8" borderId="0" xfId="3" applyFont="1" applyFill="1"/>
    <xf numFmtId="164" fontId="1" fillId="0" borderId="0" xfId="2" applyNumberFormat="1"/>
    <xf numFmtId="168" fontId="1" fillId="0" borderId="0" xfId="2" applyNumberFormat="1"/>
    <xf numFmtId="168" fontId="1" fillId="0" borderId="0" xfId="2" applyNumberFormat="1" applyAlignment="1">
      <alignment horizontal="center"/>
    </xf>
    <xf numFmtId="10" fontId="21" fillId="8" borderId="0" xfId="5" applyNumberFormat="1" applyFont="1" applyFill="1" applyAlignment="1">
      <alignment horizontal="right"/>
    </xf>
    <xf numFmtId="164" fontId="1" fillId="0" borderId="0" xfId="2" applyNumberFormat="1" applyAlignment="1">
      <alignment horizontal="right"/>
    </xf>
    <xf numFmtId="164" fontId="3" fillId="0" borderId="0" xfId="2" applyNumberFormat="1" applyFont="1"/>
    <xf numFmtId="0" fontId="22" fillId="0" borderId="0" xfId="27" applyFont="1"/>
    <xf numFmtId="0" fontId="0" fillId="0" borderId="0" xfId="27" applyFont="1"/>
    <xf numFmtId="14" fontId="0" fillId="0" borderId="0" xfId="27" applyNumberFormat="1" applyFont="1"/>
    <xf numFmtId="9" fontId="0" fillId="0" borderId="0" xfId="6" applyFont="1" applyAlignment="1"/>
    <xf numFmtId="164" fontId="6" fillId="0" borderId="0" xfId="4" applyNumberFormat="1" applyFont="1" applyAlignment="1" applyProtection="1">
      <alignment horizontal="right"/>
      <protection locked="0"/>
    </xf>
    <xf numFmtId="3" fontId="23" fillId="0" borderId="0" xfId="4" applyNumberFormat="1" applyFont="1" applyAlignment="1" applyProtection="1">
      <alignment horizontal="center" vertical="center"/>
      <protection locked="0"/>
    </xf>
    <xf numFmtId="164" fontId="8" fillId="0" borderId="0" xfId="3" applyFont="1" applyFill="1" applyBorder="1" applyAlignment="1" applyProtection="1">
      <alignment vertical="top"/>
      <protection hidden="1"/>
    </xf>
    <xf numFmtId="0" fontId="0" fillId="0" borderId="0" xfId="4" applyFont="1" applyAlignment="1">
      <alignment horizontal="left" wrapText="1" indent="1"/>
    </xf>
    <xf numFmtId="164" fontId="3" fillId="0" borderId="0" xfId="3" applyFont="1" applyFill="1" applyBorder="1"/>
    <xf numFmtId="0" fontId="3" fillId="0" borderId="0" xfId="0" applyFont="1"/>
    <xf numFmtId="0" fontId="22" fillId="0" borderId="0" xfId="0" applyFont="1" applyAlignment="1">
      <alignment horizontal="center" vertical="center" wrapText="1"/>
    </xf>
    <xf numFmtId="174" fontId="5" fillId="0" borderId="0" xfId="0" applyNumberFormat="1" applyFont="1" applyAlignment="1">
      <alignment horizontal="right" vertical="center"/>
    </xf>
    <xf numFmtId="173" fontId="5" fillId="0" borderId="5" xfId="0" applyNumberFormat="1" applyFont="1" applyBorder="1" applyAlignment="1">
      <alignment horizontal="center" vertical="center"/>
    </xf>
    <xf numFmtId="174" fontId="0" fillId="0" borderId="0" xfId="0" applyNumberFormat="1"/>
    <xf numFmtId="174" fontId="11" fillId="10" borderId="12" xfId="0" applyNumberFormat="1" applyFont="1" applyFill="1" applyBorder="1"/>
    <xf numFmtId="173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0" fontId="11" fillId="0" borderId="0" xfId="0" applyFont="1"/>
    <xf numFmtId="44" fontId="0" fillId="0" borderId="0" xfId="39" applyFont="1"/>
    <xf numFmtId="14" fontId="0" fillId="0" borderId="0" xfId="0" applyNumberFormat="1"/>
    <xf numFmtId="44" fontId="3" fillId="0" borderId="0" xfId="0" applyNumberFormat="1" applyFont="1"/>
    <xf numFmtId="44" fontId="19" fillId="0" borderId="0" xfId="0" applyNumberFormat="1" applyFont="1"/>
    <xf numFmtId="44" fontId="0" fillId="0" borderId="6" xfId="39" applyFont="1" applyBorder="1"/>
    <xf numFmtId="0" fontId="0" fillId="0" borderId="0" xfId="0" applyAlignment="1">
      <alignment wrapText="1"/>
    </xf>
    <xf numFmtId="14" fontId="11" fillId="0" borderId="0" xfId="0" applyNumberFormat="1" applyFont="1"/>
    <xf numFmtId="44" fontId="11" fillId="0" borderId="0" xfId="39" applyFont="1"/>
    <xf numFmtId="0" fontId="26" fillId="0" borderId="0" xfId="0" applyFont="1"/>
    <xf numFmtId="44" fontId="26" fillId="0" borderId="0" xfId="39" applyFont="1"/>
    <xf numFmtId="14" fontId="0" fillId="0" borderId="0" xfId="0" applyNumberFormat="1" applyAlignment="1">
      <alignment horizontal="center"/>
    </xf>
    <xf numFmtId="172" fontId="3" fillId="0" borderId="0" xfId="39" applyNumberFormat="1" applyFont="1"/>
    <xf numFmtId="0" fontId="19" fillId="0" borderId="0" xfId="0" applyFont="1"/>
    <xf numFmtId="0" fontId="8" fillId="0" borderId="0" xfId="0" applyFont="1"/>
    <xf numFmtId="44" fontId="8" fillId="0" borderId="0" xfId="39" applyFont="1"/>
    <xf numFmtId="14" fontId="8" fillId="0" borderId="0" xfId="0" applyNumberFormat="1" applyFont="1"/>
    <xf numFmtId="174" fontId="11" fillId="0" borderId="0" xfId="0" applyNumberFormat="1" applyFont="1"/>
    <xf numFmtId="44" fontId="0" fillId="0" borderId="6" xfId="39" applyFont="1" applyFill="1" applyBorder="1"/>
    <xf numFmtId="44" fontId="0" fillId="0" borderId="0" xfId="39" applyFont="1" applyFill="1"/>
    <xf numFmtId="0" fontId="28" fillId="0" borderId="0" xfId="0" applyFont="1"/>
    <xf numFmtId="44" fontId="0" fillId="0" borderId="0" xfId="0" applyNumberFormat="1"/>
    <xf numFmtId="44" fontId="0" fillId="0" borderId="6" xfId="0" applyNumberFormat="1" applyBorder="1"/>
    <xf numFmtId="44" fontId="11" fillId="0" borderId="0" xfId="0" applyNumberFormat="1" applyFont="1"/>
    <xf numFmtId="44" fontId="1" fillId="0" borderId="0" xfId="39" applyFont="1" applyFill="1"/>
    <xf numFmtId="44" fontId="0" fillId="0" borderId="0" xfId="39" applyFont="1" applyFill="1" applyBorder="1"/>
    <xf numFmtId="44" fontId="5" fillId="0" borderId="11" xfId="39" applyFont="1" applyFill="1" applyBorder="1" applyAlignment="1">
      <alignment horizontal="center" vertical="center"/>
    </xf>
    <xf numFmtId="0" fontId="14" fillId="0" borderId="0" xfId="5" applyFont="1"/>
    <xf numFmtId="164" fontId="14" fillId="0" borderId="0" xfId="3" applyFont="1" applyFill="1"/>
    <xf numFmtId="0" fontId="0" fillId="0" borderId="0" xfId="0" applyAlignment="1">
      <alignment horizontal="center"/>
    </xf>
    <xf numFmtId="173" fontId="5" fillId="0" borderId="2" xfId="0" applyNumberFormat="1" applyFont="1" applyBorder="1" applyAlignment="1">
      <alignment horizontal="center" vertical="center"/>
    </xf>
    <xf numFmtId="174" fontId="5" fillId="0" borderId="11" xfId="0" applyNumberFormat="1" applyFont="1" applyBorder="1" applyAlignment="1">
      <alignment horizontal="right" vertical="center"/>
    </xf>
    <xf numFmtId="174" fontId="5" fillId="0" borderId="11" xfId="0" applyNumberFormat="1" applyFont="1" applyBorder="1" applyAlignment="1">
      <alignment vertical="center"/>
    </xf>
    <xf numFmtId="44" fontId="11" fillId="0" borderId="0" xfId="39" applyFont="1" applyFill="1" applyBorder="1"/>
    <xf numFmtId="9" fontId="25" fillId="0" borderId="13" xfId="4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2" fontId="5" fillId="0" borderId="5" xfId="39" applyNumberFormat="1" applyFont="1" applyFill="1" applyBorder="1" applyAlignment="1">
      <alignment horizontal="center" vertical="center"/>
    </xf>
    <xf numFmtId="44" fontId="5" fillId="0" borderId="4" xfId="39" applyFont="1" applyFill="1" applyBorder="1" applyAlignment="1">
      <alignment horizontal="left" vertical="center"/>
    </xf>
    <xf numFmtId="44" fontId="5" fillId="0" borderId="10" xfId="39" applyFont="1" applyFill="1" applyBorder="1" applyAlignment="1">
      <alignment horizontal="left" vertical="center"/>
    </xf>
    <xf numFmtId="172" fontId="5" fillId="0" borderId="4" xfId="39" applyNumberFormat="1" applyFont="1" applyFill="1" applyBorder="1" applyAlignment="1">
      <alignment horizontal="left" vertical="center"/>
    </xf>
    <xf numFmtId="44" fontId="5" fillId="0" borderId="3" xfId="39" applyFont="1" applyFill="1" applyBorder="1" applyAlignment="1">
      <alignment horizontal="left" vertical="center"/>
    </xf>
    <xf numFmtId="0" fontId="22" fillId="11" borderId="8" xfId="0" applyFont="1" applyFill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center" vertical="center" wrapText="1"/>
    </xf>
    <xf numFmtId="172" fontId="5" fillId="0" borderId="2" xfId="39" applyNumberFormat="1" applyFont="1" applyFill="1" applyBorder="1" applyAlignment="1">
      <alignment horizontal="center" vertical="center"/>
    </xf>
    <xf numFmtId="174" fontId="5" fillId="0" borderId="10" xfId="0" applyNumberFormat="1" applyFont="1" applyBorder="1" applyAlignment="1">
      <alignment horizontal="right" vertical="center"/>
    </xf>
    <xf numFmtId="44" fontId="5" fillId="0" borderId="11" xfId="39" applyFont="1" applyFill="1" applyBorder="1" applyAlignment="1">
      <alignment horizontal="left" vertical="center"/>
    </xf>
    <xf numFmtId="0" fontId="3" fillId="0" borderId="0" xfId="2" applyFont="1"/>
    <xf numFmtId="172" fontId="8" fillId="0" borderId="0" xfId="39" applyNumberFormat="1" applyFont="1" applyFill="1" applyAlignment="1" applyProtection="1">
      <protection locked="0"/>
    </xf>
    <xf numFmtId="0" fontId="29" fillId="9" borderId="0" xfId="5" applyFont="1" applyFill="1"/>
    <xf numFmtId="164" fontId="30" fillId="9" borderId="0" xfId="3" applyFont="1" applyFill="1"/>
    <xf numFmtId="0" fontId="0" fillId="0" borderId="0" xfId="2" applyFont="1"/>
    <xf numFmtId="0" fontId="1" fillId="0" borderId="0" xfId="4" applyFont="1" applyAlignment="1" applyProtection="1">
      <alignment horizontal="center"/>
      <protection locked="0"/>
    </xf>
    <xf numFmtId="3" fontId="12" fillId="0" borderId="0" xfId="4" applyNumberFormat="1" applyFont="1" applyAlignment="1">
      <alignment vertical="top"/>
    </xf>
    <xf numFmtId="0" fontId="22" fillId="11" borderId="14" xfId="0" applyFont="1" applyFill="1" applyBorder="1" applyAlignment="1">
      <alignment horizontal="center" vertical="center" wrapText="1"/>
    </xf>
    <xf numFmtId="44" fontId="11" fillId="10" borderId="14" xfId="39" applyFont="1" applyFill="1" applyBorder="1"/>
    <xf numFmtId="174" fontId="11" fillId="10" borderId="14" xfId="0" applyNumberFormat="1" applyFont="1" applyFill="1" applyBorder="1"/>
    <xf numFmtId="0" fontId="8" fillId="0" borderId="0" xfId="4" applyFont="1" applyAlignment="1" applyProtection="1">
      <alignment horizontal="right"/>
      <protection locked="0"/>
    </xf>
    <xf numFmtId="16" fontId="8" fillId="0" borderId="0" xfId="4" applyNumberFormat="1" applyFont="1" applyAlignment="1" applyProtection="1">
      <protection locked="0"/>
    </xf>
    <xf numFmtId="0" fontId="11" fillId="0" borderId="0" xfId="4" applyFont="1" applyAlignment="1" applyProtection="1">
      <alignment horizontal="right"/>
      <protection locked="0"/>
    </xf>
    <xf numFmtId="164" fontId="11" fillId="0" borderId="0" xfId="4" applyNumberFormat="1" applyFont="1" applyAlignment="1" applyProtection="1">
      <protection locked="0"/>
    </xf>
    <xf numFmtId="0" fontId="31" fillId="0" borderId="0" xfId="4" applyFont="1" applyAlignment="1" applyProtection="1">
      <protection locked="0"/>
    </xf>
    <xf numFmtId="164" fontId="31" fillId="0" borderId="0" xfId="4" applyNumberFormat="1" applyFont="1" applyAlignment="1" applyProtection="1">
      <protection locked="0"/>
    </xf>
    <xf numFmtId="0" fontId="16" fillId="5" borderId="15" xfId="4" applyFont="1" applyFill="1" applyBorder="1" applyAlignment="1">
      <alignment horizontal="left" vertical="center"/>
    </xf>
    <xf numFmtId="164" fontId="16" fillId="5" borderId="16" xfId="3" applyFont="1" applyFill="1" applyBorder="1" applyAlignment="1" applyProtection="1">
      <alignment horizontal="center" vertical="center"/>
    </xf>
    <xf numFmtId="0" fontId="18" fillId="5" borderId="15" xfId="4" applyFont="1" applyFill="1" applyBorder="1" applyAlignment="1">
      <alignment horizontal="left" vertical="center"/>
    </xf>
    <xf numFmtId="164" fontId="12" fillId="6" borderId="17" xfId="3" applyFont="1" applyFill="1" applyBorder="1" applyAlignment="1" applyProtection="1">
      <alignment vertical="top"/>
    </xf>
    <xf numFmtId="0" fontId="3" fillId="0" borderId="20" xfId="0" applyFont="1" applyBorder="1" applyAlignment="1">
      <alignment horizontal="center"/>
    </xf>
    <xf numFmtId="0" fontId="22" fillId="11" borderId="19" xfId="0" applyFont="1" applyFill="1" applyBorder="1" applyAlignment="1">
      <alignment horizontal="center" vertical="center" wrapText="1"/>
    </xf>
    <xf numFmtId="0" fontId="22" fillId="11" borderId="20" xfId="0" applyFont="1" applyFill="1" applyBorder="1" applyAlignment="1">
      <alignment horizontal="center" vertical="center" wrapText="1"/>
    </xf>
    <xf numFmtId="44" fontId="11" fillId="10" borderId="21" xfId="39" applyFont="1" applyFill="1" applyBorder="1"/>
    <xf numFmtId="44" fontId="11" fillId="10" borderId="22" xfId="39" applyFont="1" applyFill="1" applyBorder="1"/>
    <xf numFmtId="44" fontId="19" fillId="10" borderId="22" xfId="39" applyFont="1" applyFill="1" applyBorder="1"/>
    <xf numFmtId="10" fontId="8" fillId="0" borderId="0" xfId="1" applyNumberFormat="1" applyFont="1" applyAlignment="1" applyProtection="1">
      <protection locked="0"/>
    </xf>
    <xf numFmtId="164" fontId="11" fillId="0" borderId="0" xfId="3" applyFont="1" applyFill="1" applyBorder="1" applyAlignment="1" applyProtection="1">
      <alignment vertical="top"/>
    </xf>
    <xf numFmtId="0" fontId="0" fillId="0" borderId="21" xfId="41" applyFont="1" applyBorder="1" applyAlignment="1">
      <alignment horizontal="left"/>
    </xf>
    <xf numFmtId="164" fontId="1" fillId="0" borderId="22" xfId="3" applyFont="1" applyFill="1" applyBorder="1"/>
    <xf numFmtId="44" fontId="1" fillId="0" borderId="0" xfId="2" applyNumberFormat="1"/>
    <xf numFmtId="164" fontId="3" fillId="0" borderId="0" xfId="2" applyNumberFormat="1" applyFont="1" applyAlignment="1">
      <alignment horizontal="left" indent="3"/>
    </xf>
    <xf numFmtId="164" fontId="1" fillId="0" borderId="0" xfId="2" applyNumberFormat="1" applyAlignment="1">
      <alignment horizontal="left" indent="3"/>
    </xf>
    <xf numFmtId="164" fontId="12" fillId="6" borderId="23" xfId="3" applyFont="1" applyFill="1" applyBorder="1" applyAlignment="1" applyProtection="1">
      <alignment vertical="top"/>
    </xf>
    <xf numFmtId="172" fontId="1" fillId="0" borderId="0" xfId="2" applyNumberFormat="1"/>
    <xf numFmtId="164" fontId="0" fillId="0" borderId="0" xfId="3" applyFont="1" applyFill="1" applyBorder="1"/>
    <xf numFmtId="164" fontId="2" fillId="0" borderId="0" xfId="4" applyNumberFormat="1" applyFont="1" applyAlignment="1" applyProtection="1">
      <protection locked="0"/>
    </xf>
    <xf numFmtId="14" fontId="5" fillId="0" borderId="0" xfId="5" applyNumberFormat="1"/>
    <xf numFmtId="14" fontId="0" fillId="0" borderId="0" xfId="5" applyNumberFormat="1" applyFont="1"/>
    <xf numFmtId="14" fontId="1" fillId="0" borderId="0" xfId="4" applyNumberFormat="1" applyFont="1" applyAlignment="1" applyProtection="1">
      <protection locked="0"/>
    </xf>
    <xf numFmtId="172" fontId="8" fillId="0" borderId="0" xfId="0" applyNumberFormat="1" applyFont="1" applyProtection="1">
      <protection locked="0"/>
    </xf>
    <xf numFmtId="0" fontId="19" fillId="0" borderId="0" xfId="2" applyFont="1"/>
    <xf numFmtId="14" fontId="4" fillId="0" borderId="0" xfId="4" applyNumberFormat="1" applyFont="1" applyAlignment="1" applyProtection="1">
      <protection locked="0"/>
    </xf>
    <xf numFmtId="0" fontId="4" fillId="0" borderId="0" xfId="4" applyFont="1" applyAlignment="1" applyProtection="1">
      <protection locked="0"/>
    </xf>
    <xf numFmtId="0" fontId="28" fillId="0" borderId="0" xfId="2" applyFont="1"/>
    <xf numFmtId="14" fontId="0" fillId="0" borderId="0" xfId="4" applyNumberFormat="1" applyFont="1" applyAlignment="1" applyProtection="1">
      <protection locked="0"/>
    </xf>
    <xf numFmtId="0" fontId="0" fillId="0" borderId="0" xfId="4" applyFont="1" applyAlignment="1" applyProtection="1">
      <alignment horizontal="center"/>
      <protection locked="0"/>
    </xf>
    <xf numFmtId="14" fontId="19" fillId="0" borderId="0" xfId="2" applyNumberFormat="1" applyFont="1" applyAlignment="1">
      <alignment horizontal="center"/>
    </xf>
    <xf numFmtId="164" fontId="28" fillId="0" borderId="0" xfId="3" applyFont="1" applyFill="1" applyBorder="1" applyAlignment="1" applyProtection="1">
      <alignment vertical="top"/>
    </xf>
    <xf numFmtId="14" fontId="1" fillId="0" borderId="30" xfId="2" applyNumberFormat="1" applyBorder="1"/>
    <xf numFmtId="175" fontId="1" fillId="0" borderId="0" xfId="2" applyNumberFormat="1"/>
    <xf numFmtId="14" fontId="1" fillId="0" borderId="24" xfId="2" applyNumberFormat="1" applyBorder="1"/>
    <xf numFmtId="14" fontId="1" fillId="0" borderId="27" xfId="2" applyNumberFormat="1" applyBorder="1"/>
    <xf numFmtId="14" fontId="1" fillId="0" borderId="28" xfId="2" applyNumberFormat="1" applyBorder="1"/>
    <xf numFmtId="164" fontId="1" fillId="0" borderId="26" xfId="2" applyNumberFormat="1" applyBorder="1"/>
    <xf numFmtId="164" fontId="1" fillId="0" borderId="29" xfId="2" applyNumberFormat="1" applyBorder="1"/>
    <xf numFmtId="164" fontId="1" fillId="0" borderId="32" xfId="2" applyNumberFormat="1" applyBorder="1"/>
    <xf numFmtId="49" fontId="0" fillId="0" borderId="0" xfId="4" applyNumberFormat="1" applyFont="1" applyAlignment="1" applyProtection="1">
      <alignment horizontal="center" wrapText="1"/>
      <protection locked="0"/>
    </xf>
    <xf numFmtId="44" fontId="3" fillId="0" borderId="0" xfId="39" applyFont="1" applyFill="1"/>
    <xf numFmtId="14" fontId="8" fillId="0" borderId="25" xfId="4" applyNumberFormat="1" applyFont="1" applyBorder="1" applyAlignment="1" applyProtection="1">
      <protection locked="0"/>
    </xf>
    <xf numFmtId="14" fontId="8" fillId="0" borderId="28" xfId="4" applyNumberFormat="1" applyFont="1" applyBorder="1" applyAlignment="1" applyProtection="1">
      <protection locked="0"/>
    </xf>
    <xf numFmtId="44" fontId="3" fillId="0" borderId="0" xfId="2" applyNumberFormat="1" applyFont="1"/>
    <xf numFmtId="49" fontId="8" fillId="0" borderId="0" xfId="4" applyNumberFormat="1" applyFont="1" applyAlignment="1" applyProtection="1">
      <alignment horizontal="center"/>
      <protection locked="0"/>
    </xf>
    <xf numFmtId="49" fontId="1" fillId="0" borderId="0" xfId="4" applyNumberFormat="1" applyFont="1" applyAlignment="1" applyProtection="1">
      <alignment horizontal="center"/>
      <protection locked="0"/>
    </xf>
    <xf numFmtId="44" fontId="1" fillId="0" borderId="0" xfId="39" applyFont="1" applyFill="1" applyAlignment="1">
      <alignment horizontal="center" vertical="center" wrapText="1"/>
    </xf>
    <xf numFmtId="164" fontId="11" fillId="0" borderId="0" xfId="3" applyFont="1" applyFill="1" applyBorder="1"/>
    <xf numFmtId="44" fontId="11" fillId="0" borderId="0" xfId="2" applyNumberFormat="1" applyFont="1"/>
    <xf numFmtId="0" fontId="32" fillId="0" borderId="0" xfId="4" applyFont="1" applyAlignment="1" applyProtection="1">
      <protection locked="0"/>
    </xf>
    <xf numFmtId="176" fontId="11" fillId="0" borderId="0" xfId="41" applyNumberFormat="1" applyFont="1" applyAlignment="1">
      <alignment horizontal="right"/>
    </xf>
    <xf numFmtId="168" fontId="8" fillId="0" borderId="0" xfId="0" applyNumberFormat="1" applyFont="1" applyProtection="1">
      <protection locked="0"/>
    </xf>
    <xf numFmtId="14" fontId="8" fillId="0" borderId="31" xfId="4" applyNumberFormat="1" applyFont="1" applyBorder="1" applyAlignment="1" applyProtection="1">
      <protection locked="0"/>
    </xf>
    <xf numFmtId="0" fontId="1" fillId="0" borderId="25" xfId="2" applyBorder="1"/>
    <xf numFmtId="164" fontId="1" fillId="0" borderId="25" xfId="2" applyNumberFormat="1" applyBorder="1"/>
    <xf numFmtId="164" fontId="1" fillId="0" borderId="28" xfId="2" applyNumberFormat="1" applyBorder="1"/>
    <xf numFmtId="0" fontId="1" fillId="0" borderId="28" xfId="2" applyBorder="1"/>
    <xf numFmtId="0" fontId="1" fillId="0" borderId="31" xfId="2" applyBorder="1"/>
    <xf numFmtId="164" fontId="1" fillId="0" borderId="31" xfId="2" applyNumberFormat="1" applyBorder="1"/>
    <xf numFmtId="0" fontId="0" fillId="0" borderId="14" xfId="0" applyBorder="1" applyAlignment="1">
      <alignment horizontal="center"/>
    </xf>
    <xf numFmtId="174" fontId="0" fillId="0" borderId="26" xfId="0" applyNumberFormat="1" applyBorder="1"/>
    <xf numFmtId="177" fontId="12" fillId="6" borderId="23" xfId="3" applyNumberFormat="1" applyFont="1" applyFill="1" applyBorder="1" applyAlignment="1" applyProtection="1">
      <alignment vertical="top"/>
    </xf>
    <xf numFmtId="174" fontId="0" fillId="0" borderId="29" xfId="0" applyNumberFormat="1" applyBorder="1"/>
    <xf numFmtId="174" fontId="0" fillId="0" borderId="32" xfId="0" applyNumberFormat="1" applyBorder="1"/>
    <xf numFmtId="44" fontId="0" fillId="0" borderId="34" xfId="0" applyNumberFormat="1" applyBorder="1"/>
    <xf numFmtId="174" fontId="0" fillId="0" borderId="22" xfId="0" applyNumberFormat="1" applyBorder="1"/>
    <xf numFmtId="0" fontId="3" fillId="0" borderId="21" xfId="0" applyFont="1" applyBorder="1"/>
    <xf numFmtId="0" fontId="33" fillId="8" borderId="36" xfId="0" applyFont="1" applyFill="1" applyBorder="1"/>
    <xf numFmtId="164" fontId="33" fillId="8" borderId="37" xfId="0" applyNumberFormat="1" applyFont="1" applyFill="1" applyBorder="1"/>
    <xf numFmtId="177" fontId="33" fillId="8" borderId="37" xfId="0" applyNumberFormat="1" applyFont="1" applyFill="1" applyBorder="1"/>
    <xf numFmtId="0" fontId="3" fillId="0" borderId="24" xfId="0" applyFont="1" applyBorder="1"/>
    <xf numFmtId="164" fontId="3" fillId="0" borderId="25" xfId="0" applyNumberFormat="1" applyFont="1" applyBorder="1"/>
    <xf numFmtId="174" fontId="3" fillId="0" borderId="26" xfId="0" applyNumberFormat="1" applyFont="1" applyBorder="1"/>
    <xf numFmtId="0" fontId="3" fillId="0" borderId="30" xfId="0" applyFont="1" applyBorder="1"/>
    <xf numFmtId="164" fontId="3" fillId="0" borderId="31" xfId="0" applyNumberFormat="1" applyFont="1" applyBorder="1"/>
    <xf numFmtId="174" fontId="3" fillId="0" borderId="32" xfId="0" applyNumberFormat="1" applyFont="1" applyBorder="1"/>
    <xf numFmtId="49" fontId="0" fillId="0" borderId="0" xfId="4" applyNumberFormat="1" applyFont="1" applyAlignment="1" applyProtection="1">
      <alignment horizontal="center"/>
      <protection locked="0"/>
    </xf>
    <xf numFmtId="49" fontId="1" fillId="0" borderId="0" xfId="4" applyNumberFormat="1" applyFont="1" applyAlignment="1" applyProtection="1">
      <alignment horizontal="center" wrapText="1"/>
      <protection locked="0"/>
    </xf>
    <xf numFmtId="14" fontId="0" fillId="0" borderId="28" xfId="2" applyNumberFormat="1" applyFont="1" applyBorder="1"/>
    <xf numFmtId="44" fontId="1" fillId="0" borderId="0" xfId="39"/>
    <xf numFmtId="49" fontId="2" fillId="0" borderId="0" xfId="4" applyNumberFormat="1" applyFont="1" applyAlignment="1" applyProtection="1">
      <alignment horizontal="center"/>
      <protection locked="0"/>
    </xf>
    <xf numFmtId="0" fontId="8" fillId="9" borderId="0" xfId="4" applyFont="1" applyFill="1" applyAlignment="1">
      <alignment horizontal="left" wrapText="1" indent="1"/>
    </xf>
    <xf numFmtId="164" fontId="8" fillId="9" borderId="0" xfId="3" applyFont="1" applyFill="1" applyBorder="1" applyAlignment="1" applyProtection="1">
      <alignment vertical="top"/>
    </xf>
    <xf numFmtId="164" fontId="0" fillId="0" borderId="0" xfId="3" applyFont="1" applyFill="1" applyBorder="1" applyAlignment="1" applyProtection="1">
      <alignment vertical="top"/>
    </xf>
    <xf numFmtId="14" fontId="1" fillId="0" borderId="25" xfId="2" applyNumberFormat="1" applyBorder="1"/>
    <xf numFmtId="164" fontId="1" fillId="0" borderId="6" xfId="2" applyNumberFormat="1" applyBorder="1"/>
    <xf numFmtId="49" fontId="2" fillId="0" borderId="0" xfId="4" applyNumberFormat="1" applyFont="1" applyAlignment="1" applyProtection="1">
      <alignment horizontal="center" wrapText="1"/>
      <protection locked="0"/>
    </xf>
    <xf numFmtId="172" fontId="1" fillId="0" borderId="0" xfId="39" applyNumberFormat="1" applyFont="1" applyFill="1" applyAlignment="1">
      <alignment horizontal="center" vertical="center" wrapText="1"/>
    </xf>
    <xf numFmtId="175" fontId="8" fillId="0" borderId="0" xfId="3" applyNumberFormat="1" applyFont="1" applyFill="1" applyBorder="1" applyAlignment="1" applyProtection="1">
      <alignment vertical="top"/>
    </xf>
    <xf numFmtId="14" fontId="8" fillId="0" borderId="0" xfId="0" applyNumberFormat="1" applyFont="1" applyProtection="1">
      <protection locked="0"/>
    </xf>
    <xf numFmtId="49" fontId="8" fillId="0" borderId="0" xfId="4" applyNumberFormat="1" applyFont="1" applyAlignment="1" applyProtection="1">
      <alignment horizontal="center" wrapText="1"/>
      <protection locked="0"/>
    </xf>
    <xf numFmtId="172" fontId="0" fillId="0" borderId="0" xfId="39" applyNumberFormat="1" applyFont="1" applyFill="1" applyAlignment="1">
      <alignment horizontal="center" vertic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164" fontId="3" fillId="0" borderId="0" xfId="3" applyFont="1" applyFill="1" applyBorder="1" applyAlignment="1">
      <alignment horizontal="right"/>
    </xf>
    <xf numFmtId="14" fontId="0" fillId="0" borderId="0" xfId="2" applyNumberFormat="1" applyFont="1" applyAlignment="1">
      <alignment horizontal="right"/>
    </xf>
    <xf numFmtId="0" fontId="1" fillId="0" borderId="0" xfId="2" applyAlignment="1">
      <alignment horizontal="right"/>
    </xf>
    <xf numFmtId="0" fontId="10" fillId="4" borderId="0" xfId="5" applyFont="1" applyFill="1" applyAlignment="1">
      <alignment horizontal="center"/>
    </xf>
    <xf numFmtId="0" fontId="13" fillId="0" borderId="0" xfId="4" applyFont="1" applyAlignment="1" applyProtection="1">
      <alignment horizontal="center"/>
      <protection locked="0"/>
    </xf>
    <xf numFmtId="0" fontId="4" fillId="6" borderId="0" xfId="41" applyFont="1" applyFill="1" applyAlignment="1">
      <alignment horizontal="center"/>
    </xf>
    <xf numFmtId="0" fontId="4" fillId="6" borderId="33" xfId="41" applyFont="1" applyFill="1" applyBorder="1" applyAlignment="1">
      <alignment horizontal="center"/>
    </xf>
    <xf numFmtId="0" fontId="1" fillId="0" borderId="0" xfId="2"/>
    <xf numFmtId="164" fontId="1" fillId="0" borderId="0" xfId="3" applyFont="1" applyFill="1" applyBorder="1"/>
    <xf numFmtId="0" fontId="0" fillId="0" borderId="0" xfId="2" applyFont="1" applyAlignment="1">
      <alignment horizontal="right"/>
    </xf>
    <xf numFmtId="0" fontId="3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6" borderId="13" xfId="41" applyFont="1" applyFill="1" applyBorder="1" applyAlignment="1">
      <alignment horizontal="center"/>
    </xf>
    <xf numFmtId="0" fontId="4" fillId="6" borderId="35" xfId="41" applyFont="1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0" fontId="11" fillId="10" borderId="18" xfId="0" applyFont="1" applyFill="1" applyBorder="1" applyAlignment="1">
      <alignment horizontal="center"/>
    </xf>
    <xf numFmtId="0" fontId="11" fillId="10" borderId="20" xfId="0" applyFont="1" applyFill="1" applyBorder="1" applyAlignment="1">
      <alignment horizontal="center"/>
    </xf>
    <xf numFmtId="0" fontId="0" fillId="0" borderId="0" xfId="0"/>
    <xf numFmtId="0" fontId="3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4" fontId="5" fillId="0" borderId="10" xfId="39" applyFont="1" applyFill="1" applyBorder="1" applyAlignment="1">
      <alignment horizontal="center" vertical="center"/>
    </xf>
    <xf numFmtId="44" fontId="5" fillId="0" borderId="11" xfId="39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174" fontId="5" fillId="0" borderId="10" xfId="0" applyNumberFormat="1" applyFont="1" applyBorder="1" applyAlignment="1">
      <alignment horizontal="center" vertical="center"/>
    </xf>
    <xf numFmtId="174" fontId="5" fillId="0" borderId="11" xfId="0" applyNumberFormat="1" applyFont="1" applyBorder="1" applyAlignment="1">
      <alignment horizontal="center" vertical="center"/>
    </xf>
    <xf numFmtId="172" fontId="5" fillId="0" borderId="3" xfId="39" applyNumberFormat="1" applyFont="1" applyFill="1" applyBorder="1" applyAlignment="1">
      <alignment horizontal="left" vertical="center"/>
    </xf>
    <xf numFmtId="172" fontId="5" fillId="0" borderId="4" xfId="39" applyNumberFormat="1" applyFont="1" applyFill="1" applyBorder="1" applyAlignment="1">
      <alignment horizontal="left" vertical="center"/>
    </xf>
  </cellXfs>
  <cellStyles count="42">
    <cellStyle name="Millares [0] 2" xfId="7" xr:uid="{00000000-0005-0000-0000-000001000000}"/>
    <cellStyle name="Millares [0] 2 2" xfId="8" xr:uid="{00000000-0005-0000-0000-000002000000}"/>
    <cellStyle name="Millares [0] 3" xfId="9" xr:uid="{00000000-0005-0000-0000-000003000000}"/>
    <cellStyle name="Millares 2" xfId="10" xr:uid="{00000000-0005-0000-0000-000004000000}"/>
    <cellStyle name="Millares 2 2" xfId="11" xr:uid="{00000000-0005-0000-0000-000005000000}"/>
    <cellStyle name="Millares 2 2 2" xfId="12" xr:uid="{00000000-0005-0000-0000-000006000000}"/>
    <cellStyle name="Millares 2 3" xfId="13" xr:uid="{00000000-0005-0000-0000-000007000000}"/>
    <cellStyle name="Moneda" xfId="39" builtinId="4"/>
    <cellStyle name="Moneda [0] 2" xfId="3" xr:uid="{00000000-0005-0000-0000-00000A000000}"/>
    <cellStyle name="Moneda [0] 2 2" xfId="14" xr:uid="{00000000-0005-0000-0000-00000B000000}"/>
    <cellStyle name="Moneda [0] 2 2 2" xfId="15" xr:uid="{00000000-0005-0000-0000-00000C000000}"/>
    <cellStyle name="Moneda [0] 2 3" xfId="16" xr:uid="{00000000-0005-0000-0000-00000D000000}"/>
    <cellStyle name="Moneda [0] 3" xfId="17" xr:uid="{00000000-0005-0000-0000-00000E000000}"/>
    <cellStyle name="Moneda [0] 3 2" xfId="18" xr:uid="{00000000-0005-0000-0000-00000F000000}"/>
    <cellStyle name="Moneda [0] 4" xfId="19" xr:uid="{00000000-0005-0000-0000-000010000000}"/>
    <cellStyle name="Moneda 2" xfId="38" xr:uid="{00000000-0005-0000-0000-000011000000}"/>
    <cellStyle name="Normal" xfId="0" builtinId="0"/>
    <cellStyle name="Normal 10" xfId="20" xr:uid="{00000000-0005-0000-0000-000013000000}"/>
    <cellStyle name="Normal 11" xfId="21" xr:uid="{00000000-0005-0000-0000-000014000000}"/>
    <cellStyle name="Normal 12" xfId="22" xr:uid="{00000000-0005-0000-0000-000015000000}"/>
    <cellStyle name="Normal 13" xfId="37" xr:uid="{00000000-0005-0000-0000-000016000000}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3" xfId="26" xr:uid="{00000000-0005-0000-0000-00001A000000}"/>
    <cellStyle name="Normal 2 4" xfId="4" xr:uid="{00000000-0005-0000-0000-00001B000000}"/>
    <cellStyle name="Normal 3" xfId="27" xr:uid="{00000000-0005-0000-0000-00001C000000}"/>
    <cellStyle name="Normal 3 2" xfId="2" xr:uid="{00000000-0005-0000-0000-00001D000000}"/>
    <cellStyle name="Normal 3 2 2" xfId="28" xr:uid="{00000000-0005-0000-0000-00001E000000}"/>
    <cellStyle name="Normal 3 2 2 2" xfId="29" xr:uid="{00000000-0005-0000-0000-00001F000000}"/>
    <cellStyle name="Normal 3 2 3" xfId="30" xr:uid="{00000000-0005-0000-0000-000020000000}"/>
    <cellStyle name="Normal 3 2 4" xfId="41" xr:uid="{CCC76BBF-592D-41FC-BBF3-B2649ECC4DF7}"/>
    <cellStyle name="Normal 3 3" xfId="5" xr:uid="{00000000-0005-0000-0000-000021000000}"/>
    <cellStyle name="Normal 4" xfId="31" xr:uid="{00000000-0005-0000-0000-000022000000}"/>
    <cellStyle name="Normal 5" xfId="32" xr:uid="{00000000-0005-0000-0000-000023000000}"/>
    <cellStyle name="Normal 6" xfId="33" xr:uid="{00000000-0005-0000-0000-000024000000}"/>
    <cellStyle name="Normal 7" xfId="34" xr:uid="{00000000-0005-0000-0000-000025000000}"/>
    <cellStyle name="Normal 8" xfId="35" xr:uid="{00000000-0005-0000-0000-000026000000}"/>
    <cellStyle name="Normal 9" xfId="36" xr:uid="{00000000-0005-0000-0000-000027000000}"/>
    <cellStyle name="Porcentaje" xfId="1" builtinId="5"/>
    <cellStyle name="Porcentaje 2" xfId="6" xr:uid="{00000000-0005-0000-0000-000029000000}"/>
    <cellStyle name="Porcentaje 3" xfId="40" xr:uid="{00000000-0005-0000-0000-00002A000000}"/>
  </cellStyles>
  <dxfs count="7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5C53-B62C-4C9B-B198-7C7641C46D90}">
  <dimension ref="A1:X183"/>
  <sheetViews>
    <sheetView showGridLines="0" topLeftCell="C14" zoomScaleNormal="100" workbookViewId="0">
      <selection activeCell="E5" sqref="E5"/>
    </sheetView>
  </sheetViews>
  <sheetFormatPr baseColWidth="10" defaultColWidth="11.42578125" defaultRowHeight="15" outlineLevelRow="1"/>
  <cols>
    <col min="1" max="1" width="10.140625" style="1" hidden="1" customWidth="1"/>
    <col min="2" max="2" width="6.5703125" style="1" hidden="1" customWidth="1"/>
    <col min="3" max="3" width="19.140625" style="2" customWidth="1"/>
    <col min="4" max="4" width="93.42578125" style="1" customWidth="1"/>
    <col min="5" max="5" width="31.85546875" style="3" customWidth="1"/>
    <col min="6" max="6" width="21" style="1" customWidth="1"/>
    <col min="7" max="7" width="20" style="1" bestFit="1" customWidth="1"/>
    <col min="8" max="8" width="7.7109375" style="1" hidden="1" customWidth="1"/>
    <col min="9" max="9" width="19.42578125" style="1" bestFit="1" customWidth="1"/>
    <col min="10" max="10" width="31.28515625" style="1" customWidth="1"/>
    <col min="11" max="11" width="21.5703125" style="1" bestFit="1" customWidth="1"/>
    <col min="12" max="12" width="3.140625" style="1" customWidth="1"/>
    <col min="13" max="13" width="15.7109375" style="1" customWidth="1"/>
    <col min="14" max="14" width="15.28515625" style="1" bestFit="1" customWidth="1"/>
    <col min="15" max="15" width="13.85546875" style="1" bestFit="1" customWidth="1"/>
    <col min="16" max="16" width="13.28515625" style="1" bestFit="1" customWidth="1"/>
    <col min="17" max="17" width="14" style="1" bestFit="1" customWidth="1"/>
    <col min="18" max="18" width="11.42578125" style="1"/>
    <col min="19" max="19" width="9.140625" style="1" customWidth="1"/>
    <col min="20" max="20" width="26.140625" style="1" customWidth="1"/>
    <col min="21" max="21" width="19.28515625" style="1" bestFit="1" customWidth="1"/>
    <col min="22" max="22" width="15.28515625" style="1" bestFit="1" customWidth="1"/>
    <col min="23" max="23" width="14" style="1" bestFit="1" customWidth="1"/>
    <col min="24" max="24" width="13" style="1" bestFit="1" customWidth="1"/>
    <col min="25" max="16384" width="11.42578125" style="1"/>
  </cols>
  <sheetData>
    <row r="1" spans="1:24" hidden="1">
      <c r="E1" s="3">
        <v>42400</v>
      </c>
    </row>
    <row r="2" spans="1:24">
      <c r="E2" s="4"/>
    </row>
    <row r="3" spans="1:24">
      <c r="E3" s="4"/>
    </row>
    <row r="4" spans="1:24" s="6" customFormat="1" ht="15.75">
      <c r="D4" s="7" t="s">
        <v>0</v>
      </c>
      <c r="E4" s="8">
        <f>SUBTOTAL(9,E5:E5)</f>
        <v>1026092050.9400001</v>
      </c>
      <c r="F4" s="55"/>
      <c r="G4" s="1"/>
      <c r="H4" s="1"/>
      <c r="I4" s="1"/>
      <c r="J4" s="1"/>
      <c r="K4" s="1"/>
      <c r="L4" s="1"/>
      <c r="M4" s="1"/>
    </row>
    <row r="5" spans="1:24" s="5" customFormat="1" outlineLevel="1">
      <c r="C5" s="9"/>
      <c r="D5" s="10" t="s">
        <v>131</v>
      </c>
      <c r="E5" s="11">
        <v>1026092050.9400001</v>
      </c>
      <c r="F5" s="11"/>
      <c r="G5" s="44"/>
      <c r="H5" s="1"/>
      <c r="I5" s="44"/>
      <c r="J5" s="44"/>
      <c r="K5" s="1"/>
      <c r="L5" s="1"/>
      <c r="M5" s="1"/>
    </row>
    <row r="6" spans="1:24" s="5" customFormat="1" ht="15.75">
      <c r="C6" s="9"/>
      <c r="D6" s="7" t="s">
        <v>97</v>
      </c>
      <c r="E6" s="8">
        <f>SUBTOTAL(9,E7:E7)</f>
        <v>3959275258.5500002</v>
      </c>
      <c r="G6" s="49"/>
      <c r="H6" s="1"/>
      <c r="I6" s="44"/>
      <c r="J6" s="1"/>
      <c r="K6" s="1"/>
      <c r="L6" s="1"/>
      <c r="M6" s="1"/>
    </row>
    <row r="7" spans="1:24" s="5" customFormat="1" outlineLevel="1">
      <c r="C7" s="9"/>
      <c r="D7" s="10" t="s">
        <v>151</v>
      </c>
      <c r="E7" s="11">
        <f>171505293.6+294581581.61+43363251.75+75955982+3373869149.59</f>
        <v>3959275258.5500002</v>
      </c>
      <c r="F7" s="176"/>
      <c r="G7" s="44"/>
      <c r="H7" s="1"/>
      <c r="I7" s="44"/>
      <c r="J7" s="54"/>
      <c r="K7" s="1"/>
      <c r="L7" s="1"/>
      <c r="M7" s="1"/>
    </row>
    <row r="8" spans="1:24" s="5" customFormat="1" ht="15" customHeight="1">
      <c r="C8" s="9"/>
      <c r="D8" s="17" t="s">
        <v>127</v>
      </c>
      <c r="E8" s="18">
        <f>SUBTOTAL(9,E4:E7)</f>
        <v>4985367309.4899998</v>
      </c>
      <c r="F8" s="28"/>
      <c r="G8" s="28"/>
      <c r="H8" s="1"/>
      <c r="I8" s="1"/>
      <c r="J8" s="1"/>
      <c r="K8" s="1"/>
      <c r="L8" s="1"/>
      <c r="M8" s="1"/>
      <c r="T8" s="19"/>
      <c r="U8" s="20"/>
      <c r="V8" s="15"/>
    </row>
    <row r="9" spans="1:24" s="5" customFormat="1" ht="15.75">
      <c r="C9" s="9"/>
      <c r="D9" s="95"/>
      <c r="E9" s="96"/>
      <c r="G9" s="1"/>
      <c r="H9" s="1"/>
      <c r="I9" s="1"/>
      <c r="J9" s="1"/>
      <c r="K9" s="1"/>
      <c r="L9" s="1"/>
      <c r="M9" s="1"/>
      <c r="T9" s="20"/>
      <c r="U9" s="20"/>
    </row>
    <row r="10" spans="1:24" s="5" customFormat="1" ht="15.75">
      <c r="C10" s="9"/>
      <c r="J10" s="13"/>
      <c r="S10" s="21"/>
      <c r="T10" s="22"/>
      <c r="U10" s="23"/>
    </row>
    <row r="11" spans="1:24" s="5" customFormat="1" ht="15.75">
      <c r="C11" s="233" t="s">
        <v>1</v>
      </c>
      <c r="D11" s="233"/>
      <c r="E11" s="24" t="s">
        <v>152</v>
      </c>
      <c r="F11" s="233" t="s">
        <v>2</v>
      </c>
      <c r="G11" s="233"/>
      <c r="H11" s="24"/>
      <c r="I11" s="25">
        <v>45992</v>
      </c>
      <c r="J11" s="13"/>
      <c r="K11" s="23"/>
      <c r="L11" s="23"/>
      <c r="M11" s="23"/>
      <c r="N11" s="23"/>
      <c r="O11" s="23"/>
      <c r="S11" s="21"/>
      <c r="W11" s="13"/>
      <c r="X11" s="13"/>
    </row>
    <row r="12" spans="1:24" s="5" customFormat="1" ht="16.5" thickBot="1">
      <c r="C12" s="26" t="s">
        <v>3</v>
      </c>
      <c r="D12" s="27" t="s">
        <v>4</v>
      </c>
      <c r="E12" s="28" t="s">
        <v>5</v>
      </c>
      <c r="F12" s="29" t="s">
        <v>6</v>
      </c>
      <c r="G12" s="21" t="s">
        <v>7</v>
      </c>
      <c r="H12" s="21"/>
      <c r="I12" s="30" t="s">
        <v>8</v>
      </c>
      <c r="J12" s="30" t="s">
        <v>9</v>
      </c>
      <c r="S12" s="31"/>
      <c r="W12" s="13"/>
      <c r="X12" s="32"/>
    </row>
    <row r="13" spans="1:24" s="5" customFormat="1" ht="16.5" thickBot="1">
      <c r="D13" s="134" t="s">
        <v>10</v>
      </c>
      <c r="E13" s="135">
        <f>SUBTOTAL(9,E14)</f>
        <v>25041817</v>
      </c>
      <c r="J13" s="13"/>
    </row>
    <row r="14" spans="1:24" s="5" customFormat="1" ht="15.75" outlineLevel="1" thickBot="1">
      <c r="A14" s="5" t="str">
        <f>G14</f>
        <v>Cancelado</v>
      </c>
      <c r="B14" s="5" t="e">
        <f>IF(#REF!&lt;=-1,1,IF(#REF!&lt;=5,2,IF(#REF!&lt;=15,3,IF(H14&lt;=60,4))))</f>
        <v>#REF!</v>
      </c>
      <c r="C14" s="9" t="s">
        <v>100</v>
      </c>
      <c r="D14" s="10" t="s">
        <v>99</v>
      </c>
      <c r="E14" s="11">
        <v>25041817</v>
      </c>
      <c r="F14" s="163">
        <v>46020</v>
      </c>
      <c r="G14" s="5" t="s">
        <v>12</v>
      </c>
      <c r="H14" s="5">
        <f>IF(OR(G14="Sin pagar",G14="Pagar"),NETWORKDAYS($I$11,F14,'Festivos Colombia'!$A$3:$A$22),0)</f>
        <v>0</v>
      </c>
      <c r="I14" s="34">
        <f t="shared" ref="I14" si="0">H14</f>
        <v>0</v>
      </c>
    </row>
    <row r="15" spans="1:24" s="5" customFormat="1" ht="16.5" thickBot="1">
      <c r="C15" s="9"/>
      <c r="D15" s="134" t="s">
        <v>13</v>
      </c>
      <c r="E15" s="135">
        <f>SUBTOTAL(9,E16:E16)</f>
        <v>545064300</v>
      </c>
      <c r="F15" s="33"/>
      <c r="I15" s="34"/>
    </row>
    <row r="16" spans="1:24" s="5" customFormat="1" ht="15.75" outlineLevel="1" thickBot="1">
      <c r="A16" s="5" t="str">
        <f t="shared" ref="A16" si="1">G16</f>
        <v>Cancelado</v>
      </c>
      <c r="B16" s="5" t="e">
        <f>IF(#REF!&lt;=-1,1,IF(#REF!&lt;=5,2,IF(#REF!&lt;=15,3,IF(H16&lt;=60,4))))</f>
        <v>#REF!</v>
      </c>
      <c r="C16" s="9"/>
      <c r="D16" s="10" t="s">
        <v>103</v>
      </c>
      <c r="E16" s="14">
        <v>545064300</v>
      </c>
      <c r="F16" s="33">
        <v>46003</v>
      </c>
      <c r="G16" s="5" t="s">
        <v>12</v>
      </c>
      <c r="H16" s="5">
        <f>IF(OR(G16="Sin pagar",G16="Pagar"),NETWORKDAYS($I$11,F16,'Festivos Colombia'!$A$3:$A$22),0)</f>
        <v>0</v>
      </c>
      <c r="I16" s="34">
        <f t="shared" ref="I16" si="2">H16</f>
        <v>0</v>
      </c>
      <c r="J16" s="14"/>
      <c r="K16" s="13"/>
      <c r="L16" s="13"/>
      <c r="M16" s="144"/>
    </row>
    <row r="17" spans="1:21" s="5" customFormat="1" ht="16.5" thickBot="1">
      <c r="C17" s="9"/>
      <c r="D17" s="134" t="s">
        <v>14</v>
      </c>
      <c r="E17" s="135">
        <f>SUBTOTAL(9,E18:E19)</f>
        <v>80309295</v>
      </c>
      <c r="J17" s="35"/>
      <c r="K17" s="13"/>
      <c r="L17" s="13"/>
    </row>
    <row r="18" spans="1:21" s="5" customFormat="1" outlineLevel="1">
      <c r="A18" s="5" t="str">
        <f>G18</f>
        <v>Cancelado</v>
      </c>
      <c r="B18" s="5" t="e">
        <f>IF(#REF!&lt;=-1,1,IF(#REF!&lt;=5,2,IF(#REF!&lt;=15,3,IF(H18&lt;=60,4))))</f>
        <v>#REF!</v>
      </c>
      <c r="C18" s="9">
        <v>1</v>
      </c>
      <c r="D18" s="10" t="s">
        <v>109</v>
      </c>
      <c r="E18" s="11">
        <f>19400000+7900000</f>
        <v>27300000</v>
      </c>
      <c r="F18" s="33">
        <v>46017</v>
      </c>
      <c r="G18" s="5" t="s">
        <v>12</v>
      </c>
      <c r="H18" s="5">
        <f>IF(OR(G18="Sin pagar",G18="Pagar"),NETWORKDAYS($I$11,F18,'Festivos Colombia'!$A$3:$A$22),0)</f>
        <v>0</v>
      </c>
      <c r="I18" s="36">
        <f>H18</f>
        <v>0</v>
      </c>
      <c r="K18" s="13"/>
      <c r="L18" s="13"/>
    </row>
    <row r="19" spans="1:21" s="5" customFormat="1" ht="15.75" outlineLevel="1" thickBot="1">
      <c r="A19" s="5" t="str">
        <f>G19</f>
        <v>Cancelado</v>
      </c>
      <c r="B19" s="5" t="e">
        <f>IF(#REF!&lt;=-1,1,IF(#REF!&lt;=5,2,IF(#REF!&lt;=15,3,IF(H19&lt;=60,4))))</f>
        <v>#REF!</v>
      </c>
      <c r="C19" s="9">
        <v>1</v>
      </c>
      <c r="D19" s="10" t="s">
        <v>101</v>
      </c>
      <c r="E19" s="11">
        <v>53009295</v>
      </c>
      <c r="F19" s="33">
        <v>46017</v>
      </c>
      <c r="G19" s="5" t="s">
        <v>12</v>
      </c>
      <c r="H19" s="5">
        <f>IF(OR(G19="Sin pagar",G19="Pagar"),NETWORKDAYS($I$11,F19,'Festivos Colombia'!$A$3:$A$22),0)</f>
        <v>0</v>
      </c>
      <c r="I19" s="36">
        <f>H19</f>
        <v>0</v>
      </c>
      <c r="J19" s="13"/>
      <c r="K19" s="13"/>
      <c r="L19" s="13"/>
      <c r="M19" s="13"/>
      <c r="N19" s="13"/>
      <c r="P19" s="13"/>
      <c r="Q19" s="13"/>
    </row>
    <row r="20" spans="1:21" s="5" customFormat="1" ht="16.5" thickBot="1">
      <c r="C20" s="9"/>
      <c r="D20" s="134" t="s">
        <v>15</v>
      </c>
      <c r="E20" s="135">
        <f>SUBTOTAL(9,E21:E21)</f>
        <v>311877000</v>
      </c>
      <c r="H20" s="5">
        <f>IF(OR(G20="Sin pagar",G20="Pagar"),NETWORKDAYS($I$11,F20,'Festivos Colombia'!$A$3:$A$22),0)</f>
        <v>0</v>
      </c>
      <c r="I20" s="34">
        <f t="shared" ref="I20:I21" si="3">H20</f>
        <v>0</v>
      </c>
      <c r="J20" s="13"/>
      <c r="T20" s="234"/>
      <c r="U20" s="234"/>
    </row>
    <row r="21" spans="1:21" s="5" customFormat="1" ht="15.75" outlineLevel="1" thickBot="1">
      <c r="A21" s="5" t="str">
        <f>G21</f>
        <v>Cancelado</v>
      </c>
      <c r="B21" s="5" t="e">
        <f>IF(#REF!&lt;=-1,1,IF(#REF!&lt;=5,2,IF(#REF!&lt;=15,3,IF(H21&lt;=60,4))))</f>
        <v>#REF!</v>
      </c>
      <c r="C21" s="9"/>
      <c r="D21" s="57" t="s">
        <v>16</v>
      </c>
      <c r="E21" s="14">
        <v>311877000</v>
      </c>
      <c r="F21" s="33">
        <v>46003</v>
      </c>
      <c r="G21" s="5" t="s">
        <v>12</v>
      </c>
      <c r="H21" s="5">
        <f>IF(OR(G21="Sin pagar",G21="Pagar"),NETWORKDAYS($I$11,F21,'Festivos Colombia'!$A$3:$A$22),0)</f>
        <v>0</v>
      </c>
      <c r="I21" s="34">
        <f t="shared" si="3"/>
        <v>0</v>
      </c>
      <c r="J21" s="145"/>
      <c r="K21" s="16"/>
      <c r="L21" s="16"/>
      <c r="M21" s="13"/>
      <c r="U21" s="56"/>
    </row>
    <row r="22" spans="1:21" s="5" customFormat="1" ht="16.5" thickBot="1">
      <c r="D22" s="134" t="s">
        <v>17</v>
      </c>
      <c r="E22" s="135">
        <f>SUBTOTAL(9,E23:E25)</f>
        <v>11402659</v>
      </c>
      <c r="H22" s="5">
        <f>IF(OR(G22="Sin pagar",G22="Pagar"),NETWORKDAYS($I$11,F22,'Festivos Colombia'!$A$3:$A$22),0)</f>
        <v>0</v>
      </c>
      <c r="K22" s="12"/>
      <c r="L22" s="12"/>
      <c r="M22" s="12"/>
      <c r="N22" s="12"/>
      <c r="O22" s="12"/>
      <c r="T22" s="12"/>
      <c r="U22" s="12"/>
    </row>
    <row r="23" spans="1:21" s="5" customFormat="1" ht="14.25" customHeight="1" outlineLevel="1">
      <c r="A23" s="5" t="str">
        <f>G23</f>
        <v>Cancelado</v>
      </c>
      <c r="B23" s="5" t="e">
        <f>IF(#REF!&lt;=-1,1,IF(#REF!&lt;=5,2,IF(#REF!&lt;=15,3,IF(H23&lt;=60,4))))</f>
        <v>#REF!</v>
      </c>
      <c r="C23" s="175" t="s">
        <v>174</v>
      </c>
      <c r="D23" s="10" t="s">
        <v>43</v>
      </c>
      <c r="E23" s="14">
        <v>10359668</v>
      </c>
      <c r="F23" s="33">
        <v>46017</v>
      </c>
      <c r="G23" s="5" t="s">
        <v>12</v>
      </c>
      <c r="H23" s="5">
        <f>IF(OR(G23="Sin pagar",G23="Pagar"),NETWORKDAYS($I$11,F23,'Festivos Colombia'!$A$3:$A$22),0)</f>
        <v>0</v>
      </c>
      <c r="I23" s="36">
        <f>H23</f>
        <v>0</v>
      </c>
      <c r="J23" s="166"/>
      <c r="K23" s="154"/>
      <c r="L23" s="12"/>
      <c r="M23" s="12"/>
      <c r="N23" s="12"/>
      <c r="O23" s="12"/>
      <c r="T23" s="12"/>
      <c r="U23" s="12"/>
    </row>
    <row r="24" spans="1:21" s="5" customFormat="1" ht="14.25" customHeight="1" outlineLevel="1">
      <c r="A24" s="5" t="str">
        <f>G24</f>
        <v>Cancelado</v>
      </c>
      <c r="B24" s="5" t="e">
        <f>IF(#REF!&lt;=-1,1,IF(#REF!&lt;=5,2,IF(#REF!&lt;=15,3,IF(H24&lt;=60,4))))</f>
        <v>#REF!</v>
      </c>
      <c r="C24" s="175" t="s">
        <v>175</v>
      </c>
      <c r="D24" s="10" t="s">
        <v>43</v>
      </c>
      <c r="E24" s="14">
        <v>565363</v>
      </c>
      <c r="F24" s="33">
        <v>46017</v>
      </c>
      <c r="G24" s="5" t="s">
        <v>12</v>
      </c>
      <c r="H24" s="5">
        <f>IF(OR(G24="Sin pagar",G24="Pagar"),NETWORKDAYS($I$11,F24,'Festivos Colombia'!$A$3:$A$22),0)</f>
        <v>0</v>
      </c>
      <c r="I24" s="36">
        <f>H24</f>
        <v>0</v>
      </c>
      <c r="J24" s="166"/>
      <c r="K24" s="154"/>
      <c r="L24" s="12"/>
      <c r="M24" s="12"/>
      <c r="N24" s="12"/>
      <c r="O24" s="12"/>
      <c r="T24" s="12"/>
      <c r="U24" s="12"/>
    </row>
    <row r="25" spans="1:21" s="5" customFormat="1" ht="14.25" customHeight="1" outlineLevel="1" thickBot="1">
      <c r="A25" s="5" t="str">
        <f t="shared" ref="A25" si="4">G25</f>
        <v>Cancelado</v>
      </c>
      <c r="B25" s="5" t="e">
        <f>IF(#REF!&lt;=-1,1,IF(#REF!&lt;=5,2,IF(#REF!&lt;=15,3,IF(H25&lt;=60,4))))</f>
        <v>#REF!</v>
      </c>
      <c r="C25" s="175" t="s">
        <v>176</v>
      </c>
      <c r="D25" s="10" t="s">
        <v>107</v>
      </c>
      <c r="E25" s="14">
        <v>477628</v>
      </c>
      <c r="F25" s="33">
        <v>46017</v>
      </c>
      <c r="G25" s="5" t="s">
        <v>12</v>
      </c>
      <c r="H25" s="5">
        <f>IF(OR(G25="Sin pagar",G25="Pagar"),NETWORKDAYS($I$11,F25,'Festivos Colombia'!$A$3:$A$22),0)</f>
        <v>0</v>
      </c>
      <c r="I25" s="36">
        <f t="shared" ref="I25" si="5">H25</f>
        <v>0</v>
      </c>
      <c r="J25" s="166"/>
      <c r="K25" s="154"/>
      <c r="L25" s="12"/>
      <c r="M25" s="12"/>
      <c r="N25" s="12"/>
      <c r="O25" s="12"/>
      <c r="T25" s="12"/>
      <c r="U25" s="12"/>
    </row>
    <row r="26" spans="1:21" s="12" customFormat="1" ht="16.5" thickBot="1">
      <c r="A26" s="5"/>
      <c r="B26" s="5"/>
      <c r="D26" s="134" t="s">
        <v>21</v>
      </c>
      <c r="E26" s="135">
        <f>SUBTOTAL(9,E27:E44)</f>
        <v>36113797</v>
      </c>
      <c r="H26" s="5">
        <f>IF(OR(G26="Sin pagar",G26="Pagar"),NETWORKDAYS($I$11,F26,'Festivos Colombia'!$A$3:$A$22),0)</f>
        <v>0</v>
      </c>
      <c r="J26" s="5"/>
      <c r="K26" s="5"/>
      <c r="L26" s="5"/>
      <c r="M26" s="5"/>
      <c r="N26" s="5"/>
      <c r="O26" s="5"/>
      <c r="S26" s="5"/>
      <c r="T26" s="5"/>
      <c r="U26" s="5"/>
    </row>
    <row r="27" spans="1:21" s="5" customFormat="1" ht="14.25" customHeight="1" outlineLevel="1">
      <c r="A27" s="5" t="str">
        <f t="shared" ref="A27:A35" si="6">G27</f>
        <v>Cancelado</v>
      </c>
      <c r="B27" s="5" t="e">
        <f>IF(#REF!&lt;=-1,1,IF(#REF!&lt;=5,2,IF(#REF!&lt;=15,3,IF(H27&lt;=60,4))))</f>
        <v>#REF!</v>
      </c>
      <c r="C27" s="37">
        <v>1239806816</v>
      </c>
      <c r="D27" s="10" t="s">
        <v>132</v>
      </c>
      <c r="E27" s="11">
        <v>12733350</v>
      </c>
      <c r="F27" s="33">
        <v>45995</v>
      </c>
      <c r="G27" s="5" t="s">
        <v>12</v>
      </c>
      <c r="H27" s="5">
        <f>IF(OR(G27="Sin pagar",G27="Pagar"),NETWORKDAYS($I$11,F27,'Festivos Colombia'!$A$3:$A$22),0)</f>
        <v>0</v>
      </c>
      <c r="I27" s="36">
        <f t="shared" ref="I27:I35" si="7">H27</f>
        <v>0</v>
      </c>
      <c r="J27" s="166"/>
      <c r="K27" s="12"/>
      <c r="L27" s="12"/>
      <c r="M27" s="12"/>
      <c r="N27" s="12"/>
      <c r="O27" s="12"/>
      <c r="T27" s="12"/>
      <c r="U27" s="12"/>
    </row>
    <row r="28" spans="1:21" s="5" customFormat="1" ht="14.25" customHeight="1" outlineLevel="1">
      <c r="A28" s="5" t="str">
        <f t="shared" si="6"/>
        <v>Cancelado</v>
      </c>
      <c r="B28" s="5" t="e">
        <f>IF(#REF!&lt;=-1,1,IF(#REF!&lt;=5,2,IF(#REF!&lt;=15,3,IF(H28&lt;=60,4))))</f>
        <v>#REF!</v>
      </c>
      <c r="C28" s="37">
        <v>1239781227</v>
      </c>
      <c r="D28" s="10" t="s">
        <v>142</v>
      </c>
      <c r="E28" s="11">
        <v>193253</v>
      </c>
      <c r="F28" s="33">
        <v>45995</v>
      </c>
      <c r="G28" s="5" t="s">
        <v>12</v>
      </c>
      <c r="H28" s="5">
        <f>IF(OR(G28="Sin pagar",G28="Pagar"),NETWORKDAYS($I$11,F28,'Festivos Colombia'!$A$3:$A$22),0)</f>
        <v>0</v>
      </c>
      <c r="I28" s="36">
        <f t="shared" si="7"/>
        <v>0</v>
      </c>
      <c r="J28" s="166"/>
      <c r="K28" s="12"/>
      <c r="L28" s="12"/>
      <c r="M28" s="12"/>
      <c r="N28" s="12"/>
      <c r="O28" s="12"/>
      <c r="T28" s="12"/>
      <c r="U28" s="12"/>
    </row>
    <row r="29" spans="1:21" s="5" customFormat="1" ht="14.25" customHeight="1" outlineLevel="1">
      <c r="A29" s="5" t="str">
        <f t="shared" si="6"/>
        <v>Cancelado</v>
      </c>
      <c r="B29" s="5" t="e">
        <f>IF(#REF!&lt;=-1,1,IF(#REF!&lt;=5,2,IF(#REF!&lt;=15,3,IF(H29&lt;=60,4))))</f>
        <v>#REF!</v>
      </c>
      <c r="C29" s="37">
        <v>1239772460</v>
      </c>
      <c r="D29" s="10" t="s">
        <v>141</v>
      </c>
      <c r="E29" s="11">
        <v>298337</v>
      </c>
      <c r="F29" s="33">
        <v>45995</v>
      </c>
      <c r="G29" s="5" t="s">
        <v>12</v>
      </c>
      <c r="H29" s="5">
        <f>IF(OR(G29="Sin pagar",G29="Pagar"),NETWORKDAYS($I$11,F29,'Festivos Colombia'!$A$3:$A$22),0)</f>
        <v>0</v>
      </c>
      <c r="I29" s="36">
        <f t="shared" si="7"/>
        <v>0</v>
      </c>
      <c r="J29" s="166"/>
      <c r="K29" s="12"/>
      <c r="L29" s="12"/>
      <c r="M29" s="12"/>
      <c r="N29" s="12"/>
      <c r="O29" s="12"/>
      <c r="T29" s="12"/>
      <c r="U29" s="12"/>
    </row>
    <row r="30" spans="1:21" s="5" customFormat="1" ht="14.25" customHeight="1" outlineLevel="1">
      <c r="A30" s="5" t="str">
        <f t="shared" si="6"/>
        <v>Cancelado</v>
      </c>
      <c r="B30" s="5" t="e">
        <f>IF(#REF!&lt;=-1,1,IF(#REF!&lt;=5,2,IF(#REF!&lt;=15,3,IF(H30&lt;=60,4))))</f>
        <v>#REF!</v>
      </c>
      <c r="C30" s="37">
        <v>1239773169</v>
      </c>
      <c r="D30" s="10" t="s">
        <v>22</v>
      </c>
      <c r="E30" s="11">
        <v>295313</v>
      </c>
      <c r="F30" s="33">
        <v>45995</v>
      </c>
      <c r="G30" s="5" t="s">
        <v>12</v>
      </c>
      <c r="H30" s="5">
        <f>IF(OR(G30="Sin pagar",G30="Pagar"),NETWORKDAYS($I$11,F30,'Festivos Colombia'!$A$3:$A$22),0)</f>
        <v>0</v>
      </c>
      <c r="I30" s="36">
        <f t="shared" si="7"/>
        <v>0</v>
      </c>
      <c r="J30" s="166"/>
      <c r="K30" s="12"/>
      <c r="L30" s="12"/>
      <c r="M30" s="12"/>
      <c r="N30" s="12"/>
      <c r="O30" s="12"/>
      <c r="T30" s="12"/>
      <c r="U30" s="12"/>
    </row>
    <row r="31" spans="1:21" s="5" customFormat="1" ht="14.25" customHeight="1" outlineLevel="1">
      <c r="A31" s="5" t="str">
        <f t="shared" si="6"/>
        <v>Cancelado</v>
      </c>
      <c r="B31" s="5" t="e">
        <f>IF(#REF!&lt;=-1,1,IF(#REF!&lt;=5,2,IF(#REF!&lt;=15,3,IF(H31&lt;=60,4))))</f>
        <v>#REF!</v>
      </c>
      <c r="C31" s="37">
        <v>1239749107</v>
      </c>
      <c r="D31" s="10" t="s">
        <v>140</v>
      </c>
      <c r="E31" s="11">
        <v>1642200</v>
      </c>
      <c r="F31" s="33">
        <v>45995</v>
      </c>
      <c r="G31" s="5" t="s">
        <v>12</v>
      </c>
      <c r="H31" s="5">
        <f>IF(OR(G31="Sin pagar",G31="Pagar"),NETWORKDAYS($I$11,F31,'Festivos Colombia'!$A$3:$A$22),0)</f>
        <v>0</v>
      </c>
      <c r="I31" s="36">
        <f t="shared" si="7"/>
        <v>0</v>
      </c>
      <c r="J31" s="166"/>
      <c r="K31" s="12"/>
      <c r="L31" s="12"/>
      <c r="M31" s="12"/>
      <c r="N31" s="12"/>
      <c r="O31" s="12"/>
      <c r="T31" s="12"/>
      <c r="U31" s="12"/>
    </row>
    <row r="32" spans="1:21" s="5" customFormat="1" ht="14.25" customHeight="1" outlineLevel="1">
      <c r="A32" s="5" t="str">
        <f t="shared" si="6"/>
        <v>Cancelado</v>
      </c>
      <c r="B32" s="5" t="e">
        <f>IF(#REF!&lt;=-1,1,IF(#REF!&lt;=5,2,IF(#REF!&lt;=15,3,IF(H32&lt;=60,4))))</f>
        <v>#REF!</v>
      </c>
      <c r="C32" s="37">
        <v>1239720449</v>
      </c>
      <c r="D32" s="10" t="s">
        <v>122</v>
      </c>
      <c r="E32" s="11">
        <v>318465</v>
      </c>
      <c r="F32" s="33">
        <v>45995</v>
      </c>
      <c r="G32" s="5" t="s">
        <v>12</v>
      </c>
      <c r="H32" s="5">
        <f>IF(OR(G32="Sin pagar",G32="Pagar"),NETWORKDAYS($I$11,F32,'Festivos Colombia'!$A$3:$A$22),0)</f>
        <v>0</v>
      </c>
      <c r="I32" s="36">
        <f t="shared" si="7"/>
        <v>0</v>
      </c>
      <c r="J32" s="166"/>
      <c r="K32" s="12"/>
      <c r="L32" s="12"/>
      <c r="M32" s="12"/>
      <c r="N32" s="12"/>
      <c r="O32" s="12"/>
      <c r="T32" s="12"/>
      <c r="U32" s="12"/>
    </row>
    <row r="33" spans="1:21" s="5" customFormat="1" ht="14.25" customHeight="1" outlineLevel="1">
      <c r="A33" s="5" t="str">
        <f t="shared" si="6"/>
        <v>Cancelado</v>
      </c>
      <c r="B33" s="5" t="e">
        <f>IF(#REF!&lt;=-1,1,IF(#REF!&lt;=5,2,IF(#REF!&lt;=15,3,IF(H33&lt;=60,4))))</f>
        <v>#REF!</v>
      </c>
      <c r="C33" s="37">
        <v>1239803861</v>
      </c>
      <c r="D33" s="10" t="s">
        <v>139</v>
      </c>
      <c r="E33" s="11">
        <v>68040</v>
      </c>
      <c r="F33" s="33">
        <v>45995</v>
      </c>
      <c r="G33" s="5" t="s">
        <v>12</v>
      </c>
      <c r="H33" s="5">
        <f>IF(OR(G33="Sin pagar",G33="Pagar"),NETWORKDAYS($I$11,F33,'Festivos Colombia'!$A$3:$A$22),0)</f>
        <v>0</v>
      </c>
      <c r="I33" s="36">
        <f t="shared" si="7"/>
        <v>0</v>
      </c>
      <c r="J33" s="166"/>
      <c r="K33" s="12"/>
      <c r="L33" s="12"/>
      <c r="M33" s="12"/>
      <c r="N33" s="12"/>
      <c r="O33" s="12"/>
      <c r="T33" s="12"/>
      <c r="U33" s="12"/>
    </row>
    <row r="34" spans="1:21" s="5" customFormat="1" ht="14.25" customHeight="1" outlineLevel="1">
      <c r="A34" s="5" t="str">
        <f t="shared" si="6"/>
        <v>Cancelado</v>
      </c>
      <c r="B34" s="5" t="e">
        <f>IF(#REF!&lt;=-1,1,IF(#REF!&lt;=5,2,IF(#REF!&lt;=15,3,IF(H34&lt;=60,4))))</f>
        <v>#REF!</v>
      </c>
      <c r="C34" s="37">
        <v>1239543181</v>
      </c>
      <c r="D34" s="10" t="s">
        <v>123</v>
      </c>
      <c r="E34" s="11">
        <v>1860600</v>
      </c>
      <c r="F34" s="33">
        <v>46000</v>
      </c>
      <c r="G34" s="5" t="s">
        <v>12</v>
      </c>
      <c r="H34" s="5">
        <f>IF(OR(G34="Sin pagar",G34="Pagar"),NETWORKDAYS($I$11,F34,'Festivos Colombia'!$A$3:$A$22),0)</f>
        <v>0</v>
      </c>
      <c r="I34" s="36">
        <f t="shared" si="7"/>
        <v>0</v>
      </c>
      <c r="J34" s="166"/>
      <c r="K34" s="12"/>
      <c r="L34" s="12"/>
      <c r="M34" s="12"/>
      <c r="N34" s="12"/>
      <c r="O34" s="12"/>
      <c r="T34" s="12"/>
      <c r="U34" s="12"/>
    </row>
    <row r="35" spans="1:21" s="5" customFormat="1" ht="14.25" customHeight="1" outlineLevel="1">
      <c r="A35" s="5" t="str">
        <f t="shared" si="6"/>
        <v>Cancelado</v>
      </c>
      <c r="B35" s="5" t="e">
        <f>IF(#REF!&lt;=-1,1,IF(#REF!&lt;=5,2,IF(#REF!&lt;=15,3,IF(H35&lt;=60,4))))</f>
        <v>#REF!</v>
      </c>
      <c r="C35" s="37">
        <v>1239817137</v>
      </c>
      <c r="D35" s="10" t="s">
        <v>129</v>
      </c>
      <c r="E35" s="11">
        <v>68040</v>
      </c>
      <c r="F35" s="33">
        <v>45995</v>
      </c>
      <c r="G35" s="5" t="s">
        <v>12</v>
      </c>
      <c r="H35" s="5">
        <f>IF(OR(G35="Sin pagar",G35="Pagar"),NETWORKDAYS($I$11,F35,'Festivos Colombia'!$A$3:$A$22),0)</f>
        <v>0</v>
      </c>
      <c r="I35" s="36">
        <f t="shared" si="7"/>
        <v>0</v>
      </c>
      <c r="J35" s="166"/>
      <c r="K35" s="12"/>
      <c r="L35" s="12"/>
      <c r="M35" s="12"/>
      <c r="N35" s="12"/>
      <c r="O35" s="12"/>
      <c r="T35" s="12"/>
      <c r="U35" s="12"/>
    </row>
    <row r="36" spans="1:21" s="5" customFormat="1" ht="14.25" customHeight="1" outlineLevel="1">
      <c r="A36" s="5" t="str">
        <f t="shared" ref="A36:A44" si="8">G36</f>
        <v>Cancelado</v>
      </c>
      <c r="B36" s="5" t="e">
        <f>IF(#REF!&lt;=-1,1,IF(#REF!&lt;=5,2,IF(#REF!&lt;=15,3,IF(H36&lt;=60,4))))</f>
        <v>#REF!</v>
      </c>
      <c r="C36" s="37">
        <v>12310058809</v>
      </c>
      <c r="D36" s="10" t="s">
        <v>132</v>
      </c>
      <c r="E36" s="11">
        <v>13580700</v>
      </c>
      <c r="F36" s="33">
        <v>46028</v>
      </c>
      <c r="G36" s="5" t="s">
        <v>12</v>
      </c>
      <c r="H36" s="5">
        <f>IF(OR(G36="Sin pagar",G36="Pagar"),NETWORKDAYS($I$11,F36,'Festivos Colombia'!$A$3:$A$22),0)</f>
        <v>0</v>
      </c>
      <c r="I36" s="36">
        <f t="shared" ref="I36:I43" si="9">H36</f>
        <v>0</v>
      </c>
      <c r="J36" s="166"/>
      <c r="K36" s="12"/>
      <c r="L36" s="12"/>
      <c r="M36" s="12"/>
      <c r="N36" s="12"/>
      <c r="O36" s="12"/>
      <c r="T36" s="12"/>
      <c r="U36" s="12"/>
    </row>
    <row r="37" spans="1:21" s="5" customFormat="1" ht="14.25" customHeight="1" outlineLevel="1">
      <c r="A37" s="5" t="str">
        <f t="shared" si="8"/>
        <v>Cancelado</v>
      </c>
      <c r="B37" s="5" t="e">
        <f>IF(#REF!&lt;=-1,1,IF(#REF!&lt;=5,2,IF(#REF!&lt;=15,3,IF(H37&lt;=60,4))))</f>
        <v>#REF!</v>
      </c>
      <c r="C37" s="37">
        <v>1239964849</v>
      </c>
      <c r="D37" s="10" t="s">
        <v>142</v>
      </c>
      <c r="E37" s="11">
        <v>205538</v>
      </c>
      <c r="F37" s="33">
        <v>46028</v>
      </c>
      <c r="G37" s="5" t="s">
        <v>12</v>
      </c>
      <c r="H37" s="5">
        <f>IF(OR(G37="Sin pagar",G37="Pagar"),NETWORKDAYS($I$11,F37,'Festivos Colombia'!$A$3:$A$22),0)</f>
        <v>0</v>
      </c>
      <c r="I37" s="36">
        <f t="shared" si="9"/>
        <v>0</v>
      </c>
      <c r="J37" s="166"/>
      <c r="K37" s="12"/>
      <c r="L37" s="12"/>
      <c r="M37" s="12"/>
      <c r="N37" s="12"/>
      <c r="O37" s="12"/>
      <c r="T37" s="12"/>
      <c r="U37" s="12"/>
    </row>
    <row r="38" spans="1:21" s="5" customFormat="1" ht="14.25" customHeight="1" outlineLevel="1">
      <c r="A38" s="5" t="str">
        <f t="shared" si="8"/>
        <v>Cancelado</v>
      </c>
      <c r="B38" s="5" t="e">
        <f>IF(#REF!&lt;=-1,1,IF(#REF!&lt;=5,2,IF(#REF!&lt;=15,3,IF(H38&lt;=60,4))))</f>
        <v>#REF!</v>
      </c>
      <c r="C38" s="37">
        <v>1239905171</v>
      </c>
      <c r="D38" s="10" t="s">
        <v>141</v>
      </c>
      <c r="E38" s="11">
        <v>316953</v>
      </c>
      <c r="F38" s="33">
        <v>46028</v>
      </c>
      <c r="G38" s="5" t="s">
        <v>12</v>
      </c>
      <c r="H38" s="5">
        <f>IF(OR(G38="Sin pagar",G38="Pagar"),NETWORKDAYS($I$11,F38,'Festivos Colombia'!$A$3:$A$22),0)</f>
        <v>0</v>
      </c>
      <c r="I38" s="36">
        <f t="shared" si="9"/>
        <v>0</v>
      </c>
      <c r="J38" s="166"/>
      <c r="K38" s="12"/>
      <c r="L38" s="12"/>
      <c r="M38" s="12"/>
      <c r="N38" s="12"/>
      <c r="O38" s="12"/>
      <c r="T38" s="12"/>
      <c r="U38" s="12"/>
    </row>
    <row r="39" spans="1:21" s="5" customFormat="1" ht="14.25" customHeight="1" outlineLevel="1">
      <c r="A39" s="5" t="str">
        <f t="shared" si="8"/>
        <v>Cancelado</v>
      </c>
      <c r="B39" s="5" t="e">
        <f>IF(#REF!&lt;=-1,1,IF(#REF!&lt;=5,2,IF(#REF!&lt;=15,3,IF(H39&lt;=60,4))))</f>
        <v>#REF!</v>
      </c>
      <c r="C39" s="37">
        <v>1239956382</v>
      </c>
      <c r="D39" s="10" t="s">
        <v>22</v>
      </c>
      <c r="E39" s="11">
        <v>314213</v>
      </c>
      <c r="F39" s="33">
        <v>46028</v>
      </c>
      <c r="G39" s="5" t="s">
        <v>12</v>
      </c>
      <c r="H39" s="5">
        <f>IF(OR(G39="Sin pagar",G39="Pagar"),NETWORKDAYS($I$11,F39,'Festivos Colombia'!$A$3:$A$22),0)</f>
        <v>0</v>
      </c>
      <c r="I39" s="36">
        <f t="shared" si="9"/>
        <v>0</v>
      </c>
      <c r="J39" s="166"/>
      <c r="K39" s="12"/>
      <c r="L39" s="12"/>
      <c r="M39" s="12"/>
      <c r="N39" s="12"/>
      <c r="O39" s="12"/>
      <c r="T39" s="12"/>
      <c r="U39" s="12"/>
    </row>
    <row r="40" spans="1:21" s="5" customFormat="1" ht="14.25" customHeight="1" outlineLevel="1">
      <c r="A40" s="5" t="str">
        <f t="shared" si="8"/>
        <v>Cancelado</v>
      </c>
      <c r="B40" s="5" t="e">
        <f>IF(#REF!&lt;=-1,1,IF(#REF!&lt;=5,2,IF(#REF!&lt;=15,3,IF(H40&lt;=60,4))))</f>
        <v>#REF!</v>
      </c>
      <c r="C40" s="37">
        <v>1231040566</v>
      </c>
      <c r="D40" s="10" t="s">
        <v>140</v>
      </c>
      <c r="E40" s="11">
        <v>1751400</v>
      </c>
      <c r="F40" s="33">
        <v>46028</v>
      </c>
      <c r="G40" s="5" t="s">
        <v>12</v>
      </c>
      <c r="H40" s="5">
        <f>IF(OR(G40="Sin pagar",G40="Pagar"),NETWORKDAYS($I$11,F40,'Festivos Colombia'!$A$3:$A$22),0)</f>
        <v>0</v>
      </c>
      <c r="I40" s="36">
        <f t="shared" si="9"/>
        <v>0</v>
      </c>
      <c r="J40" s="166"/>
      <c r="K40" s="12"/>
      <c r="L40" s="12"/>
      <c r="M40" s="12"/>
      <c r="N40" s="12"/>
      <c r="O40" s="12"/>
      <c r="T40" s="12"/>
      <c r="U40" s="12"/>
    </row>
    <row r="41" spans="1:21" s="5" customFormat="1" ht="14.25" customHeight="1" outlineLevel="1">
      <c r="A41" s="5" t="str">
        <f t="shared" si="8"/>
        <v>Cancelado</v>
      </c>
      <c r="B41" s="5" t="e">
        <f>IF(#REF!&lt;=-1,1,IF(#REF!&lt;=5,2,IF(#REF!&lt;=15,3,IF(H41&lt;=60,4))))</f>
        <v>#REF!</v>
      </c>
      <c r="C41" s="37">
        <v>1239902938</v>
      </c>
      <c r="D41" s="10" t="s">
        <v>122</v>
      </c>
      <c r="E41" s="11">
        <v>339255</v>
      </c>
      <c r="F41" s="33">
        <v>46028</v>
      </c>
      <c r="G41" s="5" t="s">
        <v>12</v>
      </c>
      <c r="H41" s="5">
        <f>IF(OR(G41="Sin pagar",G41="Pagar"),NETWORKDAYS($I$11,F41,'Festivos Colombia'!$A$3:$A$22),0)</f>
        <v>0</v>
      </c>
      <c r="I41" s="36">
        <f t="shared" si="9"/>
        <v>0</v>
      </c>
      <c r="J41" s="166"/>
      <c r="K41" s="12"/>
      <c r="L41" s="12"/>
      <c r="M41" s="12"/>
      <c r="N41" s="12"/>
      <c r="O41" s="12"/>
      <c r="T41" s="12"/>
      <c r="U41" s="12"/>
    </row>
    <row r="42" spans="1:21" s="5" customFormat="1" ht="14.25" customHeight="1" outlineLevel="1">
      <c r="A42" s="5" t="str">
        <f t="shared" si="8"/>
        <v>Cancelado</v>
      </c>
      <c r="B42" s="5" t="e">
        <f>IF(#REF!&lt;=-1,1,IF(#REF!&lt;=5,2,IF(#REF!&lt;=15,3,IF(H42&lt;=60,4))))</f>
        <v>#REF!</v>
      </c>
      <c r="C42" s="37">
        <v>1239987772</v>
      </c>
      <c r="D42" s="10" t="s">
        <v>139</v>
      </c>
      <c r="E42" s="11">
        <v>71820</v>
      </c>
      <c r="F42" s="33">
        <v>46028</v>
      </c>
      <c r="G42" s="5" t="s">
        <v>12</v>
      </c>
      <c r="H42" s="5">
        <f>IF(OR(G42="Sin pagar",G42="Pagar"),NETWORKDAYS($I$11,F42,'Festivos Colombia'!$A$3:$A$22),0)</f>
        <v>0</v>
      </c>
      <c r="I42" s="36">
        <f t="shared" si="9"/>
        <v>0</v>
      </c>
      <c r="J42" s="166"/>
      <c r="K42" s="12"/>
      <c r="L42" s="12"/>
      <c r="M42" s="12"/>
      <c r="N42" s="12"/>
      <c r="O42" s="12"/>
      <c r="T42" s="12"/>
      <c r="U42" s="12"/>
    </row>
    <row r="43" spans="1:21" s="5" customFormat="1" ht="14.25" customHeight="1" outlineLevel="1">
      <c r="A43" s="5" t="str">
        <f t="shared" si="8"/>
        <v>Cancelado</v>
      </c>
      <c r="B43" s="5" t="e">
        <f>IF(#REF!&lt;=-1,1,IF(#REF!&lt;=5,2,IF(#REF!&lt;=15,3,IF(H43&lt;=60,4))))</f>
        <v>#REF!</v>
      </c>
      <c r="C43" s="37">
        <v>1239909226</v>
      </c>
      <c r="D43" s="10" t="s">
        <v>123</v>
      </c>
      <c r="E43" s="11">
        <v>1984500</v>
      </c>
      <c r="F43" s="33">
        <v>46028</v>
      </c>
      <c r="G43" s="5" t="s">
        <v>12</v>
      </c>
      <c r="H43" s="5">
        <f>IF(OR(G43="Sin pagar",G43="Pagar"),NETWORKDAYS($I$11,F43,'Festivos Colombia'!$A$3:$A$22),0)</f>
        <v>0</v>
      </c>
      <c r="I43" s="36">
        <f t="shared" si="9"/>
        <v>0</v>
      </c>
      <c r="J43" s="166"/>
      <c r="K43" s="12"/>
      <c r="L43" s="12"/>
      <c r="M43" s="12"/>
      <c r="N43" s="12"/>
      <c r="O43" s="12"/>
      <c r="T43" s="12"/>
      <c r="U43" s="12"/>
    </row>
    <row r="44" spans="1:21" s="5" customFormat="1" ht="14.25" customHeight="1" outlineLevel="1" thickBot="1">
      <c r="A44" s="5" t="str">
        <f t="shared" si="8"/>
        <v>Cancelado</v>
      </c>
      <c r="B44" s="5" t="e">
        <f>IF(#REF!&lt;=-1,1,IF(#REF!&lt;=5,2,IF(#REF!&lt;=15,3,IF(H44&lt;=60,4))))</f>
        <v>#REF!</v>
      </c>
      <c r="C44" s="37">
        <v>12310060492</v>
      </c>
      <c r="D44" s="10" t="s">
        <v>129</v>
      </c>
      <c r="E44" s="11">
        <v>71820</v>
      </c>
      <c r="F44" s="33">
        <v>46028</v>
      </c>
      <c r="G44" s="5" t="s">
        <v>12</v>
      </c>
      <c r="H44" s="5">
        <f>IF(OR(G44="Sin pagar",G44="Pagar"),NETWORKDAYS($I$11,F44,'Festivos Colombia'!$A$3:$A$22),0)</f>
        <v>0</v>
      </c>
      <c r="I44" s="36">
        <f t="shared" ref="I44" si="10">H44</f>
        <v>0</v>
      </c>
      <c r="J44" s="166"/>
      <c r="K44" s="12"/>
      <c r="L44" s="12"/>
      <c r="M44" s="12"/>
      <c r="N44" s="12"/>
      <c r="O44" s="12"/>
      <c r="T44" s="12"/>
      <c r="U44" s="12"/>
    </row>
    <row r="45" spans="1:21" s="5" customFormat="1" ht="16.5" thickBot="1">
      <c r="C45" s="38"/>
      <c r="D45" s="136" t="s">
        <v>23</v>
      </c>
      <c r="E45" s="135">
        <f>SUBTOTAL(9,E46:E91)</f>
        <v>139233231.91999996</v>
      </c>
      <c r="G45" s="13"/>
      <c r="I45" s="13"/>
      <c r="K45" s="13"/>
      <c r="L45" s="13"/>
    </row>
    <row r="46" spans="1:21" s="5" customFormat="1" outlineLevel="1">
      <c r="C46" s="38"/>
      <c r="D46" s="10" t="s">
        <v>112</v>
      </c>
      <c r="E46" s="158">
        <v>754854</v>
      </c>
      <c r="F46" s="33">
        <v>45995</v>
      </c>
      <c r="G46" s="5" t="s">
        <v>12</v>
      </c>
      <c r="I46" s="13"/>
      <c r="K46" s="13"/>
      <c r="L46" s="13"/>
    </row>
    <row r="47" spans="1:21" s="5" customFormat="1" outlineLevel="1">
      <c r="C47" s="38"/>
      <c r="D47" s="10" t="s">
        <v>106</v>
      </c>
      <c r="E47" s="158">
        <v>224349.44999999998</v>
      </c>
      <c r="F47" s="33">
        <v>45995</v>
      </c>
      <c r="G47" s="5" t="s">
        <v>12</v>
      </c>
      <c r="I47" s="13"/>
      <c r="K47" s="13"/>
      <c r="L47" s="13"/>
    </row>
    <row r="48" spans="1:21" s="5" customFormat="1" outlineLevel="1">
      <c r="C48" s="38"/>
      <c r="D48" s="10" t="s">
        <v>121</v>
      </c>
      <c r="E48" s="158">
        <v>380000</v>
      </c>
      <c r="F48" s="33">
        <v>45995</v>
      </c>
      <c r="G48" s="5" t="s">
        <v>12</v>
      </c>
      <c r="I48" s="13"/>
      <c r="K48" s="13"/>
      <c r="L48" s="13"/>
    </row>
    <row r="49" spans="3:12" s="5" customFormat="1" outlineLevel="1">
      <c r="C49" s="38"/>
      <c r="D49" s="10" t="s">
        <v>111</v>
      </c>
      <c r="E49" s="158">
        <v>5720201.3700000001</v>
      </c>
      <c r="F49" s="33">
        <v>45995</v>
      </c>
      <c r="G49" s="5" t="s">
        <v>12</v>
      </c>
      <c r="I49" s="13"/>
      <c r="K49" s="13"/>
      <c r="L49" s="13"/>
    </row>
    <row r="50" spans="3:12" s="5" customFormat="1" outlineLevel="1">
      <c r="C50" s="38"/>
      <c r="D50" s="10" t="s">
        <v>128</v>
      </c>
      <c r="E50" s="158">
        <v>2830000</v>
      </c>
      <c r="F50" s="33">
        <v>45995</v>
      </c>
      <c r="G50" s="5" t="s">
        <v>12</v>
      </c>
      <c r="I50" s="13"/>
      <c r="K50" s="13"/>
      <c r="L50" s="13"/>
    </row>
    <row r="51" spans="3:12" s="5" customFormat="1" outlineLevel="1">
      <c r="C51" s="38"/>
      <c r="D51" s="10" t="s">
        <v>120</v>
      </c>
      <c r="E51" s="158">
        <v>316925</v>
      </c>
      <c r="F51" s="33">
        <v>45995</v>
      </c>
      <c r="G51" s="5" t="s">
        <v>12</v>
      </c>
      <c r="I51" s="13"/>
      <c r="K51" s="13"/>
      <c r="L51" s="13"/>
    </row>
    <row r="52" spans="3:12" s="5" customFormat="1" outlineLevel="1">
      <c r="C52" s="38"/>
      <c r="D52" s="10" t="s">
        <v>147</v>
      </c>
      <c r="E52" s="158">
        <v>16350000</v>
      </c>
      <c r="F52" s="33">
        <v>45995</v>
      </c>
      <c r="G52" s="5" t="s">
        <v>12</v>
      </c>
      <c r="I52" s="13"/>
      <c r="K52" s="13"/>
      <c r="L52" s="13"/>
    </row>
    <row r="53" spans="3:12" s="5" customFormat="1" outlineLevel="1">
      <c r="C53" s="38"/>
      <c r="D53" s="10" t="s">
        <v>148</v>
      </c>
      <c r="E53" s="158">
        <v>6750000</v>
      </c>
      <c r="F53" s="33">
        <v>45995</v>
      </c>
      <c r="G53" s="5" t="s">
        <v>12</v>
      </c>
      <c r="I53" s="13"/>
      <c r="K53" s="13"/>
      <c r="L53" s="13"/>
    </row>
    <row r="54" spans="3:12" s="5" customFormat="1" outlineLevel="1">
      <c r="C54" s="38"/>
      <c r="D54" s="10" t="s">
        <v>136</v>
      </c>
      <c r="E54" s="158">
        <v>44600</v>
      </c>
      <c r="F54" s="33">
        <v>46003</v>
      </c>
      <c r="G54" s="5" t="s">
        <v>12</v>
      </c>
      <c r="I54" s="13"/>
      <c r="K54" s="13"/>
      <c r="L54" s="13"/>
    </row>
    <row r="55" spans="3:12" s="5" customFormat="1" outlineLevel="1">
      <c r="C55" s="38"/>
      <c r="D55" s="10" t="s">
        <v>137</v>
      </c>
      <c r="E55" s="158">
        <v>35409</v>
      </c>
      <c r="F55" s="33">
        <v>46003</v>
      </c>
      <c r="G55" s="5" t="s">
        <v>12</v>
      </c>
      <c r="I55" s="13"/>
      <c r="K55" s="13"/>
      <c r="L55" s="13"/>
    </row>
    <row r="56" spans="3:12" s="5" customFormat="1" outlineLevel="1">
      <c r="C56" s="38"/>
      <c r="D56" s="10" t="s">
        <v>106</v>
      </c>
      <c r="E56" s="158">
        <v>2324827.0500000003</v>
      </c>
      <c r="F56" s="33">
        <v>46003</v>
      </c>
      <c r="G56" s="5" t="s">
        <v>12</v>
      </c>
      <c r="I56" s="13"/>
      <c r="K56" s="13"/>
      <c r="L56" s="13"/>
    </row>
    <row r="57" spans="3:12" s="5" customFormat="1" outlineLevel="1">
      <c r="C57" s="38"/>
      <c r="D57" s="10" t="s">
        <v>121</v>
      </c>
      <c r="E57" s="158">
        <v>642376</v>
      </c>
      <c r="F57" s="33">
        <v>46003</v>
      </c>
      <c r="G57" s="5" t="s">
        <v>12</v>
      </c>
      <c r="I57" s="13"/>
      <c r="K57" s="13"/>
      <c r="L57" s="13"/>
    </row>
    <row r="58" spans="3:12" s="5" customFormat="1" outlineLevel="1">
      <c r="C58" s="38"/>
      <c r="D58" s="10" t="s">
        <v>110</v>
      </c>
      <c r="E58" s="158">
        <v>3370273.19</v>
      </c>
      <c r="F58" s="33">
        <v>46003</v>
      </c>
      <c r="G58" s="5" t="s">
        <v>12</v>
      </c>
      <c r="I58" s="13"/>
      <c r="K58" s="13"/>
      <c r="L58" s="13"/>
    </row>
    <row r="59" spans="3:12" s="5" customFormat="1" outlineLevel="1">
      <c r="C59" s="38"/>
      <c r="D59" s="10" t="s">
        <v>125</v>
      </c>
      <c r="E59" s="158">
        <v>492087</v>
      </c>
      <c r="F59" s="33">
        <v>46003</v>
      </c>
      <c r="G59" s="5" t="s">
        <v>12</v>
      </c>
      <c r="I59" s="13"/>
      <c r="K59" s="13"/>
      <c r="L59" s="13"/>
    </row>
    <row r="60" spans="3:12" s="5" customFormat="1" outlineLevel="1">
      <c r="C60" s="38"/>
      <c r="D60" s="10" t="s">
        <v>104</v>
      </c>
      <c r="E60" s="158">
        <v>8032202</v>
      </c>
      <c r="F60" s="33">
        <v>46003</v>
      </c>
      <c r="G60" s="5" t="s">
        <v>12</v>
      </c>
      <c r="I60" s="13"/>
      <c r="K60" s="13"/>
      <c r="L60" s="13"/>
    </row>
    <row r="61" spans="3:12" s="5" customFormat="1" outlineLevel="1">
      <c r="C61" s="38"/>
      <c r="D61" s="10" t="s">
        <v>136</v>
      </c>
      <c r="E61" s="158">
        <v>4464209</v>
      </c>
      <c r="F61" s="33">
        <v>46009</v>
      </c>
      <c r="G61" s="5" t="s">
        <v>12</v>
      </c>
      <c r="I61" s="13"/>
      <c r="K61" s="13"/>
      <c r="L61" s="13"/>
    </row>
    <row r="62" spans="3:12" s="5" customFormat="1" outlineLevel="1">
      <c r="C62" s="38"/>
      <c r="D62" s="10" t="s">
        <v>137</v>
      </c>
      <c r="E62" s="158">
        <v>1185166.3999999999</v>
      </c>
      <c r="F62" s="33">
        <v>46009</v>
      </c>
      <c r="G62" s="5" t="s">
        <v>12</v>
      </c>
      <c r="I62" s="13"/>
      <c r="K62" s="13"/>
      <c r="L62" s="13"/>
    </row>
    <row r="63" spans="3:12" s="5" customFormat="1" outlineLevel="1">
      <c r="C63" s="38"/>
      <c r="D63" s="10" t="s">
        <v>112</v>
      </c>
      <c r="E63" s="158">
        <v>2178316.4900000002</v>
      </c>
      <c r="F63" s="33">
        <v>46009</v>
      </c>
      <c r="G63" s="5" t="s">
        <v>12</v>
      </c>
      <c r="I63" s="13"/>
      <c r="K63" s="13"/>
      <c r="L63" s="13"/>
    </row>
    <row r="64" spans="3:12" s="5" customFormat="1" outlineLevel="1">
      <c r="C64" s="38"/>
      <c r="D64" s="10" t="s">
        <v>113</v>
      </c>
      <c r="E64" s="158">
        <v>1421574</v>
      </c>
      <c r="F64" s="33">
        <v>46009</v>
      </c>
      <c r="G64" s="5" t="s">
        <v>12</v>
      </c>
      <c r="I64" s="13"/>
      <c r="K64" s="13"/>
      <c r="L64" s="13"/>
    </row>
    <row r="65" spans="3:12" s="5" customFormat="1" outlineLevel="1">
      <c r="C65" s="38"/>
      <c r="D65" s="10" t="s">
        <v>106</v>
      </c>
      <c r="E65" s="158">
        <v>8530870</v>
      </c>
      <c r="F65" s="33">
        <v>46009</v>
      </c>
      <c r="G65" s="5" t="s">
        <v>12</v>
      </c>
      <c r="I65" s="13"/>
      <c r="K65" s="13"/>
      <c r="L65" s="13"/>
    </row>
    <row r="66" spans="3:12" s="5" customFormat="1" outlineLevel="1">
      <c r="C66" s="38"/>
      <c r="D66" s="10" t="s">
        <v>128</v>
      </c>
      <c r="E66" s="158">
        <v>2392372</v>
      </c>
      <c r="F66" s="33">
        <v>46009</v>
      </c>
      <c r="G66" s="5" t="s">
        <v>12</v>
      </c>
      <c r="I66" s="13"/>
      <c r="K66" s="13"/>
      <c r="L66" s="13"/>
    </row>
    <row r="67" spans="3:12" s="5" customFormat="1" outlineLevel="1">
      <c r="C67" s="38"/>
      <c r="D67" s="10" t="s">
        <v>124</v>
      </c>
      <c r="E67" s="158">
        <v>1210858</v>
      </c>
      <c r="F67" s="33">
        <v>46009</v>
      </c>
      <c r="G67" s="5" t="s">
        <v>12</v>
      </c>
      <c r="I67" s="13"/>
      <c r="K67" s="13"/>
      <c r="L67" s="13"/>
    </row>
    <row r="68" spans="3:12" s="5" customFormat="1" outlineLevel="1">
      <c r="C68" s="38"/>
      <c r="D68" s="10" t="s">
        <v>120</v>
      </c>
      <c r="E68" s="158">
        <v>2243766</v>
      </c>
      <c r="F68" s="33">
        <v>46009</v>
      </c>
      <c r="G68" s="5" t="s">
        <v>12</v>
      </c>
      <c r="I68" s="13"/>
      <c r="K68" s="13"/>
      <c r="L68" s="13"/>
    </row>
    <row r="69" spans="3:12" s="5" customFormat="1" outlineLevel="1">
      <c r="C69" s="38"/>
      <c r="D69" s="10" t="s">
        <v>125</v>
      </c>
      <c r="E69" s="158">
        <v>60000</v>
      </c>
      <c r="F69" s="33">
        <v>46009</v>
      </c>
      <c r="G69" s="5" t="s">
        <v>12</v>
      </c>
      <c r="I69" s="13"/>
      <c r="K69" s="13"/>
      <c r="L69" s="13"/>
    </row>
    <row r="70" spans="3:12" s="5" customFormat="1" outlineLevel="1">
      <c r="C70" s="38"/>
      <c r="D70" s="10" t="s">
        <v>105</v>
      </c>
      <c r="E70" s="158">
        <v>7996395</v>
      </c>
      <c r="F70" s="33">
        <v>46009</v>
      </c>
      <c r="G70" s="5" t="s">
        <v>12</v>
      </c>
      <c r="I70" s="13"/>
      <c r="K70" s="13"/>
      <c r="L70" s="13"/>
    </row>
    <row r="71" spans="3:12" s="5" customFormat="1" outlineLevel="1">
      <c r="C71" s="38"/>
      <c r="D71" s="10" t="s">
        <v>136</v>
      </c>
      <c r="E71" s="158">
        <v>10112163</v>
      </c>
      <c r="F71" s="33">
        <v>46020</v>
      </c>
      <c r="G71" s="5" t="s">
        <v>12</v>
      </c>
      <c r="I71" s="13"/>
      <c r="K71" s="13"/>
      <c r="L71" s="13"/>
    </row>
    <row r="72" spans="3:12" s="5" customFormat="1" outlineLevel="1">
      <c r="C72" s="38"/>
      <c r="D72" s="10" t="s">
        <v>106</v>
      </c>
      <c r="E72" s="158">
        <v>234932</v>
      </c>
      <c r="F72" s="33">
        <v>46020</v>
      </c>
      <c r="G72" s="5" t="s">
        <v>12</v>
      </c>
      <c r="I72" s="13"/>
      <c r="K72" s="13"/>
      <c r="L72" s="13"/>
    </row>
    <row r="73" spans="3:12" s="5" customFormat="1" outlineLevel="1">
      <c r="C73" s="38"/>
      <c r="D73" s="10" t="s">
        <v>124</v>
      </c>
      <c r="E73" s="158">
        <v>1806000</v>
      </c>
      <c r="F73" s="33">
        <v>46020</v>
      </c>
      <c r="G73" s="5" t="s">
        <v>12</v>
      </c>
      <c r="I73" s="13"/>
      <c r="K73" s="13"/>
      <c r="L73" s="13"/>
    </row>
    <row r="74" spans="3:12" s="5" customFormat="1" hidden="1" outlineLevel="1">
      <c r="C74" s="38"/>
      <c r="D74" s="10"/>
      <c r="E74" s="187">
        <v>10683224</v>
      </c>
      <c r="F74" s="33">
        <v>46020</v>
      </c>
      <c r="G74" s="5" t="s">
        <v>12</v>
      </c>
      <c r="I74" s="13"/>
      <c r="K74" s="13"/>
      <c r="L74" s="13"/>
    </row>
    <row r="75" spans="3:12" s="5" customFormat="1" outlineLevel="1">
      <c r="C75" s="38"/>
      <c r="D75" s="10" t="s">
        <v>119</v>
      </c>
      <c r="E75" s="158">
        <v>17928625.289999999</v>
      </c>
      <c r="F75" s="33">
        <v>46020</v>
      </c>
      <c r="G75" s="5" t="s">
        <v>12</v>
      </c>
      <c r="I75" s="13"/>
      <c r="K75" s="13"/>
      <c r="L75" s="13"/>
    </row>
    <row r="76" spans="3:12" s="5" customFormat="1" outlineLevel="1">
      <c r="C76" s="38"/>
      <c r="D76" s="10" t="s">
        <v>114</v>
      </c>
      <c r="E76" s="158">
        <v>3021994</v>
      </c>
      <c r="F76" s="33">
        <v>46020</v>
      </c>
      <c r="G76" s="5" t="s">
        <v>12</v>
      </c>
      <c r="I76" s="13"/>
      <c r="K76" s="13"/>
      <c r="L76" s="13"/>
    </row>
    <row r="77" spans="3:12" s="5" customFormat="1" outlineLevel="1">
      <c r="C77" s="38"/>
      <c r="D77" s="10" t="s">
        <v>125</v>
      </c>
      <c r="E77" s="158">
        <v>192200</v>
      </c>
      <c r="F77" s="33">
        <v>46020</v>
      </c>
      <c r="G77" s="5" t="s">
        <v>12</v>
      </c>
      <c r="I77" s="13"/>
      <c r="K77" s="13"/>
      <c r="L77" s="13"/>
    </row>
    <row r="78" spans="3:12" s="5" customFormat="1" outlineLevel="1">
      <c r="C78" s="38"/>
      <c r="D78" s="10" t="s">
        <v>179</v>
      </c>
      <c r="E78" s="158">
        <v>717001.1</v>
      </c>
      <c r="F78" s="33">
        <v>46020</v>
      </c>
      <c r="G78" s="5" t="s">
        <v>12</v>
      </c>
      <c r="I78" s="13"/>
      <c r="K78" s="13"/>
      <c r="L78" s="13"/>
    </row>
    <row r="79" spans="3:12" s="5" customFormat="1" outlineLevel="1">
      <c r="C79" s="38"/>
      <c r="D79" s="10" t="s">
        <v>116</v>
      </c>
      <c r="E79" s="158">
        <f>5385563.02+770561</f>
        <v>6156124.0199999996</v>
      </c>
      <c r="F79" s="33">
        <v>46020</v>
      </c>
      <c r="G79" s="5" t="s">
        <v>12</v>
      </c>
      <c r="I79" s="13"/>
      <c r="K79" s="13"/>
      <c r="L79" s="13"/>
    </row>
    <row r="80" spans="3:12" s="5" customFormat="1" outlineLevel="1">
      <c r="C80" s="38"/>
      <c r="D80" s="10" t="s">
        <v>133</v>
      </c>
      <c r="E80" s="158">
        <v>413889.2</v>
      </c>
      <c r="F80" s="33">
        <v>46020</v>
      </c>
      <c r="G80" s="5" t="s">
        <v>12</v>
      </c>
      <c r="I80" s="13"/>
      <c r="K80" s="13"/>
      <c r="L80" s="13"/>
    </row>
    <row r="81" spans="3:12" s="5" customFormat="1" outlineLevel="1">
      <c r="C81" s="38"/>
      <c r="D81" s="10" t="s">
        <v>115</v>
      </c>
      <c r="E81" s="158">
        <v>223551.4</v>
      </c>
      <c r="F81" s="33">
        <v>46020</v>
      </c>
      <c r="G81" s="5" t="s">
        <v>12</v>
      </c>
      <c r="I81" s="13"/>
      <c r="K81" s="13"/>
      <c r="L81" s="13"/>
    </row>
    <row r="82" spans="3:12" s="5" customFormat="1" outlineLevel="1">
      <c r="C82" s="38"/>
      <c r="D82" s="10" t="s">
        <v>149</v>
      </c>
      <c r="E82" s="158">
        <v>946310</v>
      </c>
      <c r="F82" s="33">
        <v>46020</v>
      </c>
      <c r="G82" s="5" t="s">
        <v>12</v>
      </c>
      <c r="I82" s="13"/>
      <c r="K82" s="13"/>
      <c r="L82" s="13"/>
    </row>
    <row r="83" spans="3:12" s="5" customFormat="1" outlineLevel="1">
      <c r="C83" s="38"/>
      <c r="D83" s="10" t="s">
        <v>150</v>
      </c>
      <c r="E83" s="158">
        <v>745110</v>
      </c>
      <c r="F83" s="33">
        <v>46020</v>
      </c>
      <c r="G83" s="5" t="s">
        <v>12</v>
      </c>
      <c r="I83" s="13"/>
      <c r="K83" s="13"/>
      <c r="L83" s="13"/>
    </row>
    <row r="84" spans="3:12" s="5" customFormat="1" outlineLevel="1">
      <c r="C84" s="38"/>
      <c r="D84" s="10" t="s">
        <v>125</v>
      </c>
      <c r="E84" s="158">
        <v>413438</v>
      </c>
      <c r="F84" s="33">
        <v>46020</v>
      </c>
      <c r="G84" s="5" t="s">
        <v>12</v>
      </c>
      <c r="I84" s="13"/>
      <c r="K84" s="13"/>
      <c r="L84" s="13"/>
    </row>
    <row r="85" spans="3:12" s="5" customFormat="1" outlineLevel="1">
      <c r="C85" s="38"/>
      <c r="D85" s="10" t="s">
        <v>118</v>
      </c>
      <c r="E85" s="158">
        <v>467154</v>
      </c>
      <c r="F85" s="33">
        <v>46024</v>
      </c>
      <c r="G85" s="5" t="s">
        <v>12</v>
      </c>
      <c r="I85" s="13"/>
      <c r="K85" s="13"/>
      <c r="L85" s="13"/>
    </row>
    <row r="86" spans="3:12" s="5" customFormat="1" outlineLevel="1">
      <c r="C86" s="38"/>
      <c r="D86" s="10" t="s">
        <v>108</v>
      </c>
      <c r="E86" s="158">
        <v>1000226</v>
      </c>
      <c r="F86" s="33">
        <v>46024</v>
      </c>
      <c r="G86" s="5" t="s">
        <v>12</v>
      </c>
      <c r="I86" s="13"/>
      <c r="K86" s="13"/>
      <c r="L86" s="13"/>
    </row>
    <row r="87" spans="3:12" s="5" customFormat="1" outlineLevel="1">
      <c r="C87" s="38"/>
      <c r="D87" s="10" t="s">
        <v>113</v>
      </c>
      <c r="E87" s="158">
        <v>255113.01</v>
      </c>
      <c r="F87" s="33">
        <v>46024</v>
      </c>
      <c r="G87" s="5" t="s">
        <v>12</v>
      </c>
      <c r="I87" s="13"/>
      <c r="K87" s="13"/>
      <c r="L87" s="13"/>
    </row>
    <row r="88" spans="3:12" s="5" customFormat="1" outlineLevel="1">
      <c r="C88" s="38"/>
      <c r="D88" s="10" t="s">
        <v>121</v>
      </c>
      <c r="E88" s="158">
        <v>468000</v>
      </c>
      <c r="F88" s="33">
        <v>46024</v>
      </c>
      <c r="G88" s="5" t="s">
        <v>12</v>
      </c>
      <c r="I88" s="13"/>
      <c r="K88" s="13"/>
      <c r="L88" s="13"/>
    </row>
    <row r="89" spans="3:12" s="5" customFormat="1" outlineLevel="1">
      <c r="C89" s="38"/>
      <c r="D89" s="10" t="s">
        <v>110</v>
      </c>
      <c r="E89" s="158">
        <v>1546810.9500000002</v>
      </c>
      <c r="F89" s="33">
        <v>46024</v>
      </c>
      <c r="G89" s="5" t="s">
        <v>12</v>
      </c>
      <c r="I89" s="13"/>
      <c r="K89" s="13"/>
      <c r="L89" s="13"/>
    </row>
    <row r="90" spans="3:12" s="5" customFormat="1" outlineLevel="1">
      <c r="C90" s="38"/>
      <c r="D90" s="10" t="s">
        <v>111</v>
      </c>
      <c r="E90" s="158">
        <v>1783405</v>
      </c>
      <c r="F90" s="33">
        <v>46024</v>
      </c>
      <c r="G90" s="5" t="s">
        <v>12</v>
      </c>
      <c r="I90" s="13"/>
      <c r="K90" s="13"/>
      <c r="L90" s="13"/>
    </row>
    <row r="91" spans="3:12" s="5" customFormat="1" ht="15.75" outlineLevel="1" thickBot="1">
      <c r="C91" s="38"/>
      <c r="D91" s="10" t="s">
        <v>124</v>
      </c>
      <c r="E91" s="158">
        <v>166330</v>
      </c>
      <c r="F91" s="33">
        <v>46024</v>
      </c>
      <c r="G91" s="5" t="s">
        <v>12</v>
      </c>
      <c r="I91" s="13"/>
      <c r="K91" s="13"/>
      <c r="L91" s="13"/>
    </row>
    <row r="92" spans="3:12" s="5" customFormat="1" ht="16.5" thickBot="1">
      <c r="C92" s="9"/>
      <c r="D92" s="134" t="s">
        <v>24</v>
      </c>
      <c r="E92" s="135">
        <f>SUBTOTAL(9,E93:E96)</f>
        <v>6833580</v>
      </c>
    </row>
    <row r="93" spans="3:12" s="5" customFormat="1" outlineLevel="1">
      <c r="C93" s="164"/>
      <c r="D93" s="10" t="s">
        <v>167</v>
      </c>
      <c r="E93" s="158">
        <v>840740</v>
      </c>
      <c r="F93" s="33">
        <v>46002</v>
      </c>
      <c r="G93" s="5" t="s">
        <v>12</v>
      </c>
      <c r="H93" s="5">
        <f>IF(OR(G93="Sin pagar",G93="Pagar"),NETWORKDAYS($I$11,F93,'Festivos Colombia'!$A$3:$A$22),0)</f>
        <v>0</v>
      </c>
      <c r="I93" s="36">
        <f t="shared" ref="I93" si="11">H93</f>
        <v>0</v>
      </c>
      <c r="J93" s="11"/>
      <c r="K93" s="13"/>
      <c r="L93" s="13"/>
    </row>
    <row r="94" spans="3:12" s="5" customFormat="1" outlineLevel="1">
      <c r="C94" s="164"/>
      <c r="D94" s="10" t="s">
        <v>168</v>
      </c>
      <c r="E94" s="158">
        <v>1462100</v>
      </c>
      <c r="F94" s="33">
        <v>46003</v>
      </c>
      <c r="G94" s="5" t="s">
        <v>12</v>
      </c>
      <c r="H94" s="5">
        <f>IF(OR(G94="Sin pagar",G94="Pagar"),NETWORKDAYS($I$11,F94,'Festivos Colombia'!$A$3:$A$22),0)</f>
        <v>0</v>
      </c>
      <c r="I94" s="36">
        <f t="shared" ref="I94" si="12">H94</f>
        <v>0</v>
      </c>
      <c r="J94" s="11"/>
      <c r="K94" s="13"/>
      <c r="L94" s="13"/>
    </row>
    <row r="95" spans="3:12" s="5" customFormat="1" outlineLevel="1">
      <c r="C95" s="164"/>
      <c r="D95" s="10" t="s">
        <v>170</v>
      </c>
      <c r="E95" s="158">
        <v>125000</v>
      </c>
      <c r="F95" s="33">
        <v>46008</v>
      </c>
      <c r="G95" s="5" t="s">
        <v>12</v>
      </c>
      <c r="H95" s="5">
        <f>IF(OR(G95="Sin pagar",G95="Pagar"),NETWORKDAYS($I$11,F95,'Festivos Colombia'!$A$3:$A$22),0)</f>
        <v>0</v>
      </c>
      <c r="I95" s="34">
        <f t="shared" ref="I95" si="13">H95</f>
        <v>0</v>
      </c>
      <c r="J95" s="11"/>
      <c r="K95" s="13"/>
      <c r="L95" s="13"/>
    </row>
    <row r="96" spans="3:12" s="5" customFormat="1" ht="15.75" outlineLevel="1" thickBot="1">
      <c r="C96" s="164"/>
      <c r="D96" s="10" t="s">
        <v>184</v>
      </c>
      <c r="E96" s="158">
        <v>4405740</v>
      </c>
      <c r="F96" s="33">
        <v>46028</v>
      </c>
      <c r="G96" s="5" t="s">
        <v>12</v>
      </c>
      <c r="H96" s="5">
        <f>IF(OR(G96="Sin pagar",G96="Pagar"),NETWORKDAYS($I$11,F96,'Festivos Colombia'!$A$3:$A$22),0)</f>
        <v>0</v>
      </c>
      <c r="I96" s="34">
        <f t="shared" ref="I96" si="14">H96</f>
        <v>0</v>
      </c>
      <c r="J96" s="11"/>
      <c r="K96" s="13"/>
      <c r="L96" s="13"/>
    </row>
    <row r="97" spans="1:19" s="5" customFormat="1" ht="15.75" customHeight="1" thickBot="1">
      <c r="C97" s="9"/>
      <c r="D97" s="134" t="s">
        <v>26</v>
      </c>
      <c r="E97" s="135">
        <f>SUBTOTAL(9,E98:E99)</f>
        <v>17766797.719999999</v>
      </c>
      <c r="F97" s="33"/>
    </row>
    <row r="98" spans="1:19" s="5" customFormat="1" outlineLevel="1">
      <c r="A98" s="5" t="str">
        <f>G98</f>
        <v>Cancelado</v>
      </c>
      <c r="B98" s="5" t="e">
        <f>IF(#REF!&lt;=-1,1,IF(#REF!&lt;=5,2,IF(#REF!&lt;=15,3,IF(H98&lt;=60,4))))</f>
        <v>#REF!</v>
      </c>
      <c r="C98" s="180" t="s">
        <v>155</v>
      </c>
      <c r="D98" s="57" t="s">
        <v>154</v>
      </c>
      <c r="E98" s="11">
        <v>17406803.719999999</v>
      </c>
      <c r="F98" s="33">
        <v>46003</v>
      </c>
      <c r="G98" s="5" t="s">
        <v>12</v>
      </c>
      <c r="H98" s="5">
        <f>IF(OR(G98="Sin pagar",G98="Pagar"),NETWORKDAYS($I$11,F98,'Festivos Colombia'!$A$3:$A$22),0)</f>
        <v>0</v>
      </c>
      <c r="I98" s="36">
        <f>H98</f>
        <v>0</v>
      </c>
      <c r="J98" s="166"/>
      <c r="K98" s="131"/>
      <c r="P98" s="12"/>
      <c r="Q98" s="12"/>
      <c r="R98" s="12"/>
      <c r="S98" s="12"/>
    </row>
    <row r="99" spans="1:19" s="5" customFormat="1" ht="15.75" outlineLevel="1" thickBot="1">
      <c r="A99" s="5" t="str">
        <f>G99</f>
        <v>Cancelado</v>
      </c>
      <c r="B99" s="5" t="e">
        <f>IF(#REF!&lt;=-1,1,IF(#REF!&lt;=5,2,IF(#REF!&lt;=15,3,IF(H99&lt;=60,4))))</f>
        <v>#REF!</v>
      </c>
      <c r="C99" s="180" t="s">
        <v>166</v>
      </c>
      <c r="D99" s="57" t="s">
        <v>153</v>
      </c>
      <c r="E99" s="11">
        <v>359994</v>
      </c>
      <c r="F99" s="33">
        <v>46003</v>
      </c>
      <c r="G99" s="5" t="s">
        <v>12</v>
      </c>
      <c r="H99" s="5">
        <f>IF(OR(G99="Sin pagar",G99="Pagar"),NETWORKDAYS($I$11,F99,'Festivos Colombia'!$A$3:$A$22),0)</f>
        <v>0</v>
      </c>
      <c r="I99" s="36">
        <f>H99</f>
        <v>0</v>
      </c>
      <c r="J99" s="166"/>
      <c r="K99" s="131"/>
      <c r="P99" s="12"/>
      <c r="Q99" s="12"/>
      <c r="R99" s="12"/>
      <c r="S99" s="12"/>
    </row>
    <row r="100" spans="1:19" s="5" customFormat="1" ht="16.5" thickBot="1">
      <c r="D100" s="134" t="s">
        <v>27</v>
      </c>
      <c r="E100" s="135">
        <f>SUBTOTAL(9,E101)</f>
        <v>13453783.59</v>
      </c>
    </row>
    <row r="101" spans="1:19" s="5" customFormat="1" ht="15.75" outlineLevel="1" thickBot="1">
      <c r="A101" s="5" t="str">
        <f>G101</f>
        <v>Cancelado</v>
      </c>
      <c r="B101" s="5" t="e">
        <f>IF(#REF!&lt;=-1,1,IF(#REF!&lt;=5,2,IF(#REF!&lt;=15,3,IF(H101&lt;=60,4))))</f>
        <v>#REF!</v>
      </c>
      <c r="C101" s="9"/>
      <c r="D101" s="10" t="s">
        <v>28</v>
      </c>
      <c r="E101" s="11">
        <f>12688157.41+765626.18</f>
        <v>13453783.59</v>
      </c>
      <c r="F101" s="33">
        <v>46022</v>
      </c>
      <c r="G101" s="5" t="s">
        <v>12</v>
      </c>
      <c r="H101" s="5">
        <f>IF(OR(G101="Sin pagar",G101="Pagar"),NETWORKDAYS($I$11,F101,'Festivos Colombia'!$A$3:$A$22),0)</f>
        <v>0</v>
      </c>
      <c r="I101" s="36">
        <f>H101</f>
        <v>0</v>
      </c>
    </row>
    <row r="102" spans="1:19" s="5" customFormat="1" ht="16.5" thickBot="1">
      <c r="D102" s="134" t="s">
        <v>29</v>
      </c>
      <c r="E102" s="135">
        <f>SUBTOTAL(9,E103)</f>
        <v>0</v>
      </c>
    </row>
    <row r="103" spans="1:19" s="5" customFormat="1" ht="15.75" outlineLevel="1" thickBot="1">
      <c r="A103" s="5" t="str">
        <f>G103</f>
        <v>Cancelado</v>
      </c>
      <c r="B103" s="5" t="e">
        <f>IF(#REF!&lt;=-1,1,IF(#REF!&lt;=5,2,IF(#REF!&lt;=15,3,IF(H103&lt;=60,4))))</f>
        <v>#REF!</v>
      </c>
      <c r="C103" s="9"/>
      <c r="D103" s="10"/>
      <c r="E103" s="11"/>
      <c r="F103" s="163">
        <v>46022</v>
      </c>
      <c r="G103" s="5" t="s">
        <v>12</v>
      </c>
      <c r="H103" s="5">
        <f>IF(OR(G103="Sin pagar",G103="Pagar"),NETWORKDAYS($I$11,F103,'Festivos Colombia'!$A$3:$A$22),0)</f>
        <v>0</v>
      </c>
      <c r="I103" s="34">
        <f>H103</f>
        <v>0</v>
      </c>
      <c r="J103" s="11"/>
    </row>
    <row r="104" spans="1:19" s="5" customFormat="1" ht="16.5" thickBot="1">
      <c r="D104" s="134" t="s">
        <v>144</v>
      </c>
      <c r="E104" s="135">
        <f>SUBTOTAL(9,E105:E113)</f>
        <v>1940706</v>
      </c>
      <c r="J104" s="13"/>
    </row>
    <row r="105" spans="1:19" s="5" customFormat="1" ht="14.25" customHeight="1" outlineLevel="1">
      <c r="A105" s="5" t="str">
        <f t="shared" ref="A105:A109" si="15">G105</f>
        <v>Cancelado</v>
      </c>
      <c r="B105" s="5" t="e">
        <f>IF(#REF!&lt;=-1,1,IF(#REF!&lt;=5,2,IF(#REF!&lt;=15,3,IF(H105&lt;=60,4))))</f>
        <v>#REF!</v>
      </c>
      <c r="C105" s="181" t="s">
        <v>145</v>
      </c>
      <c r="D105" s="57" t="s">
        <v>146</v>
      </c>
      <c r="E105" s="14">
        <f>467206</f>
        <v>467206</v>
      </c>
      <c r="F105" s="33">
        <v>46017</v>
      </c>
      <c r="G105" s="5" t="s">
        <v>12</v>
      </c>
      <c r="H105" s="5">
        <f>IF(OR(G105="Sin pagar",G105="Pagar"),NETWORKDAYS($I$11,F105,'Festivos Colombia'!$A$3:$A$22),0)</f>
        <v>0</v>
      </c>
      <c r="I105" s="36">
        <f t="shared" ref="I105:I109" si="16">H105</f>
        <v>0</v>
      </c>
      <c r="J105" s="166"/>
    </row>
    <row r="106" spans="1:19" s="5" customFormat="1" outlineLevel="1">
      <c r="A106" s="5" t="str">
        <f t="shared" si="15"/>
        <v>Cancelado</v>
      </c>
      <c r="B106" s="5" t="e">
        <f>IF(#REF!&lt;=-1,1,IF(#REF!&lt;=5,2,IF(#REF!&lt;=15,3,IF(H106&lt;=60,4))))</f>
        <v>#REF!</v>
      </c>
      <c r="C106" s="123">
        <v>6786</v>
      </c>
      <c r="D106" s="57" t="s">
        <v>30</v>
      </c>
      <c r="E106" s="14">
        <f>519000</f>
        <v>519000</v>
      </c>
      <c r="F106" s="33">
        <v>45995</v>
      </c>
      <c r="G106" s="5" t="s">
        <v>12</v>
      </c>
      <c r="H106" s="5">
        <f>IF(OR(G106="Sin pagar",G106="Pagar"),NETWORKDAYS($I$11,F106,'Festivos Colombia'!$A$3:$A$22),0)</f>
        <v>0</v>
      </c>
      <c r="I106" s="36">
        <f t="shared" si="16"/>
        <v>0</v>
      </c>
      <c r="J106" s="166"/>
    </row>
    <row r="107" spans="1:19" s="5" customFormat="1" outlineLevel="1">
      <c r="A107" s="5" t="str">
        <f t="shared" si="15"/>
        <v>Cancelado</v>
      </c>
      <c r="B107" s="5" t="e">
        <f>IF(#REF!&lt;=-1,1,IF(#REF!&lt;=5,2,IF(#REF!&lt;=15,3,IF(H107&lt;=60,4))))</f>
        <v>#REF!</v>
      </c>
      <c r="C107" s="123">
        <v>6796</v>
      </c>
      <c r="D107" s="57" t="s">
        <v>30</v>
      </c>
      <c r="E107" s="14">
        <f>410000</f>
        <v>410000</v>
      </c>
      <c r="F107" s="33">
        <v>46010</v>
      </c>
      <c r="G107" s="5" t="s">
        <v>12</v>
      </c>
      <c r="H107" s="5">
        <f>IF(OR(G107="Sin pagar",G107="Pagar"),NETWORKDAYS($I$11,F107,'Festivos Colombia'!$A$3:$A$22),0)</f>
        <v>0</v>
      </c>
      <c r="I107" s="36">
        <f t="shared" si="16"/>
        <v>0</v>
      </c>
      <c r="J107" s="166"/>
    </row>
    <row r="108" spans="1:19" s="5" customFormat="1" outlineLevel="1">
      <c r="A108" s="5" t="str">
        <f t="shared" si="15"/>
        <v>Cancelado</v>
      </c>
      <c r="B108" s="5" t="e">
        <f>IF(#REF!&lt;=-1,1,IF(#REF!&lt;=5,2,IF(#REF!&lt;=15,3,IF(H108&lt;=60,4))))</f>
        <v>#REF!</v>
      </c>
      <c r="C108" s="123">
        <v>6820</v>
      </c>
      <c r="D108" s="57" t="s">
        <v>30</v>
      </c>
      <c r="E108" s="14">
        <f>337000</f>
        <v>337000</v>
      </c>
      <c r="F108" s="33">
        <v>46013</v>
      </c>
      <c r="G108" s="5" t="s">
        <v>12</v>
      </c>
      <c r="H108" s="5">
        <f>IF(OR(G108="Sin pagar",G108="Pagar"),NETWORKDAYS($I$11,F108,'Festivos Colombia'!$A$3:$A$22),0)</f>
        <v>0</v>
      </c>
      <c r="I108" s="36">
        <f t="shared" si="16"/>
        <v>0</v>
      </c>
      <c r="J108" s="166"/>
    </row>
    <row r="109" spans="1:19" s="5" customFormat="1" outlineLevel="1">
      <c r="A109" s="5" t="str">
        <f t="shared" si="15"/>
        <v>Cancelado</v>
      </c>
      <c r="B109" s="5" t="e">
        <f>IF(#REF!&lt;=-1,1,IF(#REF!&lt;=5,2,IF(#REF!&lt;=15,3,IF(H109&lt;=60,4))))</f>
        <v>#REF!</v>
      </c>
      <c r="C109" s="123">
        <v>6830</v>
      </c>
      <c r="D109" s="57" t="s">
        <v>30</v>
      </c>
      <c r="E109" s="14">
        <v>207500</v>
      </c>
      <c r="F109" s="33">
        <v>46013</v>
      </c>
      <c r="G109" s="5" t="s">
        <v>12</v>
      </c>
      <c r="H109" s="5">
        <f>IF(OR(G109="Sin pagar",G109="Pagar"),NETWORKDAYS($I$11,F109,'Festivos Colombia'!$A$3:$A$22),0)</f>
        <v>0</v>
      </c>
      <c r="I109" s="36">
        <f t="shared" si="16"/>
        <v>0</v>
      </c>
      <c r="J109" s="166"/>
    </row>
    <row r="110" spans="1:19" s="5" customFormat="1" outlineLevel="1">
      <c r="A110" s="5" t="str">
        <f t="shared" ref="A110" si="17">G110</f>
        <v>Sin Pagar</v>
      </c>
      <c r="B110" s="5" t="e">
        <f>IF(#REF!&lt;=-1,1,IF(#REF!&lt;=5,2,IF(#REF!&lt;=15,3,IF(H110&lt;=60,4))))</f>
        <v>#REF!</v>
      </c>
      <c r="C110" s="123">
        <v>6838</v>
      </c>
      <c r="D110" s="57" t="s">
        <v>30</v>
      </c>
      <c r="E110" s="14">
        <f>205000*0</f>
        <v>0</v>
      </c>
      <c r="F110" s="33">
        <v>46027</v>
      </c>
      <c r="G110" s="5" t="s">
        <v>19</v>
      </c>
      <c r="H110" s="5">
        <f>IF(OR(G110="Sin pagar",G110="Pagar"),NETWORKDAYS($I$11,F110,'Festivos Colombia'!$A$3:$A$22),0)</f>
        <v>25</v>
      </c>
      <c r="I110" s="36">
        <f t="shared" ref="I110" si="18">H110</f>
        <v>25</v>
      </c>
      <c r="J110" s="166"/>
    </row>
    <row r="111" spans="1:19" s="5" customFormat="1" outlineLevel="1">
      <c r="A111" s="5" t="str">
        <f t="shared" ref="A111" si="19">G111</f>
        <v>Sin Pagar</v>
      </c>
      <c r="B111" s="5" t="e">
        <f>IF(#REF!&lt;=-1,1,IF(#REF!&lt;=5,2,IF(#REF!&lt;=15,3,IF(H111&lt;=60,4))))</f>
        <v>#REF!</v>
      </c>
      <c r="C111" s="123">
        <v>6845</v>
      </c>
      <c r="D111" s="57" t="s">
        <v>30</v>
      </c>
      <c r="E111" s="14">
        <f>1432500*0</f>
        <v>0</v>
      </c>
      <c r="F111" s="33">
        <v>46033</v>
      </c>
      <c r="G111" s="5" t="s">
        <v>19</v>
      </c>
      <c r="H111" s="5">
        <f>IF(OR(G111="Sin pagar",G111="Pagar"),NETWORKDAYS($I$11,F111,'Festivos Colombia'!$A$3:$A$22),0)</f>
        <v>29</v>
      </c>
      <c r="I111" s="36">
        <f t="shared" ref="I111" si="20">H111</f>
        <v>29</v>
      </c>
      <c r="J111" s="166"/>
    </row>
    <row r="112" spans="1:19" s="5" customFormat="1" outlineLevel="1">
      <c r="A112" s="5" t="str">
        <f t="shared" ref="A112" si="21">G112</f>
        <v>Sin Pagar</v>
      </c>
      <c r="B112" s="5" t="e">
        <f>IF(#REF!&lt;=-1,1,IF(#REF!&lt;=5,2,IF(#REF!&lt;=15,3,IF(H112&lt;=60,4))))</f>
        <v>#REF!</v>
      </c>
      <c r="C112" s="123">
        <v>6856</v>
      </c>
      <c r="D112" s="57" t="s">
        <v>30</v>
      </c>
      <c r="E112" s="14">
        <f>406500*0</f>
        <v>0</v>
      </c>
      <c r="F112" s="33">
        <v>46039</v>
      </c>
      <c r="G112" s="5" t="s">
        <v>19</v>
      </c>
      <c r="H112" s="5">
        <f>IF(OR(G112="Sin pagar",G112="Pagar"),NETWORKDAYS($I$11,F112,'Festivos Colombia'!$A$3:$A$22),0)</f>
        <v>33</v>
      </c>
      <c r="I112" s="36">
        <f t="shared" ref="I112" si="22">H112</f>
        <v>33</v>
      </c>
      <c r="J112" s="166"/>
    </row>
    <row r="113" spans="1:15" s="5" customFormat="1" ht="15.75" outlineLevel="1" thickBot="1">
      <c r="A113" s="5" t="str">
        <f t="shared" ref="A113" si="23">G113</f>
        <v>Sin Pagar</v>
      </c>
      <c r="B113" s="5" t="e">
        <f>IF(#REF!&lt;=-1,1,IF(#REF!&lt;=5,2,IF(#REF!&lt;=15,3,IF(H113&lt;=60,4))))</f>
        <v>#REF!</v>
      </c>
      <c r="C113" s="123">
        <v>6860</v>
      </c>
      <c r="D113" s="57" t="s">
        <v>30</v>
      </c>
      <c r="E113" s="14">
        <f>311500*0</f>
        <v>0</v>
      </c>
      <c r="F113" s="33">
        <v>46039</v>
      </c>
      <c r="G113" s="5" t="s">
        <v>19</v>
      </c>
      <c r="H113" s="5">
        <f>IF(OR(G113="Sin pagar",G113="Pagar"),NETWORKDAYS($I$11,F113,'Festivos Colombia'!$A$3:$A$22),0)</f>
        <v>33</v>
      </c>
      <c r="I113" s="36">
        <f t="shared" ref="I113" si="24">H113</f>
        <v>33</v>
      </c>
      <c r="J113" s="166"/>
    </row>
    <row r="114" spans="1:15" s="5" customFormat="1" ht="16.5" thickBot="1">
      <c r="D114" s="134" t="s">
        <v>31</v>
      </c>
      <c r="E114" s="135">
        <f>SUBTOTAL(9,E115:E123)</f>
        <v>1767857970</v>
      </c>
      <c r="K114" s="13"/>
      <c r="L114" s="13"/>
      <c r="M114" s="39"/>
      <c r="O114" s="13"/>
    </row>
    <row r="115" spans="1:15" s="12" customFormat="1" outlineLevel="1">
      <c r="A115" s="5" t="str">
        <f>G115</f>
        <v>Cancelado</v>
      </c>
      <c r="B115" s="5" t="e">
        <f>IF(#REF!&lt;=-1,1,IF(#REF!&lt;=5,2,IF(#REF!&lt;=15,3,IF(H115&lt;=60,4))))</f>
        <v>#REF!</v>
      </c>
      <c r="C115" s="37"/>
      <c r="D115" s="10" t="s">
        <v>138</v>
      </c>
      <c r="E115" s="11">
        <v>6405750</v>
      </c>
      <c r="F115" s="33">
        <v>45995</v>
      </c>
      <c r="G115" s="5" t="s">
        <v>12</v>
      </c>
      <c r="H115" s="5">
        <f>IF(OR(G115="Sin pagar",G115="Pagar"),NETWORKDAYS($I$11,F115,'Festivos Colombia'!$A$3:$A$22),0)</f>
        <v>0</v>
      </c>
      <c r="I115" s="36">
        <f>H115</f>
        <v>0</v>
      </c>
      <c r="J115" s="128"/>
      <c r="K115" s="13"/>
      <c r="L115" s="5"/>
      <c r="M115" s="13"/>
      <c r="N115" s="129"/>
      <c r="O115" s="5"/>
    </row>
    <row r="116" spans="1:15" s="12" customFormat="1" outlineLevel="1">
      <c r="A116" s="5" t="str">
        <f t="shared" ref="A116" si="25">G116</f>
        <v>Cancelado</v>
      </c>
      <c r="B116" s="5" t="e">
        <f>IF(#REF!&lt;=-1,1,IF(#REF!&lt;=5,2,IF(#REF!&lt;=15,3,IF(H116&lt;=60,4))))</f>
        <v>#REF!</v>
      </c>
      <c r="C116" s="9"/>
      <c r="D116" s="10" t="s">
        <v>156</v>
      </c>
      <c r="E116" s="11">
        <v>321157325</v>
      </c>
      <c r="F116" s="157">
        <v>46008</v>
      </c>
      <c r="G116" s="5" t="s">
        <v>12</v>
      </c>
      <c r="H116" s="5">
        <f>IF(OR(G116="Sin pagar",G116="Pagar"),NETWORKDAYS($I$11,F116,'Festivos Colombia'!$A$3:$A$22),0)</f>
        <v>0</v>
      </c>
      <c r="I116" s="36">
        <f t="shared" ref="I116" si="26">H116</f>
        <v>0</v>
      </c>
      <c r="J116" s="5"/>
      <c r="K116" s="13"/>
      <c r="L116" s="13"/>
      <c r="M116" s="13"/>
      <c r="N116" s="5"/>
      <c r="O116" s="5"/>
    </row>
    <row r="117" spans="1:15" s="12" customFormat="1" outlineLevel="1">
      <c r="A117" s="5" t="str">
        <f>G117</f>
        <v>Cancelado</v>
      </c>
      <c r="B117" s="5" t="e">
        <f>IF(#REF!&lt;=-1,1,IF(#REF!&lt;=5,2,IF(#REF!&lt;=15,3,IF(H117&lt;=60,4))))</f>
        <v>#REF!</v>
      </c>
      <c r="C117" s="9" t="s">
        <v>172</v>
      </c>
      <c r="D117" s="10" t="s">
        <v>171</v>
      </c>
      <c r="E117" s="11">
        <v>3263682</v>
      </c>
      <c r="F117" s="157">
        <v>46010</v>
      </c>
      <c r="G117" s="5" t="s">
        <v>12</v>
      </c>
      <c r="H117" s="5">
        <f>IF(OR(G117="Sin pagar",G117="Pagar"),NETWORKDAYS($I$11,F117,'Festivos Colombia'!$A$3:$A$22),0)</f>
        <v>0</v>
      </c>
      <c r="I117" s="36">
        <f>H117</f>
        <v>0</v>
      </c>
      <c r="J117" s="5"/>
      <c r="K117" s="13"/>
      <c r="L117" s="13"/>
      <c r="M117" s="13"/>
      <c r="N117" s="5"/>
      <c r="O117" s="5"/>
    </row>
    <row r="118" spans="1:15" s="12" customFormat="1" outlineLevel="1">
      <c r="A118" s="5" t="str">
        <f t="shared" ref="A118:A121" si="27">G118</f>
        <v>Cancelado</v>
      </c>
      <c r="B118" s="5" t="e">
        <f>IF(#REF!&lt;=-1,1,IF(#REF!&lt;=5,2,IF(#REF!&lt;=15,3,IF(H118&lt;=60,4))))</f>
        <v>#REF!</v>
      </c>
      <c r="C118" s="9" t="s">
        <v>180</v>
      </c>
      <c r="D118" s="10" t="s">
        <v>157</v>
      </c>
      <c r="E118" s="11">
        <f>1379413315-E14</f>
        <v>1354371498</v>
      </c>
      <c r="F118" s="33">
        <v>46020</v>
      </c>
      <c r="G118" s="5" t="s">
        <v>12</v>
      </c>
      <c r="H118" s="5">
        <f>IF(OR(G118="Sin pagar",G118="Pagar"),NETWORKDAYS($I$11,F118,'Festivos Colombia'!$A$3:$A$22),0)</f>
        <v>0</v>
      </c>
      <c r="I118" s="36">
        <f t="shared" ref="I118:I125" si="28">H118</f>
        <v>0</v>
      </c>
      <c r="J118" s="5"/>
      <c r="K118" s="13"/>
      <c r="L118" s="13"/>
      <c r="M118" s="13"/>
      <c r="N118" s="5"/>
      <c r="O118" s="5"/>
    </row>
    <row r="119" spans="1:15" s="12" customFormat="1" outlineLevel="1">
      <c r="A119" s="5" t="str">
        <f t="shared" si="27"/>
        <v>Cancelado</v>
      </c>
      <c r="B119" s="5" t="e">
        <f>IF(#REF!&lt;=-1,1,IF(#REF!&lt;=5,2,IF(#REF!&lt;=15,3,IF(H119&lt;=60,4))))</f>
        <v>#REF!</v>
      </c>
      <c r="C119" s="9"/>
      <c r="D119" s="10" t="s">
        <v>134</v>
      </c>
      <c r="E119" s="11">
        <v>2209861</v>
      </c>
      <c r="F119" s="157">
        <v>46017</v>
      </c>
      <c r="G119" s="5" t="s">
        <v>12</v>
      </c>
      <c r="H119" s="5">
        <f>IF(OR(G119="Sin pagar",G119="Pagar"),NETWORKDAYS($I$11,F119,'Festivos Colombia'!$A$3:$A$22),0)</f>
        <v>0</v>
      </c>
      <c r="I119" s="36">
        <f t="shared" si="28"/>
        <v>0</v>
      </c>
      <c r="J119" s="5"/>
      <c r="K119" s="13"/>
      <c r="L119" s="13"/>
      <c r="M119" s="13"/>
      <c r="N119" s="5"/>
      <c r="O119" s="5"/>
    </row>
    <row r="120" spans="1:15" s="12" customFormat="1" outlineLevel="1">
      <c r="A120" s="5" t="str">
        <f t="shared" si="27"/>
        <v>Cancelado</v>
      </c>
      <c r="B120" s="5" t="e">
        <f>IF(#REF!&lt;=-1,1,IF(#REF!&lt;=5,2,IF(#REF!&lt;=15,3,IF(H120&lt;=60,4))))</f>
        <v>#REF!</v>
      </c>
      <c r="C120" s="9" t="s">
        <v>177</v>
      </c>
      <c r="D120" s="10" t="s">
        <v>130</v>
      </c>
      <c r="E120" s="11">
        <v>815232</v>
      </c>
      <c r="F120" s="157">
        <v>46017</v>
      </c>
      <c r="G120" s="5" t="s">
        <v>12</v>
      </c>
      <c r="H120" s="5">
        <f>IF(OR(G120="Sin pagar",G120="Pagar"),NETWORKDAYS($I$11,F120,'Festivos Colombia'!$A$3:$A$22),0)</f>
        <v>0</v>
      </c>
      <c r="I120" s="36">
        <f t="shared" si="28"/>
        <v>0</v>
      </c>
      <c r="J120" s="5"/>
      <c r="K120" s="13"/>
      <c r="L120" s="13"/>
      <c r="M120" s="13"/>
      <c r="N120" s="5"/>
      <c r="O120" s="5"/>
    </row>
    <row r="121" spans="1:15" s="12" customFormat="1" outlineLevel="1">
      <c r="A121" s="5" t="str">
        <f t="shared" si="27"/>
        <v>Cancelado</v>
      </c>
      <c r="B121" s="5" t="e">
        <f>IF(#REF!&lt;=-1,1,IF(#REF!&lt;=5,2,IF(#REF!&lt;=15,3,IF(H121&lt;=60,4))))</f>
        <v>#REF!</v>
      </c>
      <c r="C121" s="9" t="s">
        <v>100</v>
      </c>
      <c r="D121" s="10" t="s">
        <v>181</v>
      </c>
      <c r="E121" s="11">
        <v>75603248</v>
      </c>
      <c r="F121" s="33">
        <v>46021</v>
      </c>
      <c r="G121" s="5" t="s">
        <v>12</v>
      </c>
      <c r="H121" s="5">
        <f>IF(OR(G121="Sin pagar",G121="Pagar"),NETWORKDAYS($I$11,F121,'Festivos Colombia'!$A$3:$A$22),0)</f>
        <v>0</v>
      </c>
      <c r="I121" s="36">
        <f t="shared" si="28"/>
        <v>0</v>
      </c>
      <c r="J121" s="185"/>
      <c r="K121" s="13"/>
      <c r="L121" s="13"/>
      <c r="M121" s="13"/>
      <c r="N121" s="5"/>
      <c r="O121" s="5"/>
    </row>
    <row r="122" spans="1:15" s="12" customFormat="1" outlineLevel="1">
      <c r="A122" s="5" t="str">
        <f t="shared" ref="A122" si="29">G122</f>
        <v>Cancelado</v>
      </c>
      <c r="B122" s="5" t="e">
        <f>IF(#REF!&lt;=-1,1,IF(#REF!&lt;=5,2,IF(#REF!&lt;=15,3,IF(H122&lt;=60,4))))</f>
        <v>#REF!</v>
      </c>
      <c r="C122" s="9" t="s">
        <v>100</v>
      </c>
      <c r="D122" s="10" t="s">
        <v>182</v>
      </c>
      <c r="E122" s="11">
        <v>4031374</v>
      </c>
      <c r="F122" s="33">
        <v>46024</v>
      </c>
      <c r="G122" s="5" t="s">
        <v>12</v>
      </c>
      <c r="H122" s="5">
        <f>IF(OR(G122="Sin pagar",G122="Pagar"),NETWORKDAYS($I$11,F122,'Festivos Colombia'!$A$3:$A$22),0)</f>
        <v>0</v>
      </c>
      <c r="I122" s="36">
        <f t="shared" ref="I122" si="30">H122</f>
        <v>0</v>
      </c>
      <c r="J122" s="185"/>
      <c r="K122" s="13"/>
      <c r="L122" s="13"/>
      <c r="M122" s="13"/>
      <c r="N122" s="5"/>
      <c r="O122" s="5"/>
    </row>
    <row r="123" spans="1:15" s="12" customFormat="1" ht="15.75" outlineLevel="1" thickBot="1">
      <c r="A123" s="5" t="str">
        <f t="shared" ref="A123" si="31">G123</f>
        <v>Sin Pagar</v>
      </c>
      <c r="B123" s="5" t="e">
        <f>IF(#REF!&lt;=-1,1,IF(#REF!&lt;=5,2,IF(#REF!&lt;=15,3,IF(H123&lt;=60,4))))</f>
        <v>#REF!</v>
      </c>
      <c r="C123" s="38" t="s">
        <v>177</v>
      </c>
      <c r="D123" s="10" t="s">
        <v>130</v>
      </c>
      <c r="E123" s="11">
        <f>((1600000*1.19)-E120)*0</f>
        <v>0</v>
      </c>
      <c r="F123" s="33">
        <v>46032</v>
      </c>
      <c r="G123" s="5" t="s">
        <v>19</v>
      </c>
      <c r="H123" s="5">
        <f>IF(OR(G123="Sin pagar",G123="Pagar"),NETWORKDAYS($I$11,F123,'Festivos Colombia'!$A$3:$A$22),0)</f>
        <v>29</v>
      </c>
      <c r="I123" s="36">
        <f t="shared" ref="I123" si="32">H123</f>
        <v>29</v>
      </c>
      <c r="J123" s="185" t="s">
        <v>178</v>
      </c>
      <c r="K123" s="13"/>
      <c r="L123" s="13"/>
      <c r="M123" s="13"/>
      <c r="N123" s="5"/>
      <c r="O123" s="5"/>
    </row>
    <row r="124" spans="1:15" s="5" customFormat="1" ht="16.5" thickBot="1">
      <c r="C124" s="9"/>
      <c r="D124" s="134" t="s">
        <v>32</v>
      </c>
      <c r="E124" s="135">
        <f>SUBTOTAL(9,E125:E125)</f>
        <v>151161703</v>
      </c>
      <c r="J124" s="128"/>
      <c r="K124" s="11"/>
      <c r="L124" s="13"/>
      <c r="M124" s="13"/>
      <c r="N124" s="129"/>
    </row>
    <row r="125" spans="1:15" s="12" customFormat="1" ht="15.75" outlineLevel="1" thickBot="1">
      <c r="A125" s="5" t="str">
        <f t="shared" ref="A125" si="33">G125</f>
        <v>Cancelado</v>
      </c>
      <c r="B125" s="5" t="e">
        <f>IF(#REF!&lt;=-1,1,IF(#REF!&lt;=5,2,IF(#REF!&lt;=15,3,IF(H125&lt;=60,4))))</f>
        <v>#REF!</v>
      </c>
      <c r="C125" s="37" t="s">
        <v>100</v>
      </c>
      <c r="D125" s="10" t="s">
        <v>183</v>
      </c>
      <c r="E125" s="158">
        <v>151161703</v>
      </c>
      <c r="F125" s="33">
        <v>46028</v>
      </c>
      <c r="G125" s="5" t="s">
        <v>12</v>
      </c>
      <c r="H125" s="5">
        <f>IF(OR(G125="Sin pagar",G125="Pagar"),NETWORKDAYS($I$11,F125,'Festivos Colombia'!$A$3:$A$22),0)</f>
        <v>0</v>
      </c>
      <c r="I125" s="36">
        <f t="shared" si="28"/>
        <v>0</v>
      </c>
      <c r="J125" s="128"/>
      <c r="K125" s="13"/>
      <c r="L125" s="5"/>
      <c r="M125" s="13"/>
      <c r="N125" s="129"/>
      <c r="O125" s="5"/>
    </row>
    <row r="126" spans="1:15" s="5" customFormat="1" ht="16.5" thickBot="1">
      <c r="C126" s="9"/>
      <c r="D126" s="134" t="s">
        <v>33</v>
      </c>
      <c r="E126" s="135">
        <f>SUBTOTAL(9,E127:E130)</f>
        <v>16289367</v>
      </c>
      <c r="F126" s="157"/>
      <c r="J126" s="130"/>
      <c r="K126" s="131"/>
      <c r="L126" s="13"/>
    </row>
    <row r="127" spans="1:15" s="5" customFormat="1" ht="15" customHeight="1" outlineLevel="1">
      <c r="A127" s="5" t="str">
        <f t="shared" ref="A127:A128" si="34">G127</f>
        <v>Cancelado</v>
      </c>
      <c r="B127" s="5" t="e">
        <f>IF(#REF!&lt;=-1,1,IF(#REF!&lt;=5,2,IF(#REF!&lt;=15,3,IF(H127&lt;=60,4))))</f>
        <v>#REF!</v>
      </c>
      <c r="C127" s="9" t="s">
        <v>162</v>
      </c>
      <c r="D127" s="10" t="s">
        <v>163</v>
      </c>
      <c r="E127" s="11">
        <f>45100+90200</f>
        <v>135300</v>
      </c>
      <c r="F127" s="33">
        <v>45995</v>
      </c>
      <c r="G127" s="5" t="s">
        <v>12</v>
      </c>
      <c r="H127" s="5">
        <f>IF(OR(G127="Sin pagar",G127="Pagar"),NETWORKDAYS($I$11,F127,'Festivos Colombia'!$A$3:$A$22),0)</f>
        <v>0</v>
      </c>
      <c r="I127" s="36">
        <f t="shared" ref="I127:I128" si="35">H127</f>
        <v>0</v>
      </c>
      <c r="J127" s="132"/>
      <c r="K127" s="133"/>
      <c r="L127" s="131"/>
    </row>
    <row r="128" spans="1:15" s="5" customFormat="1" ht="15" customHeight="1" outlineLevel="1">
      <c r="A128" s="5" t="str">
        <f t="shared" si="34"/>
        <v>Cancelado</v>
      </c>
      <c r="B128" s="5" t="e">
        <f>IF(#REF!&lt;=-1,1,IF(#REF!&lt;=5,2,IF(#REF!&lt;=15,3,IF(H128&lt;=60,4))))</f>
        <v>#REF!</v>
      </c>
      <c r="C128" s="9" t="s">
        <v>164</v>
      </c>
      <c r="D128" s="10" t="s">
        <v>169</v>
      </c>
      <c r="E128" s="11">
        <v>13024477</v>
      </c>
      <c r="F128" s="33">
        <v>45995</v>
      </c>
      <c r="G128" s="5" t="s">
        <v>12</v>
      </c>
      <c r="H128" s="5">
        <f>IF(OR(G128="Sin pagar",G128="Pagar"),NETWORKDAYS($I$11,F128,'Festivos Colombia'!$A$3:$A$22),0)</f>
        <v>0</v>
      </c>
      <c r="I128" s="36">
        <f t="shared" si="35"/>
        <v>0</v>
      </c>
      <c r="J128" s="132"/>
      <c r="K128" s="133"/>
      <c r="L128" s="131"/>
    </row>
    <row r="129" spans="1:24" s="5" customFormat="1" ht="15" customHeight="1" outlineLevel="1">
      <c r="A129" s="5" t="str">
        <f t="shared" ref="A129" si="36">G129</f>
        <v>Cancelado</v>
      </c>
      <c r="B129" s="5" t="e">
        <f>IF(#REF!&lt;=-1,1,IF(#REF!&lt;=5,2,IF(#REF!&lt;=15,3,IF(H129&lt;=60,4))))</f>
        <v>#REF!</v>
      </c>
      <c r="C129" s="9">
        <v>951738207</v>
      </c>
      <c r="D129" s="10" t="s">
        <v>165</v>
      </c>
      <c r="E129" s="11">
        <v>3129590</v>
      </c>
      <c r="F129" s="33">
        <v>46000</v>
      </c>
      <c r="G129" s="5" t="s">
        <v>12</v>
      </c>
      <c r="H129" s="5">
        <f>IF(OR(G129="Sin pagar",G129="Pagar"),NETWORKDAYS($I$11,F129,'Festivos Colombia'!$A$3:$A$22),0)</f>
        <v>0</v>
      </c>
      <c r="I129" s="36">
        <f t="shared" ref="I129" si="37">H129</f>
        <v>0</v>
      </c>
      <c r="J129" s="132"/>
      <c r="K129" s="133"/>
      <c r="L129" s="131"/>
    </row>
    <row r="130" spans="1:24" s="5" customFormat="1" ht="15" customHeight="1" outlineLevel="1" thickBot="1">
      <c r="A130" s="5" t="str">
        <f t="shared" ref="A130" si="38">G130</f>
        <v>Cancelado</v>
      </c>
      <c r="B130" s="5" t="e">
        <f>IF(#REF!&lt;=-1,1,IF(#REF!&lt;=5,2,IF(#REF!&lt;=15,3,IF(H130&lt;=60,4))))</f>
        <v>#REF!</v>
      </c>
      <c r="C130" s="9"/>
      <c r="D130" s="10" t="s">
        <v>135</v>
      </c>
      <c r="E130" s="11">
        <v>0</v>
      </c>
      <c r="F130" s="33">
        <v>46021</v>
      </c>
      <c r="G130" s="5" t="s">
        <v>12</v>
      </c>
      <c r="H130" s="5">
        <f>IF(OR(G130="Sin pagar",G130="Pagar"),NETWORKDAYS($I$11,F130,'Festivos Colombia'!$A$3:$A$22),0)</f>
        <v>0</v>
      </c>
      <c r="I130" s="36">
        <f t="shared" ref="I130" si="39">H130</f>
        <v>0</v>
      </c>
      <c r="J130" s="132"/>
      <c r="K130" s="133"/>
      <c r="L130" s="131"/>
    </row>
    <row r="131" spans="1:24" s="5" customFormat="1" ht="15" customHeight="1">
      <c r="C131" s="9"/>
      <c r="D131" s="40" t="s">
        <v>34</v>
      </c>
      <c r="E131" s="137">
        <f>SUBTOTAL(9,E13:E130)</f>
        <v>3124346007.23</v>
      </c>
      <c r="F131" s="160"/>
      <c r="G131" s="161"/>
      <c r="L131" s="13"/>
      <c r="O131" s="1"/>
      <c r="S131" s="1"/>
      <c r="T131" s="1"/>
      <c r="U131" s="1"/>
    </row>
    <row r="132" spans="1:24" ht="15.75">
      <c r="B132" s="5"/>
      <c r="D132" s="118" t="s">
        <v>40</v>
      </c>
      <c r="E132" s="58">
        <f>(E131*4)/1000</f>
        <v>12497384.02892</v>
      </c>
      <c r="F132" s="160"/>
      <c r="G132" s="161"/>
      <c r="H132" s="41"/>
      <c r="I132" s="41"/>
      <c r="J132" s="124"/>
    </row>
    <row r="133" spans="1:24" ht="15.75">
      <c r="B133" s="5"/>
      <c r="D133" s="120" t="s">
        <v>41</v>
      </c>
      <c r="E133" s="121">
        <f>E131+E132</f>
        <v>3136843391.2589202</v>
      </c>
      <c r="F133" s="160"/>
      <c r="G133" s="161" t="s">
        <v>19</v>
      </c>
      <c r="H133" s="41"/>
      <c r="I133" s="41"/>
      <c r="J133" s="124"/>
    </row>
    <row r="134" spans="1:24" ht="6" customHeight="1">
      <c r="B134" s="5"/>
      <c r="D134" s="118"/>
      <c r="E134" s="58"/>
      <c r="F134" s="28"/>
      <c r="G134" s="28"/>
      <c r="H134" s="41"/>
      <c r="I134" s="41"/>
    </row>
    <row r="135" spans="1:24" ht="6" customHeight="1">
      <c r="B135" s="5"/>
      <c r="D135" s="118"/>
      <c r="E135" s="58"/>
      <c r="F135" s="28"/>
      <c r="G135" s="28"/>
      <c r="H135" s="41"/>
      <c r="I135" s="41"/>
    </row>
    <row r="136" spans="1:24" ht="6" customHeight="1">
      <c r="B136" s="5"/>
      <c r="D136" s="118"/>
      <c r="E136" s="58"/>
      <c r="F136" s="28"/>
      <c r="G136" s="28"/>
      <c r="H136" s="41"/>
      <c r="I136" s="41"/>
    </row>
    <row r="137" spans="1:24" ht="15.75">
      <c r="B137" s="5"/>
      <c r="D137" s="42" t="s">
        <v>35</v>
      </c>
      <c r="E137" s="43">
        <f>E8-E131</f>
        <v>1861021302.2599998</v>
      </c>
      <c r="F137" s="28"/>
      <c r="G137" s="28"/>
      <c r="I137" s="44"/>
    </row>
    <row r="138" spans="1:24" s="5" customFormat="1" ht="15.75">
      <c r="A138" s="45"/>
      <c r="C138" s="46"/>
      <c r="D138" s="42" t="s">
        <v>36</v>
      </c>
      <c r="E138" s="47">
        <f>IF($E$8=0,0,E137/$E$8)</f>
        <v>0.37329672754852261</v>
      </c>
      <c r="F138" s="28"/>
      <c r="G138" s="28"/>
      <c r="H138" s="45"/>
      <c r="I138" s="49"/>
      <c r="J138" s="45"/>
      <c r="K138" s="45"/>
      <c r="L138" s="45"/>
      <c r="M138" s="45"/>
      <c r="N138" s="45"/>
      <c r="O138" s="1"/>
      <c r="P138" s="45"/>
      <c r="Q138" s="45"/>
      <c r="R138" s="45"/>
      <c r="S138" s="1"/>
      <c r="T138" s="1"/>
      <c r="U138" s="1"/>
    </row>
    <row r="139" spans="1:24" s="5" customFormat="1">
      <c r="A139" s="1"/>
      <c r="C139" s="2"/>
      <c r="D139" s="1"/>
      <c r="E139" s="3"/>
      <c r="F139" s="48"/>
      <c r="G139" s="119"/>
      <c r="H139" s="1"/>
      <c r="I139" s="4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6.75" customHeight="1" thickBot="1"/>
    <row r="141" spans="1:24" ht="15.75" thickBot="1">
      <c r="D141" s="146" t="s">
        <v>95</v>
      </c>
      <c r="E141" s="147" t="s">
        <v>96</v>
      </c>
    </row>
    <row r="142" spans="1:24">
      <c r="J142" s="44"/>
    </row>
    <row r="144" spans="1:24" ht="15.75" thickBot="1"/>
    <row r="145" spans="4:13">
      <c r="D145" s="169">
        <v>45992</v>
      </c>
      <c r="E145" s="177">
        <v>45999</v>
      </c>
      <c r="F145" s="172">
        <f t="shared" ref="F145:F152" si="40">SUMIFS($E$12:$E$140,$F$12:$F$140,"&gt;="&amp;D145,$F$12:$F$140,"&lt;="&amp;E145,$G$12:$G$140,$E$164)</f>
        <v>0</v>
      </c>
      <c r="G145" s="122" t="s">
        <v>117</v>
      </c>
      <c r="I145" s="152"/>
    </row>
    <row r="146" spans="4:13">
      <c r="D146" s="170">
        <v>46000</v>
      </c>
      <c r="E146" s="171">
        <v>46003</v>
      </c>
      <c r="F146" s="173">
        <f t="shared" si="40"/>
        <v>0</v>
      </c>
      <c r="G146" s="162" t="s">
        <v>159</v>
      </c>
      <c r="H146" s="162"/>
      <c r="I146" s="162"/>
    </row>
    <row r="147" spans="4:13">
      <c r="D147" s="170">
        <v>46004</v>
      </c>
      <c r="E147" s="171">
        <v>46005</v>
      </c>
      <c r="F147" s="173">
        <f t="shared" si="40"/>
        <v>0</v>
      </c>
      <c r="G147" s="162"/>
      <c r="I147" s="152"/>
    </row>
    <row r="148" spans="4:13">
      <c r="D148" s="170">
        <v>46006</v>
      </c>
      <c r="E148" s="178">
        <v>46006</v>
      </c>
      <c r="F148" s="173">
        <f t="shared" si="40"/>
        <v>0</v>
      </c>
      <c r="G148" s="162" t="s">
        <v>158</v>
      </c>
      <c r="I148" s="152"/>
    </row>
    <row r="149" spans="4:13">
      <c r="D149" s="170">
        <v>46007</v>
      </c>
      <c r="E149" s="178">
        <v>46012</v>
      </c>
      <c r="F149" s="173">
        <f t="shared" si="40"/>
        <v>0</v>
      </c>
      <c r="G149" s="122" t="s">
        <v>117</v>
      </c>
      <c r="I149" s="152"/>
    </row>
    <row r="150" spans="4:13">
      <c r="D150" s="170">
        <v>46013</v>
      </c>
      <c r="E150" s="178">
        <v>46019</v>
      </c>
      <c r="F150" s="173">
        <f t="shared" si="40"/>
        <v>0</v>
      </c>
      <c r="G150" s="162" t="s">
        <v>160</v>
      </c>
      <c r="I150" s="152"/>
    </row>
    <row r="151" spans="4:13">
      <c r="D151" s="170">
        <v>46020</v>
      </c>
      <c r="E151" s="178">
        <v>46021</v>
      </c>
      <c r="F151" s="173">
        <f t="shared" si="40"/>
        <v>0</v>
      </c>
      <c r="G151" s="122" t="s">
        <v>161</v>
      </c>
      <c r="I151" s="152"/>
      <c r="J151" s="44"/>
      <c r="K151" s="44"/>
      <c r="M151" s="44"/>
    </row>
    <row r="152" spans="4:13" ht="15.75" thickBot="1">
      <c r="D152" s="167">
        <v>46023</v>
      </c>
      <c r="E152" s="188">
        <v>46028</v>
      </c>
      <c r="F152" s="174">
        <f t="shared" si="40"/>
        <v>0</v>
      </c>
      <c r="G152" s="122"/>
      <c r="I152" s="152"/>
      <c r="J152" s="44"/>
      <c r="K152" s="44"/>
      <c r="M152" s="44"/>
    </row>
    <row r="153" spans="4:13" ht="15.75">
      <c r="D153" s="235" t="s">
        <v>98</v>
      </c>
      <c r="E153" s="236"/>
      <c r="F153" s="151">
        <f>SUM(F145:F149)</f>
        <v>0</v>
      </c>
      <c r="G153" s="44"/>
      <c r="I153" s="148"/>
    </row>
    <row r="154" spans="4:13">
      <c r="D154" s="237"/>
      <c r="E154" s="238"/>
    </row>
    <row r="155" spans="4:13">
      <c r="E155" s="1"/>
    </row>
    <row r="156" spans="4:13">
      <c r="D156" s="239" t="s">
        <v>173</v>
      </c>
      <c r="E156" s="232"/>
      <c r="F156" s="44">
        <f>SUM(F145:F151)</f>
        <v>0</v>
      </c>
      <c r="I156" s="44"/>
      <c r="J156" s="44"/>
    </row>
    <row r="157" spans="4:13" ht="21" customHeight="1">
      <c r="D157" s="232" t="s">
        <v>40</v>
      </c>
      <c r="E157" s="232"/>
      <c r="F157" s="150">
        <f>(F156*4)/1000</f>
        <v>0</v>
      </c>
      <c r="I157" s="44"/>
    </row>
    <row r="158" spans="4:13">
      <c r="D158" s="229" t="s">
        <v>25</v>
      </c>
      <c r="E158" s="229"/>
      <c r="F158" s="149">
        <f>SUM(F156:F157)</f>
        <v>0</v>
      </c>
      <c r="G158" s="152"/>
    </row>
    <row r="159" spans="4:13" ht="17.25" customHeight="1">
      <c r="F159" s="150"/>
      <c r="G159" s="165"/>
    </row>
    <row r="160" spans="4:13">
      <c r="D160" s="231" t="s">
        <v>185</v>
      </c>
      <c r="E160" s="232"/>
      <c r="F160" s="182">
        <v>1861021302.1800001</v>
      </c>
      <c r="G160" s="182"/>
      <c r="I160" s="182"/>
      <c r="J160" s="182"/>
      <c r="K160" s="159"/>
    </row>
    <row r="161" spans="5:9">
      <c r="E161" s="186" t="s">
        <v>126</v>
      </c>
      <c r="F161" s="183">
        <f>F160-F158</f>
        <v>1861021302.1800001</v>
      </c>
      <c r="I161" s="44">
        <f>+F161-E137</f>
        <v>-7.9999685287475586E-2</v>
      </c>
    </row>
    <row r="164" spans="5:9">
      <c r="E164" s="3" t="s">
        <v>19</v>
      </c>
      <c r="F164" s="44">
        <f>SUMIFS($E$12:$E$140,$F$12:$F$140,"&gt;="&amp;D145,$F$12:$F$140,"&lt;="&amp;$E$152,$G$12:$G$140,$E$164)</f>
        <v>0</v>
      </c>
    </row>
    <row r="165" spans="5:9">
      <c r="E165" s="3" t="s">
        <v>12</v>
      </c>
      <c r="F165" s="44">
        <f>SUMIFS($E$12:$E$140,$F$12:$F$140,"&gt;="&amp;D145,$F$12:$F$140,"&lt;="&amp;$E$152,$G$12:$G$140,$E$165)</f>
        <v>3124346007.23</v>
      </c>
    </row>
    <row r="166" spans="5:9">
      <c r="E166" s="58" t="s">
        <v>25</v>
      </c>
      <c r="F166" s="49">
        <f>SUM(F164:F165)</f>
        <v>3124346007.23</v>
      </c>
    </row>
    <row r="167" spans="5:9">
      <c r="E167" s="3" t="s">
        <v>143</v>
      </c>
      <c r="F167" s="44">
        <f>E131-F166</f>
        <v>0</v>
      </c>
    </row>
    <row r="170" spans="5:9">
      <c r="E170" s="153"/>
      <c r="F170" s="182"/>
    </row>
    <row r="171" spans="5:9">
      <c r="E171" s="153"/>
      <c r="F171" s="182"/>
    </row>
    <row r="172" spans="5:9">
      <c r="E172" s="153"/>
      <c r="F172" s="11"/>
    </row>
    <row r="173" spans="5:9" ht="15.75" customHeight="1">
      <c r="E173" s="153"/>
      <c r="F173" s="150"/>
    </row>
    <row r="174" spans="5:9">
      <c r="E174" s="153"/>
      <c r="F174" s="168"/>
    </row>
    <row r="175" spans="5:9">
      <c r="E175" s="58"/>
      <c r="F175" s="49"/>
    </row>
    <row r="176" spans="5:9">
      <c r="F176" s="179"/>
    </row>
    <row r="177" spans="5:6">
      <c r="E177" s="183"/>
      <c r="F177" s="184"/>
    </row>
    <row r="181" spans="5:6">
      <c r="F181" s="168"/>
    </row>
    <row r="182" spans="5:6">
      <c r="F182" s="168"/>
    </row>
    <row r="183" spans="5:6">
      <c r="F183" s="168"/>
    </row>
  </sheetData>
  <protectedRanges>
    <protectedRange sqref="F8:G8 E14 E139 F134:G138 E18:E19 E5:F5 E7:F7 E98:E99 E105:E113 E23:E25" name="Presupuestos"/>
    <protectedRange sqref="E12" name="Presupuestos_1"/>
    <protectedRange sqref="E101 J101 E103" name="Presupuestos_7"/>
    <protectedRange sqref="K124 F172 E125 E115:E123" name="Presupuestos_6_1_1"/>
    <protectedRange sqref="K21:L21" name="Presupuestos_1_1_1_1_1_1_2_1_1"/>
    <protectedRange sqref="E27:E33 E35:E42 E44" name="Presupuestos_3"/>
    <protectedRange sqref="E127:E130" name="Presupuestos_6_1_1_1_2_1"/>
    <protectedRange sqref="E21" name="Presupuestos_1_1_1_1_1_1_2_1_1_3_1_1"/>
    <protectedRange sqref="E93:E96" name="Presupuestos_2_2_1_1_1"/>
    <protectedRange sqref="E46:E91" name="Presupuestos_2_2_1_1_3"/>
    <protectedRange sqref="E34 E43" name="Presupuestos_3_1"/>
  </protectedRanges>
  <autoFilter ref="C12:I138" xr:uid="{713DEDF4-24B5-48DE-A5F0-5E5AF7CE9B8E}"/>
  <mergeCells count="9">
    <mergeCell ref="D158:E158"/>
    <mergeCell ref="D160:E160"/>
    <mergeCell ref="C11:D11"/>
    <mergeCell ref="F11:G11"/>
    <mergeCell ref="T20:U20"/>
    <mergeCell ref="D153:E153"/>
    <mergeCell ref="D154:E154"/>
    <mergeCell ref="D156:E156"/>
    <mergeCell ref="D157:E157"/>
  </mergeCells>
  <conditionalFormatting sqref="I14 I16 I21:I130">
    <cfRule type="cellIs" dxfId="71" priority="5" operator="lessThan">
      <formula>0</formula>
    </cfRule>
    <cfRule type="cellIs" dxfId="70" priority="6" operator="between">
      <formula>6</formula>
      <formula>15</formula>
    </cfRule>
    <cfRule type="cellIs" dxfId="69" priority="7" operator="between">
      <formula>1</formula>
      <formula>5</formula>
    </cfRule>
    <cfRule type="cellIs" dxfId="68" priority="8" operator="between">
      <formula>16</formula>
      <formula>60</formula>
    </cfRule>
  </conditionalFormatting>
  <conditionalFormatting sqref="I18:I19">
    <cfRule type="cellIs" dxfId="67" priority="1" operator="lessThan">
      <formula>0</formula>
    </cfRule>
    <cfRule type="cellIs" dxfId="66" priority="2" operator="between">
      <formula>6</formula>
      <formula>15</formula>
    </cfRule>
    <cfRule type="cellIs" dxfId="65" priority="3" operator="between">
      <formula>1</formula>
      <formula>5</formula>
    </cfRule>
    <cfRule type="cellIs" dxfId="64" priority="4" operator="between">
      <formula>16</formula>
      <formula>60</formula>
    </cfRule>
  </conditionalFormatting>
  <conditionalFormatting sqref="I139">
    <cfRule type="cellIs" dxfId="63" priority="9" operator="lessThan">
      <formula>0</formula>
    </cfRule>
    <cfRule type="cellIs" dxfId="62" priority="10" operator="between">
      <formula>6</formula>
      <formula>15</formula>
    </cfRule>
    <cfRule type="cellIs" dxfId="61" priority="11" operator="between">
      <formula>1</formula>
      <formula>5</formula>
    </cfRule>
    <cfRule type="cellIs" dxfId="60" priority="12" operator="between">
      <formula>16</formula>
      <formula>60</formula>
    </cfRule>
  </conditionalFormatting>
  <dataValidations disablePrompts="1" count="3">
    <dataValidation type="list" allowBlank="1" showInputMessage="1" showErrorMessage="1" sqref="E11" xr:uid="{C9B2E906-2EC1-4A00-AA96-49EEDC8F8F8C}">
      <formula1>"ENERO,FEBRERO,MARZO,ABRIL,MAYO,JUNIO,JULIO,AGOSTO,SEPTIEMBRE,OCTUBRE,NOVIEMBRE,DICIEMBRE"</formula1>
    </dataValidation>
    <dataValidation type="list" allowBlank="1" showInputMessage="1" showErrorMessage="1" sqref="G103 G101 G21 G14:G16 E163:E165 G23:G25 G105:G113 G125:G133 G115:G123 G18:G19 G27:G44 G93:G99 G46:G91" xr:uid="{5BD12EF6-56E7-47CA-AB84-5A5A3E1FAE38}">
      <formula1>"Cancelado,Pagar,Sin Pagar"</formula1>
    </dataValidation>
    <dataValidation type="list" allowBlank="1" showInputMessage="1" showErrorMessage="1" sqref="C18:C19" xr:uid="{98A67AEF-CC0B-4478-BE23-7AB7A4A34ED0}">
      <formula1>"0,1"</formula1>
    </dataValidation>
  </dataValidations>
  <pageMargins left="0.7" right="0.7" top="0.75" bottom="0.75" header="0.3" footer="0.3"/>
  <pageSetup paperSize="9" orientation="portrait" r:id="rId1"/>
  <ignoredErrors>
    <ignoredError sqref="I92 I97:I120 I123:I130 I15:I45 I95" unlockedFormula="1"/>
    <ignoredError sqref="C23:C24 C1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8158-4199-40B9-8F04-6F8D1F625DA8}">
  <dimension ref="A1:X160"/>
  <sheetViews>
    <sheetView showGridLines="0" tabSelected="1" topLeftCell="C30" zoomScaleNormal="100" workbookViewId="0">
      <selection activeCell="D46" sqref="D46"/>
    </sheetView>
  </sheetViews>
  <sheetFormatPr baseColWidth="10" defaultColWidth="11.42578125" defaultRowHeight="15" outlineLevelRow="1"/>
  <cols>
    <col min="1" max="1" width="10.140625" style="1" hidden="1" customWidth="1"/>
    <col min="2" max="2" width="6.5703125" style="1" hidden="1" customWidth="1"/>
    <col min="3" max="3" width="19.140625" style="2" customWidth="1"/>
    <col min="4" max="4" width="95.7109375" style="1" customWidth="1"/>
    <col min="5" max="5" width="31.85546875" style="3" customWidth="1"/>
    <col min="6" max="6" width="21" style="1" customWidth="1"/>
    <col min="7" max="7" width="20" style="1" bestFit="1" customWidth="1"/>
    <col min="8" max="8" width="7.7109375" style="1" hidden="1" customWidth="1"/>
    <col min="9" max="9" width="19.42578125" style="1" bestFit="1" customWidth="1"/>
    <col min="10" max="10" width="31.28515625" style="1" customWidth="1"/>
    <col min="11" max="11" width="21.5703125" style="1" bestFit="1" customWidth="1"/>
    <col min="12" max="12" width="3.140625" style="1" customWidth="1"/>
    <col min="13" max="13" width="15.7109375" style="1" customWidth="1"/>
    <col min="14" max="14" width="15.28515625" style="1" bestFit="1" customWidth="1"/>
    <col min="15" max="15" width="13.85546875" style="1" bestFit="1" customWidth="1"/>
    <col min="16" max="16" width="13.28515625" style="1" bestFit="1" customWidth="1"/>
    <col min="17" max="17" width="14" style="1" bestFit="1" customWidth="1"/>
    <col min="18" max="18" width="11.42578125" style="1"/>
    <col min="19" max="19" width="9.140625" style="1" customWidth="1"/>
    <col min="20" max="20" width="26.140625" style="1" customWidth="1"/>
    <col min="21" max="21" width="19.28515625" style="1" bestFit="1" customWidth="1"/>
    <col min="22" max="22" width="15.28515625" style="1" bestFit="1" customWidth="1"/>
    <col min="23" max="23" width="14" style="1" bestFit="1" customWidth="1"/>
    <col min="24" max="24" width="13" style="1" bestFit="1" customWidth="1"/>
    <col min="25" max="16384" width="11.42578125" style="1"/>
  </cols>
  <sheetData>
    <row r="1" spans="1:24" hidden="1">
      <c r="E1" s="3">
        <v>42400</v>
      </c>
    </row>
    <row r="2" spans="1:24">
      <c r="E2" s="4"/>
    </row>
    <row r="3" spans="1:24">
      <c r="E3" s="4"/>
    </row>
    <row r="4" spans="1:24" s="6" customFormat="1" ht="15.75">
      <c r="D4" s="7" t="s">
        <v>0</v>
      </c>
      <c r="E4" s="8">
        <f>SUBTOTAL(9,E5:E5)</f>
        <v>1861021302.2599998</v>
      </c>
      <c r="F4" s="55"/>
      <c r="G4" s="1"/>
      <c r="H4" s="1"/>
      <c r="I4" s="1"/>
      <c r="J4" s="1"/>
      <c r="K4" s="1"/>
      <c r="L4" s="1"/>
      <c r="M4" s="1"/>
    </row>
    <row r="5" spans="1:24" s="5" customFormat="1" outlineLevel="1">
      <c r="C5" s="9"/>
      <c r="D5" s="10" t="s">
        <v>131</v>
      </c>
      <c r="E5" s="11">
        <f>DICIEMBRE!E137</f>
        <v>1861021302.2599998</v>
      </c>
      <c r="F5" s="11"/>
      <c r="G5" s="44"/>
      <c r="H5" s="1"/>
      <c r="I5" s="44"/>
      <c r="J5" s="44"/>
      <c r="K5" s="1"/>
      <c r="L5" s="1"/>
      <c r="M5" s="1"/>
    </row>
    <row r="6" spans="1:24" s="5" customFormat="1" ht="15.75">
      <c r="C6" s="9"/>
      <c r="D6" s="7" t="s">
        <v>97</v>
      </c>
      <c r="E6" s="8">
        <f>SUBTOTAL(9,E7:E7)</f>
        <v>2525347801.7199998</v>
      </c>
      <c r="G6" s="49"/>
      <c r="H6" s="1"/>
      <c r="I6" s="44"/>
      <c r="J6" s="1"/>
      <c r="K6" s="1"/>
      <c r="L6" s="1"/>
      <c r="M6" s="1"/>
    </row>
    <row r="7" spans="1:24" s="5" customFormat="1" outlineLevel="1">
      <c r="C7" s="9"/>
      <c r="D7" s="10" t="s">
        <v>186</v>
      </c>
      <c r="E7" s="11">
        <f>45000000+2477791585.72+2556216</f>
        <v>2525347801.7199998</v>
      </c>
      <c r="F7" s="176"/>
      <c r="G7" s="44"/>
      <c r="H7" s="1"/>
      <c r="I7" s="44"/>
      <c r="J7" s="54"/>
      <c r="K7" s="1"/>
      <c r="L7" s="1"/>
      <c r="M7" s="1"/>
    </row>
    <row r="8" spans="1:24" s="5" customFormat="1" ht="15" customHeight="1">
      <c r="C8" s="9"/>
      <c r="D8" s="17" t="s">
        <v>127</v>
      </c>
      <c r="E8" s="18">
        <f>SUBTOTAL(9,E4:E7)</f>
        <v>4386369103.9799995</v>
      </c>
      <c r="F8" s="28"/>
      <c r="G8" s="28"/>
      <c r="H8" s="1"/>
      <c r="I8" s="1"/>
      <c r="J8" s="1"/>
      <c r="K8" s="1"/>
      <c r="L8" s="1"/>
      <c r="M8" s="1"/>
      <c r="T8" s="19"/>
      <c r="U8" s="20"/>
      <c r="V8" s="15"/>
    </row>
    <row r="9" spans="1:24" s="5" customFormat="1" ht="15.75">
      <c r="C9" s="9"/>
      <c r="D9" s="95"/>
      <c r="E9" s="96"/>
      <c r="G9" s="1"/>
      <c r="H9" s="1"/>
      <c r="I9" s="1"/>
      <c r="J9" s="1"/>
      <c r="K9" s="1"/>
      <c r="L9" s="1"/>
      <c r="M9" s="1"/>
      <c r="T9" s="20"/>
      <c r="U9" s="20"/>
    </row>
    <row r="10" spans="1:24" s="5" customFormat="1" ht="15.75">
      <c r="C10" s="9"/>
      <c r="J10" s="13"/>
      <c r="S10" s="21"/>
      <c r="T10" s="22"/>
      <c r="U10" s="23"/>
    </row>
    <row r="11" spans="1:24" s="5" customFormat="1" ht="15.75">
      <c r="C11" s="233" t="s">
        <v>1</v>
      </c>
      <c r="D11" s="233"/>
      <c r="E11" s="24" t="s">
        <v>102</v>
      </c>
      <c r="F11" s="233" t="s">
        <v>2</v>
      </c>
      <c r="G11" s="233"/>
      <c r="H11" s="24"/>
      <c r="I11" s="25">
        <v>46023</v>
      </c>
      <c r="J11" s="13"/>
      <c r="K11" s="23"/>
      <c r="L11" s="23"/>
      <c r="M11" s="23"/>
      <c r="N11" s="23"/>
      <c r="O11" s="23"/>
      <c r="S11" s="21"/>
      <c r="W11" s="13"/>
      <c r="X11" s="13"/>
    </row>
    <row r="12" spans="1:24" s="5" customFormat="1" ht="16.5" thickBot="1">
      <c r="C12" s="26" t="s">
        <v>3</v>
      </c>
      <c r="D12" s="27" t="s">
        <v>4</v>
      </c>
      <c r="E12" s="28" t="s">
        <v>5</v>
      </c>
      <c r="F12" s="29" t="s">
        <v>6</v>
      </c>
      <c r="G12" s="21" t="s">
        <v>7</v>
      </c>
      <c r="H12" s="21"/>
      <c r="I12" s="30" t="s">
        <v>8</v>
      </c>
      <c r="J12" s="30" t="s">
        <v>9</v>
      </c>
      <c r="S12" s="31"/>
      <c r="W12" s="13"/>
      <c r="X12" s="32"/>
    </row>
    <row r="13" spans="1:24" s="5" customFormat="1" ht="16.5" thickBot="1">
      <c r="D13" s="134" t="s">
        <v>10</v>
      </c>
      <c r="E13" s="135">
        <f>SUBTOTAL(9,E14)</f>
        <v>26559341</v>
      </c>
      <c r="J13" s="13"/>
    </row>
    <row r="14" spans="1:24" s="5" customFormat="1" ht="15.75" outlineLevel="1" thickBot="1">
      <c r="A14" s="5" t="str">
        <f>G14</f>
        <v>Cancelado</v>
      </c>
      <c r="B14" s="5" t="e">
        <f>IF(#REF!&lt;=-1,1,IF(#REF!&lt;=5,2,IF(#REF!&lt;=15,3,IF(H14&lt;=60,4))))</f>
        <v>#REF!</v>
      </c>
      <c r="C14" s="9" t="s">
        <v>100</v>
      </c>
      <c r="D14" s="10" t="s">
        <v>99</v>
      </c>
      <c r="E14" s="11">
        <v>26559341</v>
      </c>
      <c r="F14" s="163">
        <v>46050</v>
      </c>
      <c r="G14" s="5" t="s">
        <v>12</v>
      </c>
      <c r="H14" s="5">
        <f>IF(OR(G14="Sin pagar",G14="Pagar"),NETWORKDAYS($I$11,F14,'Festivos Colombia'!$A$3:$A$22),0)</f>
        <v>0</v>
      </c>
      <c r="I14" s="34">
        <f t="shared" ref="I14" si="0">H14</f>
        <v>0</v>
      </c>
    </row>
    <row r="15" spans="1:24" s="5" customFormat="1" ht="16.5" thickBot="1">
      <c r="C15" s="9"/>
      <c r="D15" s="134" t="s">
        <v>13</v>
      </c>
      <c r="E15" s="135">
        <f>SUBTOTAL(9,E16:E16)</f>
        <v>564617800</v>
      </c>
      <c r="F15" s="33"/>
      <c r="I15" s="34"/>
    </row>
    <row r="16" spans="1:24" s="5" customFormat="1" ht="15.75" outlineLevel="1" thickBot="1">
      <c r="A16" s="5" t="str">
        <f t="shared" ref="A16" si="1">G16</f>
        <v>Cancelado</v>
      </c>
      <c r="B16" s="5" t="e">
        <f>IF(#REF!&lt;=-1,1,IF(#REF!&lt;=5,2,IF(#REF!&lt;=15,3,IF(H16&lt;=60,4))))</f>
        <v>#REF!</v>
      </c>
      <c r="C16" s="9"/>
      <c r="D16" s="10" t="s">
        <v>103</v>
      </c>
      <c r="E16" s="11">
        <v>564617800</v>
      </c>
      <c r="F16" s="33">
        <v>46031</v>
      </c>
      <c r="G16" s="5" t="s">
        <v>12</v>
      </c>
      <c r="H16" s="5">
        <f>IF(OR(G16="Sin pagar",G16="Pagar"),NETWORKDAYS($I$11,F16,'Festivos Colombia'!$A$3:$A$22),0)</f>
        <v>0</v>
      </c>
      <c r="I16" s="34">
        <f t="shared" ref="I16" si="2">H16</f>
        <v>0</v>
      </c>
      <c r="J16" s="14"/>
      <c r="K16" s="13"/>
      <c r="L16" s="13"/>
      <c r="M16" s="144"/>
    </row>
    <row r="17" spans="1:21" s="5" customFormat="1" ht="16.5" thickBot="1">
      <c r="C17" s="9"/>
      <c r="D17" s="134" t="s">
        <v>14</v>
      </c>
      <c r="E17" s="135">
        <f>SUBTOTAL(9,E18:E20)</f>
        <v>64815500</v>
      </c>
      <c r="J17" s="35"/>
      <c r="K17" s="13"/>
      <c r="L17" s="13"/>
    </row>
    <row r="18" spans="1:21" s="5" customFormat="1" outlineLevel="1">
      <c r="A18" s="5" t="str">
        <f>G18</f>
        <v>Cancelado</v>
      </c>
      <c r="B18" s="5" t="e">
        <f>IF(#REF!&lt;=-1,1,IF(#REF!&lt;=5,2,IF(#REF!&lt;=15,3,IF(H18&lt;=60,4))))</f>
        <v>#REF!</v>
      </c>
      <c r="C18" s="9">
        <v>1</v>
      </c>
      <c r="D18" s="10" t="s">
        <v>109</v>
      </c>
      <c r="E18" s="11">
        <v>21300000</v>
      </c>
      <c r="F18" s="163">
        <v>46050</v>
      </c>
      <c r="G18" s="5" t="s">
        <v>12</v>
      </c>
      <c r="H18" s="5">
        <f>IF(OR(G18="Sin pagar",G18="Pagar"),NETWORKDAYS($I$11,F18,'Festivos Colombia'!$A$3:$A$22),0)</f>
        <v>0</v>
      </c>
      <c r="I18" s="36">
        <f>H18</f>
        <v>0</v>
      </c>
      <c r="K18" s="13"/>
      <c r="L18" s="13"/>
    </row>
    <row r="19" spans="1:21" s="5" customFormat="1" outlineLevel="1">
      <c r="A19" s="5" t="str">
        <f>G19</f>
        <v>Cancelado</v>
      </c>
      <c r="B19" s="5" t="e">
        <f>IF(#REF!&lt;=-1,1,IF(#REF!&lt;=5,2,IF(#REF!&lt;=15,3,IF(H19&lt;=60,4))))</f>
        <v>#REF!</v>
      </c>
      <c r="C19" s="9">
        <v>1</v>
      </c>
      <c r="D19" s="10" t="s">
        <v>101</v>
      </c>
      <c r="E19" s="11">
        <v>39715500</v>
      </c>
      <c r="F19" s="163">
        <v>46050</v>
      </c>
      <c r="G19" s="5" t="s">
        <v>12</v>
      </c>
      <c r="H19" s="5">
        <f>IF(OR(G19="Sin pagar",G19="Pagar"),NETWORKDAYS($I$11,F19,'Festivos Colombia'!$A$3:$A$22),0)</f>
        <v>0</v>
      </c>
      <c r="I19" s="36">
        <f>H19</f>
        <v>0</v>
      </c>
      <c r="J19" s="13"/>
      <c r="K19" s="13"/>
      <c r="L19" s="13"/>
      <c r="M19" s="13"/>
      <c r="N19" s="13"/>
      <c r="P19" s="13"/>
      <c r="Q19" s="13"/>
    </row>
    <row r="20" spans="1:21" s="5" customFormat="1" ht="15.75" outlineLevel="1" thickBot="1">
      <c r="A20" s="5" t="str">
        <f>G20</f>
        <v>Cancelado</v>
      </c>
      <c r="B20" s="5" t="e">
        <f>IF(#REF!&lt;=-1,1,IF(#REF!&lt;=5,2,IF(#REF!&lt;=15,3,IF(H20&lt;=60,4))))</f>
        <v>#REF!</v>
      </c>
      <c r="C20" s="9">
        <v>1</v>
      </c>
      <c r="D20" s="10" t="s">
        <v>252</v>
      </c>
      <c r="E20" s="11">
        <v>3800000</v>
      </c>
      <c r="F20" s="163">
        <v>46057</v>
      </c>
      <c r="G20" s="5" t="s">
        <v>12</v>
      </c>
      <c r="H20" s="5">
        <f>IF(OR(G20="Sin pagar",G20="Pagar"),NETWORKDAYS($I$11,F20,'Festivos Colombia'!$A$3:$A$22),0)</f>
        <v>0</v>
      </c>
      <c r="I20" s="36">
        <f>H20</f>
        <v>0</v>
      </c>
      <c r="J20" s="13"/>
      <c r="K20" s="13"/>
      <c r="L20" s="13"/>
      <c r="M20" s="13"/>
      <c r="N20" s="13"/>
      <c r="P20" s="13"/>
      <c r="Q20" s="13"/>
    </row>
    <row r="21" spans="1:21" s="5" customFormat="1" ht="16.5" thickBot="1">
      <c r="C21" s="9"/>
      <c r="D21" s="134" t="s">
        <v>15</v>
      </c>
      <c r="E21" s="135">
        <f>SUBTOTAL(9,E22:E24)</f>
        <v>416605000</v>
      </c>
      <c r="H21" s="5">
        <f>IF(OR(G21="Sin pagar",G21="Pagar"),NETWORKDAYS($I$11,F21,'Festivos Colombia'!$A$3:$A$22),0)</f>
        <v>0</v>
      </c>
      <c r="I21" s="34">
        <f t="shared" ref="I21:I22" si="3">H21</f>
        <v>0</v>
      </c>
      <c r="J21" s="13"/>
      <c r="T21" s="234"/>
      <c r="U21" s="234"/>
    </row>
    <row r="22" spans="1:21" s="5" customFormat="1" outlineLevel="1">
      <c r="A22" s="5" t="str">
        <f>G22</f>
        <v>Cancelado</v>
      </c>
      <c r="B22" s="5" t="e">
        <f>IF(#REF!&lt;=-1,1,IF(#REF!&lt;=5,2,IF(#REF!&lt;=15,3,IF(H22&lt;=60,4))))</f>
        <v>#REF!</v>
      </c>
      <c r="C22" s="9"/>
      <c r="D22" s="57" t="s">
        <v>16</v>
      </c>
      <c r="E22" s="14">
        <v>411959000</v>
      </c>
      <c r="F22" s="33">
        <v>46037</v>
      </c>
      <c r="G22" s="5" t="s">
        <v>12</v>
      </c>
      <c r="H22" s="5">
        <f>IF(OR(G22="Sin pagar",G22="Pagar"),NETWORKDAYS($I$11,F22,'Festivos Colombia'!$A$3:$A$22),0)</f>
        <v>0</v>
      </c>
      <c r="I22" s="34">
        <f t="shared" si="3"/>
        <v>0</v>
      </c>
      <c r="J22" s="145"/>
      <c r="K22" s="16"/>
      <c r="L22" s="16"/>
      <c r="M22" s="13"/>
      <c r="U22" s="56"/>
    </row>
    <row r="23" spans="1:21" s="5" customFormat="1" outlineLevel="1">
      <c r="A23" s="5" t="str">
        <f>G23</f>
        <v>Cancelado</v>
      </c>
      <c r="B23" s="5" t="e">
        <f>IF(#REF!&lt;=-1,1,IF(#REF!&lt;=5,2,IF(#REF!&lt;=15,3,IF(H23&lt;=60,4))))</f>
        <v>#REF!</v>
      </c>
      <c r="C23" s="9"/>
      <c r="D23" s="57" t="s">
        <v>187</v>
      </c>
      <c r="E23" s="11">
        <v>4352000</v>
      </c>
      <c r="F23" s="33">
        <v>46037</v>
      </c>
      <c r="G23" s="5" t="s">
        <v>12</v>
      </c>
      <c r="H23" s="5">
        <f>IF(OR(G23="Sin pagar",G23="Pagar"),NETWORKDAYS($I$11,F23,'Festivos Colombia'!$A$3:$A$22),0)</f>
        <v>0</v>
      </c>
      <c r="I23" s="34">
        <f t="shared" ref="I23:I24" si="4">H23</f>
        <v>0</v>
      </c>
      <c r="J23" s="145"/>
      <c r="K23" s="16"/>
      <c r="L23" s="16"/>
      <c r="M23" s="13"/>
      <c r="U23" s="56"/>
    </row>
    <row r="24" spans="1:21" s="5" customFormat="1" ht="15.75" outlineLevel="1" thickBot="1">
      <c r="A24" s="5" t="str">
        <f>G24</f>
        <v>Cancelado</v>
      </c>
      <c r="B24" s="5" t="e">
        <f>IF(#REF!&lt;=-1,1,IF(#REF!&lt;=5,2,IF(#REF!&lt;=15,3,IF(H24&lt;=60,4))))</f>
        <v>#REF!</v>
      </c>
      <c r="C24" s="9"/>
      <c r="D24" s="57" t="s">
        <v>225</v>
      </c>
      <c r="E24" s="11">
        <v>294000</v>
      </c>
      <c r="F24" s="33">
        <v>46036</v>
      </c>
      <c r="G24" s="5" t="s">
        <v>12</v>
      </c>
      <c r="H24" s="5">
        <f>IF(OR(G24="Sin pagar",G24="Pagar"),NETWORKDAYS($I$11,F24,'Festivos Colombia'!$A$3:$A$22),0)</f>
        <v>0</v>
      </c>
      <c r="I24" s="34">
        <f t="shared" si="4"/>
        <v>0</v>
      </c>
      <c r="J24" s="145"/>
      <c r="K24" s="16"/>
      <c r="L24" s="16"/>
      <c r="M24" s="13"/>
      <c r="U24" s="56"/>
    </row>
    <row r="25" spans="1:21" s="5" customFormat="1" ht="16.5" thickBot="1">
      <c r="D25" s="134" t="s">
        <v>17</v>
      </c>
      <c r="E25" s="135">
        <f>SUBTOTAL(9,E26:E28)</f>
        <v>6780762</v>
      </c>
      <c r="H25" s="5">
        <f>IF(OR(G25="Sin pagar",G25="Pagar"),NETWORKDAYS($I$11,F25,'Festivos Colombia'!$A$3:$A$22),0)</f>
        <v>0</v>
      </c>
      <c r="K25" s="12"/>
      <c r="L25" s="12"/>
      <c r="M25" s="12"/>
      <c r="N25" s="12"/>
      <c r="O25" s="12"/>
      <c r="T25" s="12"/>
      <c r="U25" s="12"/>
    </row>
    <row r="26" spans="1:21" s="5" customFormat="1" ht="14.25" customHeight="1" outlineLevel="1">
      <c r="A26" s="5" t="str">
        <f>G26</f>
        <v>Cancelado</v>
      </c>
      <c r="B26" s="5" t="e">
        <f>IF(#REF!&lt;=-1,1,IF(#REF!&lt;=5,2,IF(#REF!&lt;=15,3,IF(H26&lt;=60,4))))</f>
        <v>#REF!</v>
      </c>
      <c r="C26" s="213" t="s">
        <v>247</v>
      </c>
      <c r="D26" s="10" t="s">
        <v>43</v>
      </c>
      <c r="E26" s="14">
        <v>4265060</v>
      </c>
      <c r="F26" s="33">
        <v>46053</v>
      </c>
      <c r="G26" s="5" t="s">
        <v>12</v>
      </c>
      <c r="H26" s="5">
        <f>IF(OR(G26="Sin pagar",G26="Pagar"),NETWORKDAYS($I$11,F26,'Festivos Colombia'!$A$3:$A$22),0)</f>
        <v>0</v>
      </c>
      <c r="I26" s="36">
        <f>H26</f>
        <v>0</v>
      </c>
      <c r="J26" s="166"/>
      <c r="K26" s="154"/>
      <c r="L26" s="12"/>
      <c r="M26" s="12"/>
      <c r="N26" s="12"/>
      <c r="O26" s="12"/>
      <c r="T26" s="12"/>
      <c r="U26" s="12"/>
    </row>
    <row r="27" spans="1:21" s="5" customFormat="1" ht="14.25" customHeight="1" outlineLevel="1">
      <c r="A27" s="5" t="str">
        <f t="shared" ref="A27" si="5">G27</f>
        <v>Cancelado</v>
      </c>
      <c r="B27" s="5" t="e">
        <f>IF(#REF!&lt;=-1,1,IF(#REF!&lt;=5,2,IF(#REF!&lt;=15,3,IF(H27&lt;=60,4))))</f>
        <v>#REF!</v>
      </c>
      <c r="C27" s="175" t="s">
        <v>248</v>
      </c>
      <c r="D27" s="10" t="s">
        <v>107</v>
      </c>
      <c r="E27" s="14">
        <v>437176</v>
      </c>
      <c r="F27" s="33">
        <v>46058</v>
      </c>
      <c r="G27" s="5" t="s">
        <v>12</v>
      </c>
      <c r="H27" s="5">
        <f>IF(OR(G27="Sin pagar",G27="Pagar"),NETWORKDAYS($I$11,F27,'Festivos Colombia'!$A$3:$A$22),0)</f>
        <v>0</v>
      </c>
      <c r="I27" s="36">
        <f t="shared" ref="I27" si="6">H27</f>
        <v>0</v>
      </c>
      <c r="J27" s="166"/>
      <c r="K27" s="154"/>
      <c r="L27" s="12"/>
      <c r="M27" s="12"/>
      <c r="N27" s="12"/>
      <c r="O27" s="12"/>
      <c r="T27" s="12"/>
      <c r="U27" s="12"/>
    </row>
    <row r="28" spans="1:21" s="5" customFormat="1" ht="14.25" customHeight="1" outlineLevel="1" thickBot="1">
      <c r="A28" s="5" t="str">
        <f>G28</f>
        <v>Cancelado</v>
      </c>
      <c r="B28" s="5" t="e">
        <f>IF(#REF!&lt;=-1,1,IF(#REF!&lt;=5,2,IF(#REF!&lt;=15,3,IF(H28&lt;=60,4))))</f>
        <v>#REF!</v>
      </c>
      <c r="C28" s="175" t="s">
        <v>249</v>
      </c>
      <c r="D28" s="10" t="s">
        <v>43</v>
      </c>
      <c r="E28" s="14">
        <v>2078526</v>
      </c>
      <c r="F28" s="33">
        <v>46052</v>
      </c>
      <c r="G28" s="5" t="s">
        <v>12</v>
      </c>
      <c r="H28" s="5">
        <f>IF(OR(G28="Sin pagar",G28="Pagar"),NETWORKDAYS($I$11,F28,'Festivos Colombia'!$A$3:$A$22),0)</f>
        <v>0</v>
      </c>
      <c r="I28" s="36">
        <f t="shared" ref="I28" si="7">H28</f>
        <v>0</v>
      </c>
      <c r="J28" s="166"/>
      <c r="K28" s="154"/>
      <c r="L28" s="12"/>
      <c r="M28" s="12"/>
      <c r="N28" s="12"/>
      <c r="O28" s="12"/>
      <c r="T28" s="12"/>
      <c r="U28" s="12"/>
    </row>
    <row r="29" spans="1:21" s="12" customFormat="1" ht="16.5" thickBot="1">
      <c r="A29" s="5"/>
      <c r="B29" s="5"/>
      <c r="D29" s="134" t="s">
        <v>21</v>
      </c>
      <c r="E29" s="135">
        <f>SUBTOTAL(9,E30:E38)</f>
        <v>0</v>
      </c>
      <c r="H29" s="5">
        <f>IF(OR(G29="Sin pagar",G29="Pagar"),NETWORKDAYS($I$11,F29,'Festivos Colombia'!$A$3:$A$22),0)</f>
        <v>0</v>
      </c>
      <c r="J29" s="5"/>
      <c r="K29" s="5"/>
      <c r="L29" s="5"/>
      <c r="M29" s="5"/>
      <c r="N29" s="5"/>
      <c r="O29" s="5"/>
      <c r="S29" s="5"/>
      <c r="T29" s="5"/>
      <c r="U29" s="5"/>
    </row>
    <row r="30" spans="1:21" s="5" customFormat="1" ht="14.25" customHeight="1" outlineLevel="1">
      <c r="A30" s="5" t="str">
        <f t="shared" ref="A30:A38" si="8">G30</f>
        <v>Cancelado</v>
      </c>
      <c r="B30" s="5" t="e">
        <f>IF(#REF!&lt;=-1,1,IF(#REF!&lt;=5,2,IF(#REF!&lt;=15,3,IF(H30&lt;=60,4))))</f>
        <v>#REF!</v>
      </c>
      <c r="C30" s="37">
        <v>12310058809</v>
      </c>
      <c r="D30" s="10" t="s">
        <v>132</v>
      </c>
      <c r="E30" s="11">
        <f>13580700*0</f>
        <v>0</v>
      </c>
      <c r="F30" s="33">
        <v>46028</v>
      </c>
      <c r="G30" s="5" t="s">
        <v>12</v>
      </c>
      <c r="H30" s="5">
        <f>IF(OR(G30="Sin pagar",G30="Pagar"),NETWORKDAYS($I$11,F30,'Festivos Colombia'!$A$3:$A$22),0)</f>
        <v>0</v>
      </c>
      <c r="I30" s="36">
        <f t="shared" ref="I30:I38" si="9">H30</f>
        <v>0</v>
      </c>
      <c r="J30" s="166"/>
      <c r="K30" s="12"/>
      <c r="L30" s="12"/>
      <c r="M30" s="12"/>
      <c r="N30" s="12"/>
      <c r="O30" s="12"/>
      <c r="T30" s="12"/>
      <c r="U30" s="12"/>
    </row>
    <row r="31" spans="1:21" s="5" customFormat="1" ht="14.25" customHeight="1" outlineLevel="1">
      <c r="A31" s="5" t="str">
        <f t="shared" si="8"/>
        <v>Cancelado</v>
      </c>
      <c r="B31" s="5" t="e">
        <f>IF(#REF!&lt;=-1,1,IF(#REF!&lt;=5,2,IF(#REF!&lt;=15,3,IF(H31&lt;=60,4))))</f>
        <v>#REF!</v>
      </c>
      <c r="C31" s="37">
        <v>1239964849</v>
      </c>
      <c r="D31" s="10" t="s">
        <v>142</v>
      </c>
      <c r="E31" s="11">
        <f>205538*0</f>
        <v>0</v>
      </c>
      <c r="F31" s="33">
        <v>46028</v>
      </c>
      <c r="G31" s="5" t="s">
        <v>12</v>
      </c>
      <c r="H31" s="5">
        <f>IF(OR(G31="Sin pagar",G31="Pagar"),NETWORKDAYS($I$11,F31,'Festivos Colombia'!$A$3:$A$22),0)</f>
        <v>0</v>
      </c>
      <c r="I31" s="36">
        <f t="shared" si="9"/>
        <v>0</v>
      </c>
      <c r="J31" s="166"/>
      <c r="K31" s="12"/>
      <c r="L31" s="12"/>
      <c r="M31" s="12"/>
      <c r="N31" s="12"/>
      <c r="O31" s="12"/>
      <c r="T31" s="12"/>
      <c r="U31" s="12"/>
    </row>
    <row r="32" spans="1:21" s="5" customFormat="1" ht="14.25" customHeight="1" outlineLevel="1">
      <c r="A32" s="5" t="str">
        <f t="shared" si="8"/>
        <v>Cancelado</v>
      </c>
      <c r="B32" s="5" t="e">
        <f>IF(#REF!&lt;=-1,1,IF(#REF!&lt;=5,2,IF(#REF!&lt;=15,3,IF(H32&lt;=60,4))))</f>
        <v>#REF!</v>
      </c>
      <c r="C32" s="37">
        <v>1239905171</v>
      </c>
      <c r="D32" s="10" t="s">
        <v>141</v>
      </c>
      <c r="E32" s="11">
        <f>316953*0</f>
        <v>0</v>
      </c>
      <c r="F32" s="33">
        <v>46028</v>
      </c>
      <c r="G32" s="5" t="s">
        <v>12</v>
      </c>
      <c r="H32" s="5">
        <f>IF(OR(G32="Sin pagar",G32="Pagar"),NETWORKDAYS($I$11,F32,'Festivos Colombia'!$A$3:$A$22),0)</f>
        <v>0</v>
      </c>
      <c r="I32" s="36">
        <f t="shared" si="9"/>
        <v>0</v>
      </c>
      <c r="J32" s="166"/>
      <c r="K32" s="12"/>
      <c r="L32" s="12"/>
      <c r="M32" s="12"/>
      <c r="N32" s="12"/>
      <c r="O32" s="12"/>
      <c r="T32" s="12"/>
      <c r="U32" s="12"/>
    </row>
    <row r="33" spans="1:21" s="5" customFormat="1" ht="14.25" customHeight="1" outlineLevel="1">
      <c r="A33" s="5" t="str">
        <f t="shared" si="8"/>
        <v>Cancelado</v>
      </c>
      <c r="B33" s="5" t="e">
        <f>IF(#REF!&lt;=-1,1,IF(#REF!&lt;=5,2,IF(#REF!&lt;=15,3,IF(H33&lt;=60,4))))</f>
        <v>#REF!</v>
      </c>
      <c r="C33" s="37">
        <v>1239956382</v>
      </c>
      <c r="D33" s="10" t="s">
        <v>22</v>
      </c>
      <c r="E33" s="11">
        <f>314213*0</f>
        <v>0</v>
      </c>
      <c r="F33" s="33">
        <v>46028</v>
      </c>
      <c r="G33" s="5" t="s">
        <v>12</v>
      </c>
      <c r="H33" s="5">
        <f>IF(OR(G33="Sin pagar",G33="Pagar"),NETWORKDAYS($I$11,F33,'Festivos Colombia'!$A$3:$A$22),0)</f>
        <v>0</v>
      </c>
      <c r="I33" s="36">
        <f t="shared" si="9"/>
        <v>0</v>
      </c>
      <c r="J33" s="166"/>
      <c r="K33" s="12"/>
      <c r="L33" s="12"/>
      <c r="M33" s="12"/>
      <c r="N33" s="12"/>
      <c r="O33" s="12"/>
      <c r="T33" s="12"/>
      <c r="U33" s="12"/>
    </row>
    <row r="34" spans="1:21" s="5" customFormat="1" ht="14.25" customHeight="1" outlineLevel="1">
      <c r="A34" s="5" t="str">
        <f t="shared" si="8"/>
        <v>Cancelado</v>
      </c>
      <c r="B34" s="5" t="e">
        <f>IF(#REF!&lt;=-1,1,IF(#REF!&lt;=5,2,IF(#REF!&lt;=15,3,IF(H34&lt;=60,4))))</f>
        <v>#REF!</v>
      </c>
      <c r="C34" s="37">
        <v>1231040566</v>
      </c>
      <c r="D34" s="10" t="s">
        <v>140</v>
      </c>
      <c r="E34" s="11">
        <f>1751400*0</f>
        <v>0</v>
      </c>
      <c r="F34" s="33">
        <v>46028</v>
      </c>
      <c r="G34" s="5" t="s">
        <v>12</v>
      </c>
      <c r="H34" s="5">
        <f>IF(OR(G34="Sin pagar",G34="Pagar"),NETWORKDAYS($I$11,F34,'Festivos Colombia'!$A$3:$A$22),0)</f>
        <v>0</v>
      </c>
      <c r="I34" s="36">
        <f t="shared" si="9"/>
        <v>0</v>
      </c>
      <c r="J34" s="166"/>
      <c r="K34" s="12"/>
      <c r="L34" s="12"/>
      <c r="M34" s="12"/>
      <c r="N34" s="12"/>
      <c r="O34" s="12"/>
      <c r="T34" s="12"/>
      <c r="U34" s="12"/>
    </row>
    <row r="35" spans="1:21" s="5" customFormat="1" ht="14.25" customHeight="1" outlineLevel="1">
      <c r="A35" s="5" t="str">
        <f t="shared" si="8"/>
        <v>Cancelado</v>
      </c>
      <c r="B35" s="5" t="e">
        <f>IF(#REF!&lt;=-1,1,IF(#REF!&lt;=5,2,IF(#REF!&lt;=15,3,IF(H35&lt;=60,4))))</f>
        <v>#REF!</v>
      </c>
      <c r="C35" s="37">
        <v>1239902938</v>
      </c>
      <c r="D35" s="10" t="s">
        <v>122</v>
      </c>
      <c r="E35" s="11">
        <f>339255*0</f>
        <v>0</v>
      </c>
      <c r="F35" s="33">
        <v>46028</v>
      </c>
      <c r="G35" s="5" t="s">
        <v>12</v>
      </c>
      <c r="H35" s="5">
        <f>IF(OR(G35="Sin pagar",G35="Pagar"),NETWORKDAYS($I$11,F35,'Festivos Colombia'!$A$3:$A$22),0)</f>
        <v>0</v>
      </c>
      <c r="I35" s="36">
        <f t="shared" si="9"/>
        <v>0</v>
      </c>
      <c r="J35" s="166"/>
      <c r="K35" s="12"/>
      <c r="L35" s="12"/>
      <c r="M35" s="12"/>
      <c r="N35" s="12"/>
      <c r="O35" s="12"/>
      <c r="T35" s="12"/>
      <c r="U35" s="12"/>
    </row>
    <row r="36" spans="1:21" s="5" customFormat="1" ht="14.25" customHeight="1" outlineLevel="1">
      <c r="A36" s="5" t="str">
        <f t="shared" si="8"/>
        <v>Cancelado</v>
      </c>
      <c r="B36" s="5" t="e">
        <f>IF(#REF!&lt;=-1,1,IF(#REF!&lt;=5,2,IF(#REF!&lt;=15,3,IF(H36&lt;=60,4))))</f>
        <v>#REF!</v>
      </c>
      <c r="C36" s="37">
        <v>1239987772</v>
      </c>
      <c r="D36" s="10" t="s">
        <v>139</v>
      </c>
      <c r="E36" s="11">
        <f>71820*0</f>
        <v>0</v>
      </c>
      <c r="F36" s="33">
        <v>46028</v>
      </c>
      <c r="G36" s="5" t="s">
        <v>12</v>
      </c>
      <c r="H36" s="5">
        <f>IF(OR(G36="Sin pagar",G36="Pagar"),NETWORKDAYS($I$11,F36,'Festivos Colombia'!$A$3:$A$22),0)</f>
        <v>0</v>
      </c>
      <c r="I36" s="36">
        <f t="shared" si="9"/>
        <v>0</v>
      </c>
      <c r="J36" s="166"/>
      <c r="K36" s="12"/>
      <c r="L36" s="12"/>
      <c r="M36" s="12"/>
      <c r="N36" s="12"/>
      <c r="O36" s="12"/>
      <c r="T36" s="12"/>
      <c r="U36" s="12"/>
    </row>
    <row r="37" spans="1:21" s="5" customFormat="1" ht="14.25" customHeight="1" outlineLevel="1">
      <c r="A37" s="5" t="str">
        <f t="shared" si="8"/>
        <v>Cancelado</v>
      </c>
      <c r="B37" s="5" t="e">
        <f>IF(#REF!&lt;=-1,1,IF(#REF!&lt;=5,2,IF(#REF!&lt;=15,3,IF(H37&lt;=60,4))))</f>
        <v>#REF!</v>
      </c>
      <c r="C37" s="37">
        <v>1239909226</v>
      </c>
      <c r="D37" s="10" t="s">
        <v>123</v>
      </c>
      <c r="E37" s="11">
        <f>1984500*0</f>
        <v>0</v>
      </c>
      <c r="F37" s="33">
        <v>46028</v>
      </c>
      <c r="G37" s="5" t="s">
        <v>12</v>
      </c>
      <c r="H37" s="5">
        <f>IF(OR(G37="Sin pagar",G37="Pagar"),NETWORKDAYS($I$11,F37,'Festivos Colombia'!$A$3:$A$22),0)</f>
        <v>0</v>
      </c>
      <c r="I37" s="36">
        <f t="shared" si="9"/>
        <v>0</v>
      </c>
      <c r="J37" s="166"/>
      <c r="K37" s="12"/>
      <c r="L37" s="12"/>
      <c r="M37" s="12"/>
      <c r="N37" s="12"/>
      <c r="O37" s="12"/>
      <c r="T37" s="12"/>
      <c r="U37" s="12"/>
    </row>
    <row r="38" spans="1:21" s="5" customFormat="1" ht="14.25" customHeight="1" outlineLevel="1" thickBot="1">
      <c r="A38" s="5" t="str">
        <f t="shared" si="8"/>
        <v>Cancelado</v>
      </c>
      <c r="B38" s="5" t="e">
        <f>IF(#REF!&lt;=-1,1,IF(#REF!&lt;=5,2,IF(#REF!&lt;=15,3,IF(H38&lt;=60,4))))</f>
        <v>#REF!</v>
      </c>
      <c r="C38" s="37">
        <v>12310060492</v>
      </c>
      <c r="D38" s="10" t="s">
        <v>129</v>
      </c>
      <c r="E38" s="11">
        <f>71820*0</f>
        <v>0</v>
      </c>
      <c r="F38" s="33">
        <v>46028</v>
      </c>
      <c r="G38" s="5" t="s">
        <v>12</v>
      </c>
      <c r="H38" s="5">
        <f>IF(OR(G38="Sin pagar",G38="Pagar"),NETWORKDAYS($I$11,F38,'Festivos Colombia'!$A$3:$A$22),0)</f>
        <v>0</v>
      </c>
      <c r="I38" s="36">
        <f t="shared" si="9"/>
        <v>0</v>
      </c>
      <c r="J38" s="166"/>
      <c r="K38" s="12"/>
      <c r="L38" s="12"/>
      <c r="M38" s="12"/>
      <c r="N38" s="12"/>
      <c r="O38" s="12"/>
      <c r="T38" s="12"/>
      <c r="U38" s="12"/>
    </row>
    <row r="39" spans="1:21" s="5" customFormat="1" ht="16.5" thickBot="1">
      <c r="C39" s="38"/>
      <c r="D39" s="136" t="s">
        <v>23</v>
      </c>
      <c r="E39" s="135">
        <f>SUBTOTAL(9,E40:E72)</f>
        <v>69701216.520000011</v>
      </c>
      <c r="G39" s="13"/>
      <c r="I39" s="13"/>
      <c r="K39" s="13"/>
      <c r="L39" s="13"/>
    </row>
    <row r="40" spans="1:21" s="5" customFormat="1" outlineLevel="1">
      <c r="C40" s="38"/>
      <c r="D40" s="10" t="s">
        <v>118</v>
      </c>
      <c r="E40" s="158">
        <f>467154*0</f>
        <v>0</v>
      </c>
      <c r="F40" s="33">
        <v>46024</v>
      </c>
      <c r="G40" s="5" t="s">
        <v>12</v>
      </c>
      <c r="H40" s="5">
        <f>IF(OR(G40="Sin pagar",G40="Pagar"),NETWORKDAYS($I$11,F40,'Festivos Colombia'!$A$3:$A$22),0)</f>
        <v>0</v>
      </c>
      <c r="I40" s="36">
        <f>H40</f>
        <v>0</v>
      </c>
      <c r="K40" s="13"/>
      <c r="L40" s="13"/>
    </row>
    <row r="41" spans="1:21" s="5" customFormat="1" outlineLevel="1">
      <c r="C41" s="38"/>
      <c r="D41" s="10" t="s">
        <v>108</v>
      </c>
      <c r="E41" s="158">
        <f>1000226*0</f>
        <v>0</v>
      </c>
      <c r="F41" s="33">
        <v>46024</v>
      </c>
      <c r="G41" s="5" t="s">
        <v>12</v>
      </c>
      <c r="H41" s="5">
        <f>IF(OR(G41="Sin pagar",G41="Pagar"),NETWORKDAYS($I$11,F41,'Festivos Colombia'!$A$3:$A$22),0)</f>
        <v>0</v>
      </c>
      <c r="I41" s="36">
        <f t="shared" ref="I41:I66" si="10">H41</f>
        <v>0</v>
      </c>
      <c r="K41" s="13"/>
      <c r="L41" s="13"/>
    </row>
    <row r="42" spans="1:21" s="5" customFormat="1" outlineLevel="1">
      <c r="C42" s="38"/>
      <c r="D42" s="10" t="s">
        <v>113</v>
      </c>
      <c r="E42" s="158">
        <f>255113.01*0</f>
        <v>0</v>
      </c>
      <c r="F42" s="33">
        <v>46024</v>
      </c>
      <c r="G42" s="5" t="s">
        <v>12</v>
      </c>
      <c r="H42" s="5">
        <f>IF(OR(G42="Sin pagar",G42="Pagar"),NETWORKDAYS($I$11,F42,'Festivos Colombia'!$A$3:$A$22),0)</f>
        <v>0</v>
      </c>
      <c r="I42" s="36">
        <f t="shared" si="10"/>
        <v>0</v>
      </c>
      <c r="K42" s="13"/>
      <c r="L42" s="13"/>
    </row>
    <row r="43" spans="1:21" s="5" customFormat="1" outlineLevel="1">
      <c r="C43" s="38"/>
      <c r="D43" s="10" t="s">
        <v>121</v>
      </c>
      <c r="E43" s="158">
        <f>468000*0</f>
        <v>0</v>
      </c>
      <c r="F43" s="33">
        <v>46024</v>
      </c>
      <c r="G43" s="5" t="s">
        <v>12</v>
      </c>
      <c r="H43" s="5">
        <f>IF(OR(G43="Sin pagar",G43="Pagar"),NETWORKDAYS($I$11,F43,'Festivos Colombia'!$A$3:$A$22),0)</f>
        <v>0</v>
      </c>
      <c r="I43" s="36">
        <f t="shared" si="10"/>
        <v>0</v>
      </c>
      <c r="K43" s="13"/>
      <c r="L43" s="13"/>
    </row>
    <row r="44" spans="1:21" s="5" customFormat="1" outlineLevel="1">
      <c r="C44" s="38"/>
      <c r="D44" s="10" t="s">
        <v>110</v>
      </c>
      <c r="E44" s="158">
        <f>1546810.95*0</f>
        <v>0</v>
      </c>
      <c r="F44" s="33">
        <v>46024</v>
      </c>
      <c r="G44" s="5" t="s">
        <v>12</v>
      </c>
      <c r="H44" s="5">
        <f>IF(OR(G44="Sin pagar",G44="Pagar"),NETWORKDAYS($I$11,F44,'Festivos Colombia'!$A$3:$A$22),0)</f>
        <v>0</v>
      </c>
      <c r="I44" s="36">
        <f t="shared" si="10"/>
        <v>0</v>
      </c>
      <c r="K44" s="13"/>
      <c r="L44" s="13"/>
    </row>
    <row r="45" spans="1:21" s="5" customFormat="1" outlineLevel="1">
      <c r="C45" s="38"/>
      <c r="D45" s="10" t="s">
        <v>111</v>
      </c>
      <c r="E45" s="158">
        <f>1783405*0</f>
        <v>0</v>
      </c>
      <c r="F45" s="33">
        <v>46024</v>
      </c>
      <c r="G45" s="5" t="s">
        <v>12</v>
      </c>
      <c r="H45" s="5">
        <f>IF(OR(G45="Sin pagar",G45="Pagar"),NETWORKDAYS($I$11,F45,'Festivos Colombia'!$A$3:$A$22),0)</f>
        <v>0</v>
      </c>
      <c r="I45" s="36">
        <f t="shared" si="10"/>
        <v>0</v>
      </c>
      <c r="K45" s="13"/>
      <c r="L45" s="13"/>
    </row>
    <row r="46" spans="1:21" s="5" customFormat="1" outlineLevel="1">
      <c r="C46" s="38"/>
      <c r="D46" s="10" t="s">
        <v>124</v>
      </c>
      <c r="E46" s="158">
        <f>166330*0</f>
        <v>0</v>
      </c>
      <c r="F46" s="33">
        <v>46024</v>
      </c>
      <c r="G46" s="5" t="s">
        <v>12</v>
      </c>
      <c r="H46" s="5">
        <f>IF(OR(G46="Sin pagar",G46="Pagar"),NETWORKDAYS($I$11,F46,'Festivos Colombia'!$A$3:$A$22),0)</f>
        <v>0</v>
      </c>
      <c r="I46" s="36">
        <f t="shared" si="10"/>
        <v>0</v>
      </c>
      <c r="K46" s="13"/>
      <c r="L46" s="13"/>
    </row>
    <row r="47" spans="1:21" s="5" customFormat="1" outlineLevel="1">
      <c r="C47" s="38"/>
      <c r="D47" s="10" t="s">
        <v>219</v>
      </c>
      <c r="E47" s="158">
        <v>457800</v>
      </c>
      <c r="F47" s="33">
        <v>46035</v>
      </c>
      <c r="G47" s="5" t="s">
        <v>12</v>
      </c>
      <c r="H47" s="5">
        <f>IF(OR(G47="Sin pagar",G47="Pagar"),NETWORKDAYS($I$11,F47,'Festivos Colombia'!$A$3:$A$22),0)</f>
        <v>0</v>
      </c>
      <c r="I47" s="36">
        <f t="shared" si="10"/>
        <v>0</v>
      </c>
      <c r="K47" s="13"/>
      <c r="L47" s="13"/>
    </row>
    <row r="48" spans="1:21" s="5" customFormat="1" outlineLevel="1">
      <c r="C48" s="38"/>
      <c r="D48" s="10" t="s">
        <v>220</v>
      </c>
      <c r="E48" s="158">
        <v>3095450</v>
      </c>
      <c r="F48" s="33">
        <v>46035</v>
      </c>
      <c r="G48" s="5" t="s">
        <v>12</v>
      </c>
      <c r="H48" s="5">
        <f>IF(OR(G48="Sin pagar",G48="Pagar"),NETWORKDAYS($I$11,F48,'Festivos Colombia'!$A$3:$A$22),0)</f>
        <v>0</v>
      </c>
      <c r="I48" s="36">
        <f t="shared" si="10"/>
        <v>0</v>
      </c>
      <c r="K48" s="13"/>
      <c r="L48" s="13"/>
    </row>
    <row r="49" spans="3:12" s="5" customFormat="1" outlineLevel="1">
      <c r="C49" s="38"/>
      <c r="D49" s="10" t="s">
        <v>221</v>
      </c>
      <c r="E49" s="158">
        <v>8034380</v>
      </c>
      <c r="F49" s="33">
        <v>46035</v>
      </c>
      <c r="G49" s="5" t="s">
        <v>12</v>
      </c>
      <c r="H49" s="5">
        <f>IF(OR(G49="Sin pagar",G49="Pagar"),NETWORKDAYS($I$11,F49,'Festivos Colombia'!$A$3:$A$22),0)</f>
        <v>0</v>
      </c>
      <c r="I49" s="36">
        <f t="shared" si="10"/>
        <v>0</v>
      </c>
      <c r="K49" s="13"/>
      <c r="L49" s="13"/>
    </row>
    <row r="50" spans="3:12" s="5" customFormat="1" outlineLevel="1">
      <c r="C50" s="38"/>
      <c r="D50" s="10" t="s">
        <v>228</v>
      </c>
      <c r="E50" s="158">
        <v>1605910</v>
      </c>
      <c r="F50" s="33">
        <v>46041</v>
      </c>
      <c r="G50" s="5" t="s">
        <v>12</v>
      </c>
      <c r="H50" s="5">
        <f>IF(OR(G50="Sin pagar",G50="Pagar"),NETWORKDAYS($I$11,F50,'Festivos Colombia'!$A$3:$A$22),0)</f>
        <v>0</v>
      </c>
      <c r="I50" s="36">
        <f t="shared" si="10"/>
        <v>0</v>
      </c>
      <c r="K50" s="13"/>
      <c r="L50" s="13"/>
    </row>
    <row r="51" spans="3:12" s="5" customFormat="1" outlineLevel="1">
      <c r="C51" s="38"/>
      <c r="D51" s="10" t="s">
        <v>229</v>
      </c>
      <c r="E51" s="158">
        <v>128200</v>
      </c>
      <c r="F51" s="33">
        <v>46041</v>
      </c>
      <c r="G51" s="5" t="s">
        <v>12</v>
      </c>
      <c r="H51" s="5">
        <f>IF(OR(G51="Sin pagar",G51="Pagar"),NETWORKDAYS($I$11,F51,'Festivos Colombia'!$A$3:$A$22),0)</f>
        <v>0</v>
      </c>
      <c r="I51" s="36">
        <f t="shared" si="10"/>
        <v>0</v>
      </c>
      <c r="K51" s="13"/>
      <c r="L51" s="13"/>
    </row>
    <row r="52" spans="3:12" s="5" customFormat="1" outlineLevel="1">
      <c r="C52" s="38"/>
      <c r="D52" s="10" t="s">
        <v>230</v>
      </c>
      <c r="E52" s="158">
        <v>1227258</v>
      </c>
      <c r="F52" s="33">
        <v>46041</v>
      </c>
      <c r="G52" s="5" t="s">
        <v>12</v>
      </c>
      <c r="H52" s="5">
        <f>IF(OR(G52="Sin pagar",G52="Pagar"),NETWORKDAYS($I$11,F52,'Festivos Colombia'!$A$3:$A$22),0)</f>
        <v>0</v>
      </c>
      <c r="I52" s="36">
        <f t="shared" si="10"/>
        <v>0</v>
      </c>
      <c r="K52" s="13"/>
      <c r="L52" s="13"/>
    </row>
    <row r="53" spans="3:12" s="5" customFormat="1" outlineLevel="1">
      <c r="C53" s="38"/>
      <c r="D53" s="10" t="s">
        <v>219</v>
      </c>
      <c r="E53" s="158">
        <v>218138</v>
      </c>
      <c r="F53" s="33">
        <v>46048</v>
      </c>
      <c r="G53" s="5" t="s">
        <v>12</v>
      </c>
      <c r="H53" s="5">
        <f>IF(OR(G53="Sin pagar",G53="Pagar"),NETWORKDAYS($I$11,F53,'Festivos Colombia'!$A$3:$A$22),0)</f>
        <v>0</v>
      </c>
      <c r="I53" s="36">
        <f t="shared" si="10"/>
        <v>0</v>
      </c>
      <c r="K53" s="13"/>
      <c r="L53" s="13"/>
    </row>
    <row r="54" spans="3:12" s="5" customFormat="1" outlineLevel="1">
      <c r="C54" s="38"/>
      <c r="D54" s="10" t="s">
        <v>234</v>
      </c>
      <c r="E54" s="158">
        <v>159048</v>
      </c>
      <c r="F54" s="33">
        <v>46048</v>
      </c>
      <c r="G54" s="5" t="s">
        <v>12</v>
      </c>
      <c r="H54" s="5">
        <f>IF(OR(G54="Sin pagar",G54="Pagar"),NETWORKDAYS($I$11,F54,'Festivos Colombia'!$A$3:$A$22),0)</f>
        <v>0</v>
      </c>
      <c r="I54" s="36">
        <f t="shared" si="10"/>
        <v>0</v>
      </c>
      <c r="K54" s="13"/>
      <c r="L54" s="13"/>
    </row>
    <row r="55" spans="3:12" s="5" customFormat="1" outlineLevel="1">
      <c r="C55" s="38"/>
      <c r="D55" s="10" t="s">
        <v>235</v>
      </c>
      <c r="E55" s="158">
        <v>702200</v>
      </c>
      <c r="F55" s="33">
        <v>46048</v>
      </c>
      <c r="G55" s="5" t="s">
        <v>12</v>
      </c>
      <c r="H55" s="5">
        <f>IF(OR(G55="Sin pagar",G55="Pagar"),NETWORKDAYS($I$11,F55,'Festivos Colombia'!$A$3:$A$22),0)</f>
        <v>0</v>
      </c>
      <c r="I55" s="36">
        <f t="shared" si="10"/>
        <v>0</v>
      </c>
      <c r="K55" s="13"/>
      <c r="L55" s="13"/>
    </row>
    <row r="56" spans="3:12" s="5" customFormat="1" outlineLevel="1">
      <c r="C56" s="38"/>
      <c r="D56" s="10" t="s">
        <v>228</v>
      </c>
      <c r="E56" s="158">
        <v>4081067</v>
      </c>
      <c r="F56" s="33">
        <v>46048</v>
      </c>
      <c r="G56" s="5" t="s">
        <v>12</v>
      </c>
      <c r="H56" s="5">
        <f>IF(OR(G56="Sin pagar",G56="Pagar"),NETWORKDAYS($I$11,F56,'Festivos Colombia'!$A$3:$A$22),0)</f>
        <v>0</v>
      </c>
      <c r="I56" s="36">
        <f t="shared" si="10"/>
        <v>0</v>
      </c>
      <c r="K56" s="13"/>
      <c r="L56" s="13"/>
    </row>
    <row r="57" spans="3:12" s="5" customFormat="1" outlineLevel="1">
      <c r="C57" s="38"/>
      <c r="D57" s="10" t="s">
        <v>236</v>
      </c>
      <c r="E57" s="158">
        <v>1656286</v>
      </c>
      <c r="F57" s="33">
        <v>46048</v>
      </c>
      <c r="G57" s="5" t="s">
        <v>12</v>
      </c>
      <c r="H57" s="5">
        <f>IF(OR(G57="Sin pagar",G57="Pagar"),NETWORKDAYS($I$11,F57,'Festivos Colombia'!$A$3:$A$22),0)</f>
        <v>0</v>
      </c>
      <c r="I57" s="36">
        <f t="shared" si="10"/>
        <v>0</v>
      </c>
      <c r="K57" s="13"/>
      <c r="L57" s="13"/>
    </row>
    <row r="58" spans="3:12" s="5" customFormat="1" outlineLevel="1">
      <c r="C58" s="38"/>
      <c r="D58" s="10" t="s">
        <v>237</v>
      </c>
      <c r="E58" s="158">
        <v>1098209</v>
      </c>
      <c r="F58" s="33">
        <v>46048</v>
      </c>
      <c r="G58" s="5" t="s">
        <v>12</v>
      </c>
      <c r="H58" s="5">
        <f>IF(OR(G58="Sin pagar",G58="Pagar"),NETWORKDAYS($I$11,F58,'Festivos Colombia'!$A$3:$A$22),0)</f>
        <v>0</v>
      </c>
      <c r="I58" s="36">
        <f t="shared" si="10"/>
        <v>0</v>
      </c>
      <c r="K58" s="13"/>
      <c r="L58" s="13"/>
    </row>
    <row r="59" spans="3:12" s="5" customFormat="1" outlineLevel="1">
      <c r="C59" s="38"/>
      <c r="D59" s="10" t="s">
        <v>241</v>
      </c>
      <c r="E59" s="158">
        <v>7288136</v>
      </c>
      <c r="F59" s="33">
        <v>46048</v>
      </c>
      <c r="G59" s="5" t="s">
        <v>12</v>
      </c>
      <c r="H59" s="5">
        <f>IF(OR(G59="Sin pagar",G59="Pagar"),NETWORKDAYS($I$11,F59,'Festivos Colombia'!$A$3:$A$22),0)</f>
        <v>0</v>
      </c>
      <c r="I59" s="36">
        <f t="shared" si="10"/>
        <v>0</v>
      </c>
      <c r="K59" s="13"/>
      <c r="L59" s="13"/>
    </row>
    <row r="60" spans="3:12" s="5" customFormat="1" outlineLevel="1">
      <c r="C60" s="38"/>
      <c r="D60" s="10" t="s">
        <v>116</v>
      </c>
      <c r="E60" s="158">
        <v>11719560.98</v>
      </c>
      <c r="F60" s="33">
        <v>46050</v>
      </c>
      <c r="G60" s="5" t="s">
        <v>12</v>
      </c>
      <c r="H60" s="5">
        <f>IF(OR(G60="Sin pagar",G60="Pagar"),NETWORKDAYS($I$11,F60,'Festivos Colombia'!$A$3:$A$22),0)</f>
        <v>0</v>
      </c>
      <c r="I60" s="36">
        <f t="shared" si="10"/>
        <v>0</v>
      </c>
      <c r="K60" s="13"/>
      <c r="L60" s="13"/>
    </row>
    <row r="61" spans="3:12" s="5" customFormat="1" outlineLevel="1">
      <c r="C61" s="38"/>
      <c r="D61" s="10" t="s">
        <v>239</v>
      </c>
      <c r="E61" s="158">
        <v>800000</v>
      </c>
      <c r="F61" s="33">
        <v>46050</v>
      </c>
      <c r="G61" s="5" t="s">
        <v>12</v>
      </c>
      <c r="H61" s="5">
        <f>IF(OR(G61="Sin pagar",G61="Pagar"),NETWORKDAYS($I$11,F61,'Festivos Colombia'!$A$3:$A$22),0)</f>
        <v>0</v>
      </c>
      <c r="I61" s="36">
        <f t="shared" si="10"/>
        <v>0</v>
      </c>
      <c r="K61" s="13"/>
      <c r="L61" s="13"/>
    </row>
    <row r="62" spans="3:12" s="5" customFormat="1" outlineLevel="1">
      <c r="C62" s="38"/>
      <c r="D62" s="10" t="s">
        <v>115</v>
      </c>
      <c r="E62" s="158">
        <v>260893</v>
      </c>
      <c r="F62" s="33">
        <v>46050</v>
      </c>
      <c r="G62" s="5" t="s">
        <v>12</v>
      </c>
      <c r="H62" s="5">
        <f>IF(OR(G62="Sin pagar",G62="Pagar"),NETWORKDAYS($I$11,F62,'Festivos Colombia'!$A$3:$A$22),0)</f>
        <v>0</v>
      </c>
      <c r="I62" s="36">
        <f t="shared" si="10"/>
        <v>0</v>
      </c>
      <c r="K62" s="13"/>
      <c r="L62" s="13"/>
    </row>
    <row r="63" spans="3:12" s="5" customFormat="1" outlineLevel="1">
      <c r="C63" s="38"/>
      <c r="D63" s="10" t="s">
        <v>240</v>
      </c>
      <c r="E63" s="158">
        <v>6242284</v>
      </c>
      <c r="F63" s="33">
        <v>46050</v>
      </c>
      <c r="G63" s="5" t="s">
        <v>12</v>
      </c>
      <c r="H63" s="5">
        <f>IF(OR(G63="Sin pagar",G63="Pagar"),NETWORKDAYS($I$11,F63,'Festivos Colombia'!$A$3:$A$22),0)</f>
        <v>0</v>
      </c>
      <c r="I63" s="36">
        <f t="shared" si="10"/>
        <v>0</v>
      </c>
      <c r="K63" s="13"/>
      <c r="L63" s="13"/>
    </row>
    <row r="64" spans="3:12" s="5" customFormat="1" outlineLevel="1">
      <c r="C64" s="38"/>
      <c r="D64" s="10" t="s">
        <v>149</v>
      </c>
      <c r="E64" s="158">
        <v>3026108.55</v>
      </c>
      <c r="F64" s="33">
        <v>46050</v>
      </c>
      <c r="G64" s="5" t="s">
        <v>12</v>
      </c>
      <c r="H64" s="5">
        <f>IF(OR(G64="Sin pagar",G64="Pagar"),NETWORKDAYS($I$11,F64,'Festivos Colombia'!$A$3:$A$22),0)</f>
        <v>0</v>
      </c>
      <c r="I64" s="36">
        <f t="shared" si="10"/>
        <v>0</v>
      </c>
      <c r="K64" s="13"/>
      <c r="L64" s="13"/>
    </row>
    <row r="65" spans="3:12" s="5" customFormat="1" outlineLevel="1">
      <c r="C65" s="38"/>
      <c r="D65" s="10" t="s">
        <v>150</v>
      </c>
      <c r="E65" s="158">
        <v>2881071</v>
      </c>
      <c r="F65" s="33">
        <v>46050</v>
      </c>
      <c r="G65" s="5" t="s">
        <v>12</v>
      </c>
      <c r="H65" s="5">
        <f>IF(OR(G65="Sin pagar",G65="Pagar"),NETWORKDAYS($I$11,F65,'Festivos Colombia'!$A$3:$A$22),0)</f>
        <v>0</v>
      </c>
      <c r="I65" s="36">
        <f t="shared" si="10"/>
        <v>0</v>
      </c>
      <c r="K65" s="13"/>
      <c r="L65" s="13"/>
    </row>
    <row r="66" spans="3:12" s="5" customFormat="1" outlineLevel="1">
      <c r="C66" s="38"/>
      <c r="D66" s="10" t="s">
        <v>242</v>
      </c>
      <c r="E66" s="158">
        <v>3690775</v>
      </c>
      <c r="F66" s="33">
        <v>46050</v>
      </c>
      <c r="G66" s="5" t="s">
        <v>12</v>
      </c>
      <c r="H66" s="5">
        <f>IF(OR(G66="Sin pagar",G66="Pagar"),NETWORKDAYS($I$11,F66,'Festivos Colombia'!$A$3:$A$22),0)</f>
        <v>0</v>
      </c>
      <c r="I66" s="36">
        <f t="shared" si="10"/>
        <v>0</v>
      </c>
      <c r="K66" s="13"/>
      <c r="L66" s="13"/>
    </row>
    <row r="67" spans="3:12" s="5" customFormat="1" outlineLevel="1">
      <c r="C67" s="38"/>
      <c r="D67" s="10" t="s">
        <v>113</v>
      </c>
      <c r="E67" s="158">
        <v>1794290</v>
      </c>
      <c r="F67" s="33">
        <v>46051</v>
      </c>
      <c r="G67" s="5" t="s">
        <v>12</v>
      </c>
      <c r="I67" s="36"/>
      <c r="K67" s="13"/>
      <c r="L67" s="13"/>
    </row>
    <row r="68" spans="3:12" s="5" customFormat="1" outlineLevel="1">
      <c r="C68" s="38"/>
      <c r="D68" s="10" t="s">
        <v>243</v>
      </c>
      <c r="E68" s="158">
        <v>3309679</v>
      </c>
      <c r="F68" s="33">
        <v>46051</v>
      </c>
      <c r="G68" s="5" t="s">
        <v>12</v>
      </c>
      <c r="I68" s="36"/>
      <c r="K68" s="13"/>
      <c r="L68" s="13"/>
    </row>
    <row r="69" spans="3:12" s="5" customFormat="1" outlineLevel="1">
      <c r="C69" s="38"/>
      <c r="D69" s="10" t="s">
        <v>236</v>
      </c>
      <c r="E69" s="158">
        <v>190111</v>
      </c>
      <c r="F69" s="33">
        <v>46051</v>
      </c>
      <c r="G69" s="5" t="s">
        <v>12</v>
      </c>
      <c r="I69" s="36"/>
      <c r="K69" s="13"/>
      <c r="L69" s="13"/>
    </row>
    <row r="70" spans="3:12" s="5" customFormat="1" outlineLevel="1">
      <c r="C70" s="38"/>
      <c r="D70" s="10" t="s">
        <v>229</v>
      </c>
      <c r="E70" s="158">
        <v>166330</v>
      </c>
      <c r="F70" s="33">
        <v>46051</v>
      </c>
      <c r="G70" s="5" t="s">
        <v>12</v>
      </c>
      <c r="I70" s="36"/>
      <c r="K70" s="13"/>
      <c r="L70" s="13"/>
    </row>
    <row r="71" spans="3:12" s="5" customFormat="1" outlineLevel="1">
      <c r="C71" s="38"/>
      <c r="D71" s="10" t="s">
        <v>244</v>
      </c>
      <c r="E71" s="158">
        <v>2067281.99</v>
      </c>
      <c r="F71" s="33">
        <v>46051</v>
      </c>
      <c r="G71" s="5" t="s">
        <v>12</v>
      </c>
      <c r="I71" s="36"/>
      <c r="K71" s="13"/>
      <c r="L71" s="13"/>
    </row>
    <row r="72" spans="3:12" s="5" customFormat="1" ht="15.75" outlineLevel="1" thickBot="1">
      <c r="C72" s="38"/>
      <c r="D72" s="10" t="s">
        <v>245</v>
      </c>
      <c r="E72" s="158">
        <v>3800750</v>
      </c>
      <c r="F72" s="33">
        <v>46051</v>
      </c>
      <c r="G72" s="5" t="s">
        <v>12</v>
      </c>
      <c r="I72" s="36"/>
      <c r="K72" s="13"/>
      <c r="L72" s="13"/>
    </row>
    <row r="73" spans="3:12" s="5" customFormat="1" ht="16.5" thickBot="1">
      <c r="C73" s="9"/>
      <c r="D73" s="134" t="s">
        <v>24</v>
      </c>
      <c r="E73" s="135">
        <f>SUBTOTAL(9,E74:E79)</f>
        <v>13084610</v>
      </c>
    </row>
    <row r="74" spans="3:12" s="5" customFormat="1" outlineLevel="1">
      <c r="C74" s="164"/>
      <c r="D74" s="10" t="s">
        <v>184</v>
      </c>
      <c r="E74" s="158">
        <f>4405740*0</f>
        <v>0</v>
      </c>
      <c r="F74" s="33">
        <v>46028</v>
      </c>
      <c r="G74" s="5" t="s">
        <v>12</v>
      </c>
      <c r="H74" s="5">
        <f>IF(OR(G74="Sin pagar",G74="Pagar"),NETWORKDAYS($I$11,F74,'Festivos Colombia'!$A$3:$A$22),0)</f>
        <v>0</v>
      </c>
      <c r="I74" s="34">
        <f>H74</f>
        <v>0</v>
      </c>
      <c r="J74" s="11"/>
      <c r="K74" s="13"/>
      <c r="L74" s="13"/>
    </row>
    <row r="75" spans="3:12" s="5" customFormat="1" outlineLevel="1">
      <c r="C75" s="164"/>
      <c r="D75" s="10" t="s">
        <v>217</v>
      </c>
      <c r="E75" s="158">
        <v>2961580</v>
      </c>
      <c r="F75" s="33">
        <v>46030</v>
      </c>
      <c r="G75" s="5" t="s">
        <v>12</v>
      </c>
      <c r="H75" s="5">
        <f>IF(OR(G75="Sin pagar",G75="Pagar"),NETWORKDAYS($I$11,F75,'Festivos Colombia'!$A$3:$A$22),0)</f>
        <v>0</v>
      </c>
      <c r="I75" s="36">
        <f t="shared" ref="I75" si="11">H75</f>
        <v>0</v>
      </c>
      <c r="J75" s="11"/>
      <c r="K75" s="13"/>
      <c r="L75" s="13"/>
    </row>
    <row r="76" spans="3:12" s="5" customFormat="1" outlineLevel="1">
      <c r="C76" s="164"/>
      <c r="D76" s="10" t="s">
        <v>222</v>
      </c>
      <c r="E76" s="158">
        <v>4685820</v>
      </c>
      <c r="F76" s="33">
        <v>46036</v>
      </c>
      <c r="G76" s="5" t="s">
        <v>12</v>
      </c>
      <c r="I76" s="36"/>
      <c r="J76" s="11"/>
      <c r="K76" s="13"/>
      <c r="L76" s="13"/>
    </row>
    <row r="77" spans="3:12" s="5" customFormat="1" outlineLevel="1">
      <c r="C77" s="164"/>
      <c r="D77" s="10" t="s">
        <v>226</v>
      </c>
      <c r="E77" s="158">
        <v>884000</v>
      </c>
      <c r="F77" s="33">
        <v>46037</v>
      </c>
      <c r="G77" s="5" t="s">
        <v>12</v>
      </c>
      <c r="I77" s="36"/>
      <c r="J77" s="11"/>
      <c r="K77" s="13"/>
      <c r="L77" s="13"/>
    </row>
    <row r="78" spans="3:12" s="5" customFormat="1" outlineLevel="1">
      <c r="C78" s="164"/>
      <c r="D78" s="10" t="s">
        <v>232</v>
      </c>
      <c r="E78" s="158">
        <v>1268210</v>
      </c>
      <c r="F78" s="33">
        <v>46044</v>
      </c>
      <c r="G78" s="5" t="s">
        <v>12</v>
      </c>
      <c r="I78" s="36"/>
      <c r="J78" s="11"/>
      <c r="K78" s="13"/>
      <c r="L78" s="13"/>
    </row>
    <row r="79" spans="3:12" s="5" customFormat="1" ht="15.75" outlineLevel="1" thickBot="1">
      <c r="C79" s="164"/>
      <c r="D79" s="10" t="s">
        <v>251</v>
      </c>
      <c r="E79" s="158">
        <v>3285000</v>
      </c>
      <c r="F79" s="33">
        <v>46057</v>
      </c>
      <c r="G79" s="5" t="s">
        <v>12</v>
      </c>
      <c r="I79" s="36"/>
      <c r="J79" s="11"/>
      <c r="K79" s="13"/>
      <c r="L79" s="13"/>
    </row>
    <row r="80" spans="3:12" s="5" customFormat="1" ht="15.75" customHeight="1" thickBot="1">
      <c r="C80" s="9"/>
      <c r="D80" s="134" t="s">
        <v>26</v>
      </c>
      <c r="E80" s="135">
        <f>SUBTOTAL(9,E81:E82)</f>
        <v>19282039.75</v>
      </c>
      <c r="F80" s="33"/>
    </row>
    <row r="81" spans="1:19" s="5" customFormat="1" outlineLevel="1">
      <c r="A81" s="5" t="str">
        <f>G81</f>
        <v>Cancelado</v>
      </c>
      <c r="B81" s="5" t="e">
        <f>IF(#REF!&lt;=-1,1,IF(#REF!&lt;=5,2,IF(#REF!&lt;=15,3,IF(H81&lt;=60,4))))</f>
        <v>#REF!</v>
      </c>
      <c r="C81" s="180" t="s">
        <v>193</v>
      </c>
      <c r="D81" s="57" t="s">
        <v>194</v>
      </c>
      <c r="E81" s="11">
        <v>18922045.75</v>
      </c>
      <c r="F81" s="33">
        <v>46031</v>
      </c>
      <c r="G81" s="5" t="s">
        <v>12</v>
      </c>
      <c r="H81" s="5">
        <f>IF(OR(G81="Sin pagar",G81="Pagar"),NETWORKDAYS($I$11,F81,'Festivos Colombia'!$A$3:$A$22),0)</f>
        <v>0</v>
      </c>
      <c r="I81" s="36">
        <f>H81</f>
        <v>0</v>
      </c>
      <c r="J81" s="166"/>
      <c r="K81" s="131"/>
      <c r="P81" s="12"/>
      <c r="Q81" s="12"/>
      <c r="R81" s="12"/>
      <c r="S81" s="12"/>
    </row>
    <row r="82" spans="1:19" s="5" customFormat="1" ht="15.75" outlineLevel="1" thickBot="1">
      <c r="A82" s="5" t="str">
        <f>G82</f>
        <v>Cancelado</v>
      </c>
      <c r="B82" s="5" t="e">
        <f>IF(#REF!&lt;=-1,1,IF(#REF!&lt;=5,2,IF(#REF!&lt;=15,3,IF(H82&lt;=60,4))))</f>
        <v>#REF!</v>
      </c>
      <c r="C82" s="180" t="s">
        <v>218</v>
      </c>
      <c r="D82" s="57" t="s">
        <v>195</v>
      </c>
      <c r="E82" s="11">
        <v>359994</v>
      </c>
      <c r="F82" s="33">
        <v>46031</v>
      </c>
      <c r="G82" s="5" t="s">
        <v>12</v>
      </c>
      <c r="H82" s="5">
        <f>IF(OR(G82="Sin pagar",G82="Pagar"),NETWORKDAYS($I$11,F82,'Festivos Colombia'!$A$3:$A$22),0)</f>
        <v>0</v>
      </c>
      <c r="I82" s="36">
        <f>H82</f>
        <v>0</v>
      </c>
      <c r="J82" s="166"/>
      <c r="K82" s="131"/>
      <c r="P82" s="12"/>
      <c r="Q82" s="12"/>
      <c r="R82" s="12"/>
      <c r="S82" s="12"/>
    </row>
    <row r="83" spans="1:19" s="5" customFormat="1" ht="16.5" thickBot="1">
      <c r="D83" s="134" t="s">
        <v>27</v>
      </c>
      <c r="E83" s="135">
        <f>SUBTOTAL(9,E84)</f>
        <v>13087371.43</v>
      </c>
    </row>
    <row r="84" spans="1:19" s="5" customFormat="1" ht="15.75" outlineLevel="1" thickBot="1">
      <c r="A84" s="5" t="str">
        <f>G84</f>
        <v>Cancelado</v>
      </c>
      <c r="B84" s="5" t="e">
        <f>IF(#REF!&lt;=-1,1,IF(#REF!&lt;=5,2,IF(#REF!&lt;=15,3,IF(H84&lt;=60,4))))</f>
        <v>#REF!</v>
      </c>
      <c r="C84" s="9"/>
      <c r="D84" s="10" t="s">
        <v>28</v>
      </c>
      <c r="E84" s="11">
        <v>13087371.43</v>
      </c>
      <c r="F84" s="33">
        <v>46053</v>
      </c>
      <c r="G84" s="5" t="s">
        <v>12</v>
      </c>
      <c r="H84" s="5">
        <f>IF(OR(G84="Sin pagar",G84="Pagar"),NETWORKDAYS($I$11,F84,'Festivos Colombia'!$A$3:$A$22),0)</f>
        <v>0</v>
      </c>
      <c r="I84" s="36">
        <f>H84</f>
        <v>0</v>
      </c>
    </row>
    <row r="85" spans="1:19" s="5" customFormat="1" ht="16.5" thickBot="1">
      <c r="D85" s="134" t="s">
        <v>29</v>
      </c>
      <c r="E85" s="135">
        <f>SUBTOTAL(9,E86)</f>
        <v>2209861</v>
      </c>
    </row>
    <row r="86" spans="1:19" s="12" customFormat="1" ht="15.75" outlineLevel="1" thickBot="1">
      <c r="A86" s="5" t="str">
        <f t="shared" ref="A86" si="12">G86</f>
        <v>Cancelado</v>
      </c>
      <c r="B86" s="5" t="e">
        <f>IF(#REF!&lt;=-1,1,IF(#REF!&lt;=5,2,IF(#REF!&lt;=15,3,IF(H86&lt;=60,4))))</f>
        <v>#REF!</v>
      </c>
      <c r="C86" s="9"/>
      <c r="D86" s="10" t="s">
        <v>134</v>
      </c>
      <c r="E86" s="11">
        <v>2209861</v>
      </c>
      <c r="F86" s="157">
        <v>46050</v>
      </c>
      <c r="G86" s="5" t="s">
        <v>12</v>
      </c>
      <c r="H86" s="5">
        <f>IF(OR(G86="Sin pagar",G86="Pagar"),NETWORKDAYS($I$11,F86,'Festivos Colombia'!$A$3:$A$22),0)</f>
        <v>0</v>
      </c>
      <c r="I86" s="36">
        <f t="shared" ref="I86" si="13">H86</f>
        <v>0</v>
      </c>
      <c r="J86" s="5"/>
      <c r="K86" s="13"/>
      <c r="L86" s="13"/>
      <c r="M86" s="13"/>
      <c r="N86" s="5"/>
      <c r="O86" s="5"/>
    </row>
    <row r="87" spans="1:19" s="5" customFormat="1" ht="16.5" thickBot="1">
      <c r="D87" s="134" t="s">
        <v>144</v>
      </c>
      <c r="E87" s="135">
        <f>SUBTOTAL(9,E88:E93)</f>
        <v>2822706</v>
      </c>
      <c r="J87" s="13"/>
    </row>
    <row r="88" spans="1:19" s="5" customFormat="1" outlineLevel="1">
      <c r="A88" s="5" t="str">
        <f t="shared" ref="A88:A91" si="14">G88</f>
        <v>Cancelado</v>
      </c>
      <c r="B88" s="5" t="e">
        <f>IF(#REF!&lt;=-1,1,IF(#REF!&lt;=5,2,IF(#REF!&lt;=15,3,IF(H88&lt;=60,4))))</f>
        <v>#REF!</v>
      </c>
      <c r="C88" s="123">
        <v>6838</v>
      </c>
      <c r="D88" s="57" t="s">
        <v>30</v>
      </c>
      <c r="E88" s="14">
        <f>205000</f>
        <v>205000</v>
      </c>
      <c r="F88" s="33">
        <v>46031</v>
      </c>
      <c r="G88" s="5" t="s">
        <v>12</v>
      </c>
      <c r="H88" s="5">
        <f>IF(OR(G88="Sin pagar",G88="Pagar"),NETWORKDAYS($I$11,F88,'Festivos Colombia'!$A$3:$A$22),0)</f>
        <v>0</v>
      </c>
      <c r="I88" s="36">
        <f t="shared" ref="I88:I91" si="15">H88</f>
        <v>0</v>
      </c>
      <c r="J88" s="166"/>
    </row>
    <row r="89" spans="1:19" s="5" customFormat="1" outlineLevel="1">
      <c r="A89" s="5" t="str">
        <f t="shared" si="14"/>
        <v>Cancelado</v>
      </c>
      <c r="B89" s="5" t="e">
        <f>IF(#REF!&lt;=-1,1,IF(#REF!&lt;=5,2,IF(#REF!&lt;=15,3,IF(H89&lt;=60,4))))</f>
        <v>#REF!</v>
      </c>
      <c r="C89" s="123">
        <v>6845</v>
      </c>
      <c r="D89" s="57" t="s">
        <v>30</v>
      </c>
      <c r="E89" s="14">
        <f>1432500</f>
        <v>1432500</v>
      </c>
      <c r="F89" s="33">
        <v>46031</v>
      </c>
      <c r="G89" s="5" t="s">
        <v>12</v>
      </c>
      <c r="H89" s="5">
        <f>IF(OR(G89="Sin pagar",G89="Pagar"),NETWORKDAYS($I$11,F89,'Festivos Colombia'!$A$3:$A$22),0)</f>
        <v>0</v>
      </c>
      <c r="I89" s="36">
        <f t="shared" si="15"/>
        <v>0</v>
      </c>
      <c r="J89" s="166"/>
    </row>
    <row r="90" spans="1:19" s="5" customFormat="1" outlineLevel="1">
      <c r="A90" s="5" t="str">
        <f t="shared" si="14"/>
        <v>Cancelado</v>
      </c>
      <c r="B90" s="5" t="e">
        <f>IF(#REF!&lt;=-1,1,IF(#REF!&lt;=5,2,IF(#REF!&lt;=15,3,IF(H90&lt;=60,4))))</f>
        <v>#REF!</v>
      </c>
      <c r="C90" s="123">
        <v>6856</v>
      </c>
      <c r="D90" s="57" t="s">
        <v>30</v>
      </c>
      <c r="E90" s="14">
        <f>406500</f>
        <v>406500</v>
      </c>
      <c r="F90" s="33">
        <v>46038</v>
      </c>
      <c r="G90" s="5" t="s">
        <v>12</v>
      </c>
      <c r="H90" s="5">
        <f>IF(OR(G90="Sin pagar",G90="Pagar"),NETWORKDAYS($I$11,F90,'Festivos Colombia'!$A$3:$A$22),0)</f>
        <v>0</v>
      </c>
      <c r="I90" s="36">
        <f t="shared" si="15"/>
        <v>0</v>
      </c>
      <c r="J90" s="166"/>
    </row>
    <row r="91" spans="1:19" s="5" customFormat="1" outlineLevel="1">
      <c r="A91" s="5" t="str">
        <f t="shared" si="14"/>
        <v>Cancelado</v>
      </c>
      <c r="B91" s="5" t="e">
        <f>IF(#REF!&lt;=-1,1,IF(#REF!&lt;=5,2,IF(#REF!&lt;=15,3,IF(H91&lt;=60,4))))</f>
        <v>#REF!</v>
      </c>
      <c r="C91" s="123">
        <v>6860</v>
      </c>
      <c r="D91" s="57" t="s">
        <v>30</v>
      </c>
      <c r="E91" s="14">
        <f>311500</f>
        <v>311500</v>
      </c>
      <c r="F91" s="33">
        <v>46038</v>
      </c>
      <c r="G91" s="5" t="s">
        <v>12</v>
      </c>
      <c r="H91" s="5">
        <f>IF(OR(G91="Sin pagar",G91="Pagar"),NETWORKDAYS($I$11,F91,'Festivos Colombia'!$A$3:$A$22),0)</f>
        <v>0</v>
      </c>
      <c r="I91" s="36">
        <f t="shared" si="15"/>
        <v>0</v>
      </c>
      <c r="J91" s="166"/>
    </row>
    <row r="92" spans="1:19" s="5" customFormat="1" ht="14.25" customHeight="1" outlineLevel="1">
      <c r="A92" s="5" t="str">
        <f t="shared" ref="A92" si="16">G92</f>
        <v>Cancelado</v>
      </c>
      <c r="B92" s="5" t="e">
        <f>IF(#REF!&lt;=-1,1,IF(#REF!&lt;=5,2,IF(#REF!&lt;=15,3,IF(H92&lt;=60,4))))</f>
        <v>#REF!</v>
      </c>
      <c r="C92" s="212" t="s">
        <v>231</v>
      </c>
      <c r="D92" s="57" t="s">
        <v>146</v>
      </c>
      <c r="E92" s="14">
        <f>467206</f>
        <v>467206</v>
      </c>
      <c r="F92" s="33">
        <v>46052</v>
      </c>
      <c r="G92" s="5" t="s">
        <v>12</v>
      </c>
      <c r="H92" s="5">
        <f>IF(OR(G92="Sin pagar",G92="Pagar"),NETWORKDAYS($I$11,F92,'Festivos Colombia'!$A$3:$A$22),0)</f>
        <v>0</v>
      </c>
      <c r="I92" s="36">
        <f t="shared" ref="I92" si="17">H92</f>
        <v>0</v>
      </c>
      <c r="J92" s="166"/>
    </row>
    <row r="93" spans="1:19" s="5" customFormat="1" ht="15.75" outlineLevel="1" thickBot="1">
      <c r="A93" s="5" t="str">
        <f t="shared" ref="A93" si="18">G93</f>
        <v>Sin Pagar</v>
      </c>
      <c r="B93" s="5" t="e">
        <f>IF(#REF!&lt;=-1,1,IF(#REF!&lt;=5,2,IF(#REF!&lt;=15,3,IF(H93&lt;=60,4))))</f>
        <v>#REF!</v>
      </c>
      <c r="C93" s="123">
        <v>6872</v>
      </c>
      <c r="D93" s="57" t="s">
        <v>30</v>
      </c>
      <c r="E93" s="14">
        <f>178500*0</f>
        <v>0</v>
      </c>
      <c r="F93" s="33">
        <v>46066</v>
      </c>
      <c r="G93" s="5" t="s">
        <v>19</v>
      </c>
      <c r="H93" s="5">
        <f>IF(OR(G93="Sin pagar",G93="Pagar"),NETWORKDAYS($I$11,F93,'Festivos Colombia'!$A$3:$A$22),0)</f>
        <v>30</v>
      </c>
      <c r="I93" s="36">
        <f t="shared" ref="I93" si="19">H93</f>
        <v>30</v>
      </c>
      <c r="J93" s="166"/>
    </row>
    <row r="94" spans="1:19" s="5" customFormat="1" ht="16.5" thickBot="1">
      <c r="D94" s="134" t="s">
        <v>31</v>
      </c>
      <c r="E94" s="135">
        <f>SUBTOTAL(9,E95:E99)</f>
        <v>1480382960</v>
      </c>
      <c r="K94" s="13"/>
      <c r="L94" s="13"/>
      <c r="M94" s="39"/>
      <c r="O94" s="13"/>
    </row>
    <row r="95" spans="1:19" s="12" customFormat="1" outlineLevel="1">
      <c r="A95" s="5" t="str">
        <f>G95</f>
        <v>Cancelado</v>
      </c>
      <c r="B95" s="5" t="e">
        <f>IF(#REF!&lt;=-1,1,IF(#REF!&lt;=5,2,IF(#REF!&lt;=15,3,IF(H95&lt;=60,4))))</f>
        <v>#REF!</v>
      </c>
      <c r="C95" s="37"/>
      <c r="D95" s="10" t="s">
        <v>188</v>
      </c>
      <c r="E95" s="11">
        <v>6405750</v>
      </c>
      <c r="F95" s="33">
        <v>46029</v>
      </c>
      <c r="G95" s="5" t="s">
        <v>12</v>
      </c>
      <c r="H95" s="5">
        <f>IF(OR(G95="Sin pagar",G95="Pagar"),NETWORKDAYS($I$11,F95,'Festivos Colombia'!$A$3:$A$22),0)</f>
        <v>0</v>
      </c>
      <c r="I95" s="36">
        <f t="shared" ref="I95:I98" si="20">H95</f>
        <v>0</v>
      </c>
      <c r="J95" s="128"/>
      <c r="K95" s="13"/>
      <c r="L95" s="5"/>
      <c r="M95" s="13"/>
      <c r="N95" s="129"/>
      <c r="O95" s="5"/>
    </row>
    <row r="96" spans="1:19" s="12" customFormat="1" outlineLevel="1">
      <c r="A96" s="5" t="str">
        <f>G96</f>
        <v>Cancelado</v>
      </c>
      <c r="B96" s="5" t="e">
        <f>IF(#REF!&lt;=-1,1,IF(#REF!&lt;=5,2,IF(#REF!&lt;=15,3,IF(H96&lt;=60,4))))</f>
        <v>#REF!</v>
      </c>
      <c r="C96" s="9" t="s">
        <v>233</v>
      </c>
      <c r="D96" s="10" t="s">
        <v>189</v>
      </c>
      <c r="E96" s="11">
        <v>815232</v>
      </c>
      <c r="F96" s="33">
        <v>46038</v>
      </c>
      <c r="G96" s="5" t="s">
        <v>12</v>
      </c>
      <c r="H96" s="5">
        <f>IF(OR(G96="Sin pagar",G96="Pagar"),NETWORKDAYS($I$11,F96,'Festivos Colombia'!$A$3:$A$22),0)</f>
        <v>0</v>
      </c>
      <c r="I96" s="36">
        <f t="shared" si="20"/>
        <v>0</v>
      </c>
      <c r="J96" s="185" t="s">
        <v>178</v>
      </c>
      <c r="K96" s="13"/>
      <c r="L96" s="13"/>
      <c r="M96" s="13"/>
      <c r="N96" s="5"/>
      <c r="O96" s="5"/>
    </row>
    <row r="97" spans="1:21" s="12" customFormat="1" outlineLevel="1">
      <c r="A97" s="5" t="str">
        <f t="shared" ref="A97:A98" si="21">G97</f>
        <v>Cancelado</v>
      </c>
      <c r="B97" s="5" t="e">
        <f>IF(#REF!&lt;=-1,1,IF(#REF!&lt;=5,2,IF(#REF!&lt;=15,3,IF(H97&lt;=60,4))))</f>
        <v>#REF!</v>
      </c>
      <c r="C97" s="9" t="s">
        <v>180</v>
      </c>
      <c r="D97" s="10" t="s">
        <v>157</v>
      </c>
      <c r="E97" s="11">
        <v>1463652441</v>
      </c>
      <c r="F97" s="157">
        <v>46050</v>
      </c>
      <c r="G97" s="5" t="s">
        <v>12</v>
      </c>
      <c r="H97" s="5">
        <f>IF(OR(G97="Sin pagar",G97="Pagar"),NETWORKDAYS($I$11,F97,'Festivos Colombia'!$A$3:$A$22),0)</f>
        <v>0</v>
      </c>
      <c r="I97" s="36">
        <f t="shared" si="20"/>
        <v>0</v>
      </c>
      <c r="J97" s="5"/>
      <c r="K97" s="13"/>
      <c r="L97" s="13"/>
      <c r="M97" s="13"/>
      <c r="N97" s="5"/>
      <c r="O97" s="5"/>
    </row>
    <row r="98" spans="1:21" s="12" customFormat="1" outlineLevel="1">
      <c r="A98" s="5" t="str">
        <f t="shared" si="21"/>
        <v>Cancelado</v>
      </c>
      <c r="B98" s="5" t="e">
        <f>IF(#REF!&lt;=-1,1,IF(#REF!&lt;=5,2,IF(#REF!&lt;=15,3,IF(H98&lt;=60,4))))</f>
        <v>#REF!</v>
      </c>
      <c r="C98" s="9" t="s">
        <v>238</v>
      </c>
      <c r="D98" s="10" t="s">
        <v>190</v>
      </c>
      <c r="E98" s="11">
        <v>1630464</v>
      </c>
      <c r="F98" s="157">
        <v>46050</v>
      </c>
      <c r="G98" s="5" t="s">
        <v>12</v>
      </c>
      <c r="H98" s="5">
        <f>IF(OR(G98="Sin pagar",G98="Pagar"),NETWORKDAYS($I$11,F98,'Festivos Colombia'!$A$3:$A$22),0)</f>
        <v>0</v>
      </c>
      <c r="I98" s="36">
        <f t="shared" si="20"/>
        <v>0</v>
      </c>
      <c r="J98" s="5"/>
      <c r="K98" s="13"/>
      <c r="L98" s="13"/>
      <c r="M98" s="13"/>
      <c r="N98" s="5"/>
      <c r="O98" s="5"/>
    </row>
    <row r="99" spans="1:21" s="12" customFormat="1" ht="15.75" outlineLevel="1" thickBot="1">
      <c r="A99" s="5" t="str">
        <f>G99</f>
        <v>Cancelado</v>
      </c>
      <c r="B99" s="5" t="e">
        <f>IF(#REF!&lt;=-1,1,IF(#REF!&lt;=5,2,IF(#REF!&lt;=15,3,IF(H99&lt;=60,4))))</f>
        <v>#REF!</v>
      </c>
      <c r="C99" s="37"/>
      <c r="D99" s="10" t="s">
        <v>246</v>
      </c>
      <c r="E99" s="11">
        <v>7879073</v>
      </c>
      <c r="F99" s="33">
        <v>46052</v>
      </c>
      <c r="G99" s="5" t="s">
        <v>12</v>
      </c>
      <c r="H99" s="5">
        <f>IF(OR(G99="Sin pagar",G99="Pagar"),NETWORKDAYS($I$11,F99,'Festivos Colombia'!$A$3:$A$22),0)</f>
        <v>0</v>
      </c>
      <c r="I99" s="36">
        <f t="shared" ref="I99" si="22">H99</f>
        <v>0</v>
      </c>
      <c r="J99" s="128"/>
      <c r="K99" s="13"/>
      <c r="L99" s="5"/>
      <c r="M99" s="13"/>
      <c r="N99" s="129"/>
      <c r="O99" s="5"/>
    </row>
    <row r="100" spans="1:21" s="5" customFormat="1" ht="16.5" thickBot="1">
      <c r="C100" s="9"/>
      <c r="D100" s="134" t="s">
        <v>32</v>
      </c>
      <c r="E100" s="135">
        <f>SUBTOTAL(9,E101:E105)</f>
        <v>45716452</v>
      </c>
      <c r="J100" s="128"/>
      <c r="K100" s="11"/>
      <c r="L100" s="13"/>
      <c r="M100" s="13"/>
      <c r="N100" s="129"/>
    </row>
    <row r="101" spans="1:21" s="12" customFormat="1" outlineLevel="1">
      <c r="A101" s="5" t="str">
        <f t="shared" ref="A101:A103" si="23">G101</f>
        <v>Cancelado</v>
      </c>
      <c r="B101" s="5" t="e">
        <f>IF(#REF!&lt;=-1,1,IF(#REF!&lt;=5,2,IF(#REF!&lt;=15,3,IF(H101&lt;=60,4))))</f>
        <v>#REF!</v>
      </c>
      <c r="C101" s="37" t="s">
        <v>100</v>
      </c>
      <c r="D101" s="10" t="s">
        <v>223</v>
      </c>
      <c r="E101" s="158">
        <v>8291057</v>
      </c>
      <c r="F101" s="33">
        <v>46036</v>
      </c>
      <c r="G101" s="5" t="s">
        <v>12</v>
      </c>
      <c r="H101" s="5">
        <f>IF(OR(G101="Sin pagar",G101="Pagar"),NETWORKDAYS($I$11,F101,'Festivos Colombia'!$A$3:$A$22),0)</f>
        <v>0</v>
      </c>
      <c r="I101" s="36">
        <f t="shared" ref="I101:I103" si="24">H101</f>
        <v>0</v>
      </c>
      <c r="J101" s="128"/>
      <c r="K101" s="13"/>
      <c r="L101" s="5"/>
      <c r="M101" s="13"/>
      <c r="N101" s="129"/>
      <c r="O101" s="5"/>
    </row>
    <row r="102" spans="1:21" s="12" customFormat="1" outlineLevel="1">
      <c r="A102" s="5" t="str">
        <f t="shared" si="23"/>
        <v>Cancelado</v>
      </c>
      <c r="B102" s="5" t="e">
        <f>IF(#REF!&lt;=-1,1,IF(#REF!&lt;=5,2,IF(#REF!&lt;=15,3,IF(H102&lt;=60,4))))</f>
        <v>#REF!</v>
      </c>
      <c r="C102" s="37" t="s">
        <v>100</v>
      </c>
      <c r="D102" s="10" t="s">
        <v>224</v>
      </c>
      <c r="E102" s="158">
        <v>6044770</v>
      </c>
      <c r="F102" s="33">
        <v>46036</v>
      </c>
      <c r="G102" s="5" t="s">
        <v>12</v>
      </c>
      <c r="H102" s="5">
        <f>IF(OR(G102="Sin pagar",G102="Pagar"),NETWORKDAYS($I$11,F102,'Festivos Colombia'!$A$3:$A$22),0)</f>
        <v>0</v>
      </c>
      <c r="I102" s="36">
        <f t="shared" si="24"/>
        <v>0</v>
      </c>
      <c r="J102" s="128"/>
      <c r="K102" s="13"/>
      <c r="L102" s="5"/>
      <c r="M102" s="13"/>
      <c r="N102" s="129"/>
      <c r="O102" s="5"/>
    </row>
    <row r="103" spans="1:21" s="12" customFormat="1" outlineLevel="1">
      <c r="A103" s="5" t="str">
        <f t="shared" si="23"/>
        <v>Cancelado</v>
      </c>
      <c r="B103" s="5" t="e">
        <f>IF(#REF!&lt;=-1,1,IF(#REF!&lt;=5,2,IF(#REF!&lt;=15,3,IF(H103&lt;=60,4))))</f>
        <v>#REF!</v>
      </c>
      <c r="C103" s="37" t="s">
        <v>100</v>
      </c>
      <c r="D103" s="10" t="s">
        <v>227</v>
      </c>
      <c r="E103" s="158">
        <v>13610885</v>
      </c>
      <c r="F103" s="33">
        <v>46038</v>
      </c>
      <c r="G103" s="5" t="s">
        <v>12</v>
      </c>
      <c r="H103" s="5">
        <f>IF(OR(G103="Sin pagar",G103="Pagar"),NETWORKDAYS($I$11,F103,'Festivos Colombia'!$A$3:$A$22),0)</f>
        <v>0</v>
      </c>
      <c r="I103" s="36">
        <f t="shared" si="24"/>
        <v>0</v>
      </c>
      <c r="J103" s="128"/>
      <c r="K103" s="13"/>
      <c r="L103" s="5"/>
      <c r="M103" s="13"/>
      <c r="N103" s="129"/>
      <c r="O103" s="5"/>
    </row>
    <row r="104" spans="1:21" s="12" customFormat="1" outlineLevel="1">
      <c r="A104" s="5" t="str">
        <f t="shared" ref="A104" si="25">G104</f>
        <v>Cancelado</v>
      </c>
      <c r="B104" s="5" t="e">
        <f>IF(#REF!&lt;=-1,1,IF(#REF!&lt;=5,2,IF(#REF!&lt;=15,3,IF(H104&lt;=60,4))))</f>
        <v>#REF!</v>
      </c>
      <c r="C104" s="37" t="s">
        <v>100</v>
      </c>
      <c r="D104" s="10" t="s">
        <v>250</v>
      </c>
      <c r="E104" s="158">
        <v>17769740</v>
      </c>
      <c r="F104" s="33">
        <v>46052</v>
      </c>
      <c r="G104" s="5" t="s">
        <v>12</v>
      </c>
      <c r="H104" s="5">
        <f>IF(OR(G104="Sin pagar",G104="Pagar"),NETWORKDAYS($I$11,F104,'Festivos Colombia'!$A$3:$A$22),0)</f>
        <v>0</v>
      </c>
      <c r="I104" s="36">
        <f t="shared" ref="I104" si="26">H104</f>
        <v>0</v>
      </c>
      <c r="J104" s="128"/>
      <c r="K104" s="13"/>
      <c r="L104" s="5"/>
      <c r="M104" s="13"/>
      <c r="N104" s="129"/>
      <c r="O104" s="5"/>
    </row>
    <row r="105" spans="1:21" s="12" customFormat="1" ht="15.75" outlineLevel="1" thickBot="1">
      <c r="A105" s="5" t="str">
        <f t="shared" ref="A105" si="27">G105</f>
        <v>Sin Pagar</v>
      </c>
      <c r="B105" s="5" t="e">
        <f>IF(#REF!&lt;=-1,1,IF(#REF!&lt;=5,2,IF(#REF!&lt;=15,3,IF(H105&lt;=60,4))))</f>
        <v>#REF!</v>
      </c>
      <c r="C105" s="37" t="s">
        <v>100</v>
      </c>
      <c r="D105" s="10" t="s">
        <v>191</v>
      </c>
      <c r="E105" s="158">
        <f>200401562*0</f>
        <v>0</v>
      </c>
      <c r="F105" s="33">
        <v>46059</v>
      </c>
      <c r="G105" s="5" t="s">
        <v>19</v>
      </c>
      <c r="H105" s="5">
        <f>IF(OR(G105="Sin pagar",G105="Pagar"),NETWORKDAYS($I$11,F105,'Festivos Colombia'!$A$3:$A$22),0)</f>
        <v>25</v>
      </c>
      <c r="I105" s="36">
        <f t="shared" ref="I105" si="28">H105</f>
        <v>25</v>
      </c>
      <c r="J105" s="128"/>
      <c r="K105" s="13"/>
      <c r="L105" s="5"/>
      <c r="M105" s="13"/>
      <c r="N105" s="129"/>
      <c r="O105" s="5"/>
    </row>
    <row r="106" spans="1:21" s="5" customFormat="1" ht="16.5" thickBot="1">
      <c r="C106" s="9"/>
      <c r="D106" s="134" t="s">
        <v>33</v>
      </c>
      <c r="E106" s="135">
        <f>SUBTOTAL(9,E107:E107)</f>
        <v>0</v>
      </c>
      <c r="F106" s="157"/>
      <c r="J106" s="130"/>
      <c r="K106" s="131"/>
      <c r="L106" s="13"/>
    </row>
    <row r="107" spans="1:21" s="5" customFormat="1" ht="15" customHeight="1" outlineLevel="1" thickBot="1">
      <c r="A107" s="5" t="str">
        <f t="shared" ref="A107" si="29">G107</f>
        <v>Cancelado</v>
      </c>
      <c r="B107" s="5" t="e">
        <f>IF(#REF!&lt;=-1,1,IF(#REF!&lt;=5,2,IF(#REF!&lt;=15,3,IF(H107&lt;=60,4))))</f>
        <v>#REF!</v>
      </c>
      <c r="C107" s="9"/>
      <c r="D107" s="10" t="s">
        <v>192</v>
      </c>
      <c r="E107" s="11">
        <v>0</v>
      </c>
      <c r="F107" s="33">
        <v>46053</v>
      </c>
      <c r="G107" s="5" t="s">
        <v>12</v>
      </c>
      <c r="H107" s="5">
        <f>IF(OR(G107="Sin pagar",G107="Pagar"),NETWORKDAYS($I$11,F107,'Festivos Colombia'!$A$3:$A$22),0)</f>
        <v>0</v>
      </c>
      <c r="I107" s="36">
        <f t="shared" ref="I107" si="30">H107</f>
        <v>0</v>
      </c>
      <c r="J107" s="132"/>
      <c r="K107" s="133"/>
      <c r="L107" s="131"/>
    </row>
    <row r="108" spans="1:21" s="5" customFormat="1" ht="15" customHeight="1">
      <c r="C108" s="9"/>
      <c r="D108" s="40" t="s">
        <v>34</v>
      </c>
      <c r="E108" s="137">
        <f>SUBTOTAL(9,E13:E107)</f>
        <v>2725665619.6999998</v>
      </c>
      <c r="F108" s="160"/>
      <c r="G108" s="161"/>
      <c r="L108" s="13"/>
      <c r="O108" s="1"/>
      <c r="S108" s="1"/>
      <c r="T108" s="1"/>
      <c r="U108" s="1"/>
    </row>
    <row r="109" spans="1:21" ht="15.75">
      <c r="B109" s="5"/>
      <c r="D109" s="118" t="s">
        <v>40</v>
      </c>
      <c r="E109" s="58">
        <f>(E108*4)/1000</f>
        <v>10902662.478799999</v>
      </c>
      <c r="F109" s="160"/>
      <c r="G109" s="161"/>
      <c r="H109" s="41"/>
      <c r="I109" s="41"/>
      <c r="J109" s="124"/>
    </row>
    <row r="110" spans="1:21" ht="15.75">
      <c r="B110" s="5"/>
      <c r="D110" s="120" t="s">
        <v>41</v>
      </c>
      <c r="E110" s="121">
        <f>E108+E109</f>
        <v>2736568282.1787996</v>
      </c>
      <c r="F110" s="160"/>
      <c r="G110" s="161" t="s">
        <v>19</v>
      </c>
      <c r="H110" s="41"/>
      <c r="I110" s="41"/>
      <c r="J110" s="124"/>
    </row>
    <row r="111" spans="1:21" ht="6" customHeight="1">
      <c r="B111" s="5"/>
      <c r="D111" s="118"/>
      <c r="E111" s="58"/>
      <c r="F111" s="28"/>
      <c r="G111" s="28"/>
      <c r="H111" s="41"/>
      <c r="I111" s="41"/>
    </row>
    <row r="112" spans="1:21" ht="6" customHeight="1">
      <c r="B112" s="5"/>
      <c r="D112" s="118"/>
      <c r="E112" s="58"/>
      <c r="F112" s="28"/>
      <c r="G112" s="28"/>
      <c r="H112" s="41"/>
      <c r="I112" s="41"/>
    </row>
    <row r="113" spans="1:24" ht="6" customHeight="1">
      <c r="B113" s="5"/>
      <c r="D113" s="118"/>
      <c r="E113" s="58"/>
      <c r="F113" s="28"/>
      <c r="G113" s="28"/>
      <c r="H113" s="41"/>
      <c r="I113" s="41"/>
    </row>
    <row r="114" spans="1:24" ht="15.75">
      <c r="B114" s="5"/>
      <c r="D114" s="42" t="s">
        <v>35</v>
      </c>
      <c r="E114" s="43">
        <f>E8-E108</f>
        <v>1660703484.2799997</v>
      </c>
      <c r="F114" s="28"/>
      <c r="G114" s="28"/>
      <c r="I114" s="44"/>
    </row>
    <row r="115" spans="1:24" s="5" customFormat="1" ht="15.75">
      <c r="A115" s="45"/>
      <c r="C115" s="46"/>
      <c r="D115" s="42" t="s">
        <v>36</v>
      </c>
      <c r="E115" s="47">
        <f>IF($E$8=0,0,E114/$E$8)</f>
        <v>0.3786055037578005</v>
      </c>
      <c r="F115" s="28"/>
      <c r="G115" s="28"/>
      <c r="H115" s="45"/>
      <c r="I115" s="49"/>
      <c r="J115" s="45"/>
      <c r="K115" s="45"/>
      <c r="L115" s="45"/>
      <c r="M115" s="45"/>
      <c r="N115" s="45"/>
      <c r="O115" s="1"/>
      <c r="P115" s="45"/>
      <c r="Q115" s="45"/>
      <c r="R115" s="45"/>
      <c r="S115" s="1"/>
      <c r="T115" s="1"/>
      <c r="U115" s="1"/>
    </row>
    <row r="116" spans="1:24" s="5" customFormat="1">
      <c r="A116" s="1"/>
      <c r="C116" s="2"/>
      <c r="D116" s="1"/>
      <c r="E116" s="3"/>
      <c r="F116" s="48"/>
      <c r="G116" s="119"/>
      <c r="H116" s="1"/>
      <c r="I116" s="4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6.75" customHeight="1" thickBot="1"/>
    <row r="118" spans="1:24" ht="15.75" thickBot="1">
      <c r="D118" s="146" t="s">
        <v>95</v>
      </c>
      <c r="E118" s="147" t="s">
        <v>96</v>
      </c>
    </row>
    <row r="119" spans="1:24">
      <c r="J119" s="44"/>
    </row>
    <row r="121" spans="1:24" ht="15.75" thickBot="1"/>
    <row r="122" spans="1:24">
      <c r="D122" s="169">
        <v>46027</v>
      </c>
      <c r="E122" s="177">
        <v>46034</v>
      </c>
      <c r="F122" s="172">
        <f t="shared" ref="F122:F129" si="31">SUMIFS($E$12:$E$117,$F$12:$F$117,"&gt;="&amp;D122,$F$12:$F$117,"&lt;="&amp;E122,$G$12:$G$117,$E$141)</f>
        <v>0</v>
      </c>
      <c r="G122" s="122" t="s">
        <v>117</v>
      </c>
      <c r="I122" s="152"/>
    </row>
    <row r="123" spans="1:24">
      <c r="D123" s="170">
        <v>46035</v>
      </c>
      <c r="E123" s="171">
        <v>46036</v>
      </c>
      <c r="F123" s="173">
        <f t="shared" si="31"/>
        <v>0</v>
      </c>
      <c r="G123" s="162"/>
      <c r="H123" s="162"/>
      <c r="I123" s="162"/>
    </row>
    <row r="124" spans="1:24">
      <c r="D124" s="170">
        <v>46037</v>
      </c>
      <c r="E124" s="171">
        <v>46037</v>
      </c>
      <c r="F124" s="173">
        <f t="shared" si="31"/>
        <v>0</v>
      </c>
      <c r="G124" s="162" t="s">
        <v>199</v>
      </c>
      <c r="I124" s="152"/>
    </row>
    <row r="125" spans="1:24">
      <c r="D125" s="170">
        <v>46038</v>
      </c>
      <c r="E125" s="178">
        <v>46038</v>
      </c>
      <c r="F125" s="173">
        <f t="shared" si="31"/>
        <v>0</v>
      </c>
      <c r="G125" s="162" t="s">
        <v>198</v>
      </c>
      <c r="I125" s="152"/>
    </row>
    <row r="126" spans="1:24">
      <c r="D126" s="170">
        <v>46039</v>
      </c>
      <c r="E126" s="178">
        <v>46040</v>
      </c>
      <c r="F126" s="173">
        <f t="shared" si="31"/>
        <v>0</v>
      </c>
      <c r="G126" s="122"/>
      <c r="I126" s="152"/>
    </row>
    <row r="127" spans="1:24">
      <c r="D127" s="170">
        <v>46041</v>
      </c>
      <c r="E127" s="178">
        <v>46047</v>
      </c>
      <c r="F127" s="173">
        <f t="shared" si="31"/>
        <v>0</v>
      </c>
      <c r="G127" s="162" t="s">
        <v>160</v>
      </c>
      <c r="I127" s="152"/>
    </row>
    <row r="128" spans="1:24">
      <c r="D128" s="170">
        <v>46048</v>
      </c>
      <c r="E128" s="178">
        <v>46053</v>
      </c>
      <c r="F128" s="173">
        <f t="shared" si="31"/>
        <v>0</v>
      </c>
      <c r="G128" s="122" t="s">
        <v>117</v>
      </c>
      <c r="I128" s="152"/>
      <c r="J128" s="44"/>
      <c r="K128" s="44"/>
      <c r="M128" s="44"/>
    </row>
    <row r="129" spans="4:13" ht="15.75" thickBot="1">
      <c r="D129" s="167">
        <v>46054</v>
      </c>
      <c r="E129" s="188">
        <v>46059</v>
      </c>
      <c r="F129" s="174">
        <f t="shared" si="31"/>
        <v>0</v>
      </c>
      <c r="G129" s="122"/>
      <c r="I129" s="152"/>
      <c r="J129" s="44"/>
      <c r="K129" s="44"/>
      <c r="M129" s="44"/>
    </row>
    <row r="130" spans="4:13" ht="15.75">
      <c r="D130" s="235" t="s">
        <v>98</v>
      </c>
      <c r="E130" s="236"/>
      <c r="F130" s="151">
        <f>SUM(F122:F129)</f>
        <v>0</v>
      </c>
      <c r="G130" s="44"/>
      <c r="I130" s="148"/>
    </row>
    <row r="131" spans="4:13">
      <c r="D131" s="237"/>
      <c r="E131" s="238"/>
    </row>
    <row r="132" spans="4:13">
      <c r="E132" s="1"/>
    </row>
    <row r="133" spans="4:13">
      <c r="D133" s="239" t="s">
        <v>196</v>
      </c>
      <c r="E133" s="232"/>
      <c r="F133" s="44">
        <f>SUM(F122:F127)</f>
        <v>0</v>
      </c>
      <c r="I133" s="44"/>
      <c r="J133" s="44"/>
    </row>
    <row r="134" spans="4:13" ht="21" customHeight="1">
      <c r="D134" s="232" t="s">
        <v>40</v>
      </c>
      <c r="E134" s="232"/>
      <c r="F134" s="150">
        <f>(F133*4)/1000</f>
        <v>0</v>
      </c>
      <c r="I134" s="44"/>
    </row>
    <row r="135" spans="4:13">
      <c r="D135" s="229" t="s">
        <v>25</v>
      </c>
      <c r="E135" s="229"/>
      <c r="F135" s="149">
        <f>SUM(F133:F134)</f>
        <v>0</v>
      </c>
      <c r="G135" s="152"/>
    </row>
    <row r="136" spans="4:13" ht="17.25" customHeight="1">
      <c r="F136" s="150"/>
      <c r="G136" s="165"/>
    </row>
    <row r="137" spans="4:13">
      <c r="D137" s="231">
        <v>46026</v>
      </c>
      <c r="E137" s="232"/>
      <c r="F137" s="182">
        <v>1660785183.28</v>
      </c>
      <c r="G137" s="182">
        <f>F137-E114</f>
        <v>81699.000000238419</v>
      </c>
      <c r="I137" s="182"/>
      <c r="J137" s="182"/>
      <c r="K137" s="159"/>
    </row>
    <row r="138" spans="4:13">
      <c r="E138" s="186" t="s">
        <v>126</v>
      </c>
      <c r="F138" s="183">
        <f>F137-F135</f>
        <v>1660785183.28</v>
      </c>
      <c r="I138" s="44"/>
    </row>
    <row r="141" spans="4:13">
      <c r="E141" s="3" t="s">
        <v>19</v>
      </c>
      <c r="F141" s="44">
        <f>SUMIFS($E$12:$E$117,$F$12:$F$117,"&gt;="&amp;D122,$F$12:$F$117,"&lt;="&amp;$E$129,$G$12:$G$117,$E$141)</f>
        <v>0</v>
      </c>
    </row>
    <row r="142" spans="4:13">
      <c r="E142" s="3" t="s">
        <v>12</v>
      </c>
      <c r="F142" s="44">
        <f>SUMIFS($E$12:$E$117,$F$12:$F$117,"&gt;="&amp;D122,$F$12:$F$117,"&lt;="&amp;$E$129,$G$12:$G$117,$E$142)</f>
        <v>2725665619.6999998</v>
      </c>
    </row>
    <row r="143" spans="4:13">
      <c r="E143" s="58" t="s">
        <v>25</v>
      </c>
      <c r="F143" s="49">
        <f>SUM(F141:F142)</f>
        <v>2725665619.6999998</v>
      </c>
    </row>
    <row r="144" spans="4:13">
      <c r="E144" s="3" t="s">
        <v>143</v>
      </c>
      <c r="F144" s="44">
        <f>E108-F143</f>
        <v>0</v>
      </c>
    </row>
    <row r="147" spans="5:6">
      <c r="E147" s="153"/>
      <c r="F147" s="182"/>
    </row>
    <row r="148" spans="5:6">
      <c r="E148" s="153" t="s">
        <v>197</v>
      </c>
      <c r="F148" s="182">
        <v>504461843</v>
      </c>
    </row>
    <row r="149" spans="5:6">
      <c r="E149" s="153"/>
      <c r="F149" s="11"/>
    </row>
    <row r="150" spans="5:6" ht="15.75" customHeight="1">
      <c r="E150" s="153"/>
      <c r="F150" s="150"/>
    </row>
    <row r="151" spans="5:6">
      <c r="E151" s="153"/>
      <c r="F151" s="168"/>
    </row>
    <row r="152" spans="5:6">
      <c r="E152" s="58"/>
      <c r="F152" s="49"/>
    </row>
    <row r="153" spans="5:6">
      <c r="F153" s="179"/>
    </row>
    <row r="154" spans="5:6">
      <c r="E154" s="183"/>
      <c r="F154" s="184"/>
    </row>
    <row r="158" spans="5:6">
      <c r="F158" s="168"/>
    </row>
    <row r="159" spans="5:6">
      <c r="F159" s="168"/>
    </row>
    <row r="160" spans="5:6">
      <c r="F160" s="168"/>
    </row>
  </sheetData>
  <protectedRanges>
    <protectedRange sqref="F8:G8 E14 E116 F111:G115 E5:F5 E7:F7 E81:E82 E88:E93 E26:E28 E18:E20" name="Presupuestos"/>
    <protectedRange sqref="E12" name="Presupuestos_1"/>
    <protectedRange sqref="E84 J84" name="Presupuestos_7"/>
    <protectedRange sqref="K100 F149 E86 E95:E99 E101:E105" name="Presupuestos_6_1_1"/>
    <protectedRange sqref="K22:L24" name="Presupuestos_1_1_1_1_1_1_2_1_1"/>
    <protectedRange sqref="E38 E30:E36" name="Presupuestos_3"/>
    <protectedRange sqref="E107" name="Presupuestos_6_1_1_1_2_1"/>
    <protectedRange sqref="E22:E23" name="Presupuestos_1_1_1_1_1_1_2_1_1_3_1_1"/>
    <protectedRange sqref="E74:E79" name="Presupuestos_2_2_1_1_1"/>
    <protectedRange sqref="E40:E72" name="Presupuestos_2_2_1_1_3"/>
    <protectedRange sqref="E37" name="Presupuestos_3_1"/>
    <protectedRange sqref="E24" name="Presupuestos_1_1_1_1_1_1_2_1_1_3_1_1_1"/>
  </protectedRanges>
  <autoFilter ref="C12:I115" xr:uid="{713DEDF4-24B5-48DE-A5F0-5E5AF7CE9B8E}"/>
  <mergeCells count="9">
    <mergeCell ref="D135:E135"/>
    <mergeCell ref="D137:E137"/>
    <mergeCell ref="C11:D11"/>
    <mergeCell ref="F11:G11"/>
    <mergeCell ref="T21:U21"/>
    <mergeCell ref="D130:E130"/>
    <mergeCell ref="D131:E131"/>
    <mergeCell ref="D133:E133"/>
    <mergeCell ref="D134:E134"/>
  </mergeCells>
  <conditionalFormatting sqref="I14 I16 I22:I107">
    <cfRule type="cellIs" dxfId="59" priority="9" operator="lessThan">
      <formula>0</formula>
    </cfRule>
    <cfRule type="cellIs" dxfId="58" priority="10" operator="between">
      <formula>6</formula>
      <formula>15</formula>
    </cfRule>
    <cfRule type="cellIs" dxfId="57" priority="11" operator="between">
      <formula>1</formula>
      <formula>5</formula>
    </cfRule>
    <cfRule type="cellIs" dxfId="56" priority="12" operator="between">
      <formula>16</formula>
      <formula>60</formula>
    </cfRule>
  </conditionalFormatting>
  <conditionalFormatting sqref="I18:I20">
    <cfRule type="cellIs" dxfId="55" priority="5" operator="lessThan">
      <formula>0</formula>
    </cfRule>
    <cfRule type="cellIs" dxfId="54" priority="6" operator="between">
      <formula>6</formula>
      <formula>15</formula>
    </cfRule>
    <cfRule type="cellIs" dxfId="53" priority="7" operator="between">
      <formula>1</formula>
      <formula>5</formula>
    </cfRule>
    <cfRule type="cellIs" dxfId="52" priority="8" operator="between">
      <formula>16</formula>
      <formula>60</formula>
    </cfRule>
  </conditionalFormatting>
  <conditionalFormatting sqref="I116">
    <cfRule type="cellIs" dxfId="51" priority="13" operator="lessThan">
      <formula>0</formula>
    </cfRule>
    <cfRule type="cellIs" dxfId="50" priority="14" operator="between">
      <formula>6</formula>
      <formula>15</formula>
    </cfRule>
    <cfRule type="cellIs" dxfId="49" priority="15" operator="between">
      <formula>1</formula>
      <formula>5</formula>
    </cfRule>
    <cfRule type="cellIs" dxfId="48" priority="16" operator="between">
      <formula>16</formula>
      <formula>60</formula>
    </cfRule>
  </conditionalFormatting>
  <dataValidations disablePrompts="1" count="3">
    <dataValidation type="list" allowBlank="1" showInputMessage="1" showErrorMessage="1" sqref="C18:C20" xr:uid="{38ECADC9-1712-481B-814A-FBFD1AC65BB2}">
      <formula1>"0,1"</formula1>
    </dataValidation>
    <dataValidation type="list" allowBlank="1" showInputMessage="1" showErrorMessage="1" sqref="G88:G93 G84 G74:G82 G14:G16 E140:E142 G30:G38 G22:G24 G101:G110 G40:G72 G26:G28 G86 G95:G99 G18:G20" xr:uid="{71E0E2C6-7CC9-4D23-A6DE-63AFC7479F74}">
      <formula1>"Cancelado,Pagar,Sin Pagar"</formula1>
    </dataValidation>
    <dataValidation type="list" allowBlank="1" showInputMessage="1" showErrorMessage="1" sqref="E11" xr:uid="{6A4519ED-3798-4470-93AD-ADC3ACD173C4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ignoredErrors>
    <ignoredError sqref="I80:I85 I73:I77 I104:I107 I93:I98 I87:I91 I20:I26 I29:I65 I100:I102 I14:I18" unlockedFormula="1"/>
    <ignoredError sqref="C26:C27" numberStoredAsText="1"/>
    <ignoredError sqref="E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6AB4-BAED-40F1-96C7-2083FCA8D03D}">
  <dimension ref="A1:X170"/>
  <sheetViews>
    <sheetView showGridLines="0" topLeftCell="C2" zoomScaleNormal="100" workbookViewId="0">
      <selection activeCell="E7" sqref="E7"/>
    </sheetView>
  </sheetViews>
  <sheetFormatPr baseColWidth="10" defaultColWidth="11.42578125" defaultRowHeight="15" outlineLevelRow="1"/>
  <cols>
    <col min="1" max="1" width="10.140625" style="1" hidden="1" customWidth="1"/>
    <col min="2" max="2" width="6.5703125" style="1" hidden="1" customWidth="1"/>
    <col min="3" max="3" width="19.140625" style="2" customWidth="1"/>
    <col min="4" max="4" width="95.7109375" style="1" customWidth="1"/>
    <col min="5" max="5" width="31.85546875" style="3" customWidth="1"/>
    <col min="6" max="6" width="21" style="1" customWidth="1"/>
    <col min="7" max="7" width="20" style="1" bestFit="1" customWidth="1"/>
    <col min="8" max="8" width="7.7109375" style="1" hidden="1" customWidth="1"/>
    <col min="9" max="9" width="19.42578125" style="1" bestFit="1" customWidth="1"/>
    <col min="10" max="10" width="31.28515625" style="1" customWidth="1"/>
    <col min="11" max="11" width="21.5703125" style="1" bestFit="1" customWidth="1"/>
    <col min="12" max="12" width="3.140625" style="1" customWidth="1"/>
    <col min="13" max="13" width="15.7109375" style="1" customWidth="1"/>
    <col min="14" max="14" width="15.28515625" style="1" bestFit="1" customWidth="1"/>
    <col min="15" max="15" width="13.85546875" style="1" bestFit="1" customWidth="1"/>
    <col min="16" max="16" width="13.28515625" style="1" bestFit="1" customWidth="1"/>
    <col min="17" max="17" width="14" style="1" bestFit="1" customWidth="1"/>
    <col min="18" max="18" width="11.42578125" style="1"/>
    <col min="19" max="19" width="9.140625" style="1" customWidth="1"/>
    <col min="20" max="20" width="26.140625" style="1" customWidth="1"/>
    <col min="21" max="21" width="19.28515625" style="1" bestFit="1" customWidth="1"/>
    <col min="22" max="22" width="15.28515625" style="1" bestFit="1" customWidth="1"/>
    <col min="23" max="23" width="14" style="1" bestFit="1" customWidth="1"/>
    <col min="24" max="24" width="13" style="1" bestFit="1" customWidth="1"/>
    <col min="25" max="16384" width="11.42578125" style="1"/>
  </cols>
  <sheetData>
    <row r="1" spans="1:24" hidden="1">
      <c r="E1" s="3">
        <v>42400</v>
      </c>
    </row>
    <row r="2" spans="1:24">
      <c r="E2" s="4"/>
    </row>
    <row r="3" spans="1:24">
      <c r="E3" s="4"/>
    </row>
    <row r="4" spans="1:24" s="6" customFormat="1" ht="15.75">
      <c r="D4" s="7" t="s">
        <v>0</v>
      </c>
      <c r="E4" s="8">
        <f>SUBTOTAL(9,E5:E5)</f>
        <v>1660703484.2799997</v>
      </c>
      <c r="F4" s="55"/>
      <c r="G4" s="1"/>
      <c r="H4" s="1"/>
      <c r="I4" s="1"/>
      <c r="J4" s="1"/>
      <c r="K4" s="1"/>
      <c r="L4" s="1"/>
      <c r="M4" s="1"/>
    </row>
    <row r="5" spans="1:24" s="5" customFormat="1" outlineLevel="1">
      <c r="C5" s="9"/>
      <c r="D5" s="10" t="s">
        <v>131</v>
      </c>
      <c r="E5" s="11">
        <f>ENERO!$E$114</f>
        <v>1660703484.2799997</v>
      </c>
      <c r="F5" s="11"/>
      <c r="G5" s="44"/>
      <c r="H5" s="1"/>
      <c r="I5" s="44"/>
      <c r="J5" s="44"/>
      <c r="K5" s="1"/>
      <c r="L5" s="1"/>
      <c r="M5" s="1"/>
    </row>
    <row r="6" spans="1:24" s="5" customFormat="1" ht="15.75">
      <c r="C6" s="9"/>
      <c r="D6" s="7" t="s">
        <v>97</v>
      </c>
      <c r="E6" s="8">
        <f>SUBTOTAL(9,E7:E7)</f>
        <v>2857137770.9400001</v>
      </c>
      <c r="G6" s="49"/>
      <c r="H6" s="1"/>
      <c r="I6" s="44"/>
      <c r="J6" s="1"/>
      <c r="K6" s="1"/>
      <c r="L6" s="1"/>
      <c r="M6" s="1"/>
    </row>
    <row r="7" spans="1:24" s="5" customFormat="1" outlineLevel="1">
      <c r="C7" s="9"/>
      <c r="D7" s="10" t="s">
        <v>253</v>
      </c>
      <c r="E7" s="11">
        <f>22812718.88+65000000+244115339.06+2385335023+116957872+22916818</f>
        <v>2857137770.9400001</v>
      </c>
      <c r="F7" s="176"/>
      <c r="G7" s="44"/>
      <c r="H7" s="1"/>
      <c r="I7" s="44"/>
      <c r="J7" s="54"/>
      <c r="K7" s="1"/>
      <c r="L7" s="1"/>
      <c r="M7" s="1"/>
    </row>
    <row r="8" spans="1:24" s="5" customFormat="1" ht="15" customHeight="1">
      <c r="C8" s="9"/>
      <c r="D8" s="17" t="s">
        <v>127</v>
      </c>
      <c r="E8" s="18">
        <f>SUBTOTAL(9,E4:E7)</f>
        <v>4517841255.2199993</v>
      </c>
      <c r="F8" s="28"/>
      <c r="G8" s="28"/>
      <c r="H8" s="1"/>
      <c r="I8" s="1"/>
      <c r="J8" s="1"/>
      <c r="K8" s="1"/>
      <c r="L8" s="1"/>
      <c r="M8" s="1"/>
      <c r="T8" s="19"/>
      <c r="U8" s="20"/>
      <c r="V8" s="15"/>
    </row>
    <row r="9" spans="1:24" s="5" customFormat="1" ht="15.75">
      <c r="C9" s="9"/>
      <c r="D9" s="95"/>
      <c r="E9" s="96"/>
      <c r="G9" s="1"/>
      <c r="H9" s="1"/>
      <c r="I9" s="1"/>
      <c r="J9" s="1"/>
      <c r="K9" s="1"/>
      <c r="L9" s="1"/>
      <c r="M9" s="1"/>
      <c r="T9" s="20"/>
      <c r="U9" s="20"/>
    </row>
    <row r="10" spans="1:24" s="5" customFormat="1" ht="15.75">
      <c r="C10" s="9"/>
      <c r="J10" s="13"/>
      <c r="S10" s="21"/>
      <c r="T10" s="22"/>
      <c r="U10" s="23"/>
    </row>
    <row r="11" spans="1:24" s="5" customFormat="1" ht="15.75">
      <c r="C11" s="233" t="s">
        <v>1</v>
      </c>
      <c r="D11" s="233"/>
      <c r="E11" s="24" t="s">
        <v>254</v>
      </c>
      <c r="F11" s="233" t="s">
        <v>2</v>
      </c>
      <c r="G11" s="233"/>
      <c r="H11" s="24"/>
      <c r="I11" s="25">
        <v>46054</v>
      </c>
      <c r="J11" s="13"/>
      <c r="K11" s="23"/>
      <c r="L11" s="23"/>
      <c r="M11" s="23"/>
      <c r="N11" s="23"/>
      <c r="O11" s="23"/>
      <c r="S11" s="21"/>
      <c r="W11" s="13"/>
      <c r="X11" s="13"/>
    </row>
    <row r="12" spans="1:24" s="5" customFormat="1" ht="16.5" thickBot="1">
      <c r="C12" s="26" t="s">
        <v>3</v>
      </c>
      <c r="D12" s="27" t="s">
        <v>4</v>
      </c>
      <c r="E12" s="28" t="s">
        <v>5</v>
      </c>
      <c r="F12" s="29" t="s">
        <v>6</v>
      </c>
      <c r="G12" s="21" t="s">
        <v>7</v>
      </c>
      <c r="H12" s="21"/>
      <c r="I12" s="30" t="s">
        <v>8</v>
      </c>
      <c r="J12" s="30" t="s">
        <v>9</v>
      </c>
      <c r="S12" s="31"/>
      <c r="W12" s="13"/>
      <c r="X12" s="32"/>
    </row>
    <row r="13" spans="1:24" s="5" customFormat="1" ht="16.5" thickBot="1">
      <c r="D13" s="134" t="s">
        <v>10</v>
      </c>
      <c r="E13" s="135">
        <f>SUBTOTAL(9,E14)</f>
        <v>25815079</v>
      </c>
      <c r="J13" s="13"/>
    </row>
    <row r="14" spans="1:24" s="5" customFormat="1" ht="15.75" outlineLevel="1" thickBot="1">
      <c r="A14" s="5" t="str">
        <f>G14</f>
        <v>Cancelado</v>
      </c>
      <c r="B14" s="5" t="e">
        <f>IF(#REF!&lt;=-1,1,IF(#REF!&lt;=5,2,IF(#REF!&lt;=15,3,IF(H14&lt;=60,4))))</f>
        <v>#REF!</v>
      </c>
      <c r="C14" s="9" t="s">
        <v>100</v>
      </c>
      <c r="D14" s="10" t="s">
        <v>99</v>
      </c>
      <c r="E14" s="11">
        <v>25815079</v>
      </c>
      <c r="F14" s="163">
        <v>46079</v>
      </c>
      <c r="G14" s="5" t="s">
        <v>12</v>
      </c>
      <c r="H14" s="5">
        <f>IF(OR(G14="Sin pagar",G14="Pagar"),NETWORKDAYS($I$11,F14,'Festivos Colombia'!$A$3:$A$22),0)</f>
        <v>0</v>
      </c>
      <c r="I14" s="34">
        <f t="shared" ref="I14" si="0">H14</f>
        <v>0</v>
      </c>
    </row>
    <row r="15" spans="1:24" s="5" customFormat="1" ht="16.5" thickBot="1">
      <c r="C15" s="9"/>
      <c r="D15" s="134" t="s">
        <v>13</v>
      </c>
      <c r="E15" s="135">
        <f>SUBTOTAL(9,E16:E16)</f>
        <v>553473400</v>
      </c>
      <c r="F15" s="33"/>
      <c r="I15" s="34"/>
    </row>
    <row r="16" spans="1:24" s="5" customFormat="1" ht="15.75" outlineLevel="1" thickBot="1">
      <c r="A16" s="5" t="str">
        <f t="shared" ref="A16" si="1">G16</f>
        <v>Cancelado</v>
      </c>
      <c r="B16" s="5" t="e">
        <f>IF(#REF!&lt;=-1,1,IF(#REF!&lt;=5,2,IF(#REF!&lt;=15,3,IF(H16&lt;=60,4))))</f>
        <v>#REF!</v>
      </c>
      <c r="C16" s="9"/>
      <c r="D16" s="10" t="s">
        <v>103</v>
      </c>
      <c r="E16" s="11">
        <v>553473400</v>
      </c>
      <c r="F16" s="33">
        <v>46065</v>
      </c>
      <c r="G16" s="5" t="s">
        <v>12</v>
      </c>
      <c r="H16" s="5">
        <f>IF(OR(G16="Sin pagar",G16="Pagar"),NETWORKDAYS($I$11,F16,'Festivos Colombia'!$A$3:$A$22),0)</f>
        <v>0</v>
      </c>
      <c r="I16" s="34">
        <f t="shared" ref="I16" si="2">H16</f>
        <v>0</v>
      </c>
      <c r="J16" s="14"/>
      <c r="K16" s="13"/>
      <c r="L16" s="13"/>
      <c r="M16" s="144"/>
    </row>
    <row r="17" spans="1:21" s="5" customFormat="1" ht="16.5" thickBot="1">
      <c r="C17" s="9"/>
      <c r="D17" s="134" t="s">
        <v>14</v>
      </c>
      <c r="E17" s="135">
        <f>SUBTOTAL(9,E18:E19)</f>
        <v>69505500</v>
      </c>
      <c r="J17" s="35"/>
      <c r="K17" s="13"/>
      <c r="L17" s="13"/>
    </row>
    <row r="18" spans="1:21" s="5" customFormat="1" outlineLevel="1">
      <c r="A18" s="5" t="str">
        <f>G18</f>
        <v>Cancelado</v>
      </c>
      <c r="B18" s="5" t="e">
        <f>IF(#REF!&lt;=-1,1,IF(#REF!&lt;=5,2,IF(#REF!&lt;=15,3,IF(H18&lt;=60,4))))</f>
        <v>#REF!</v>
      </c>
      <c r="C18" s="9">
        <v>1</v>
      </c>
      <c r="D18" s="10" t="s">
        <v>109</v>
      </c>
      <c r="E18" s="11">
        <v>19300000</v>
      </c>
      <c r="F18" s="163">
        <v>46080</v>
      </c>
      <c r="G18" s="5" t="s">
        <v>12</v>
      </c>
      <c r="H18" s="5">
        <f>IF(OR(G18="Sin pagar",G18="Pagar"),NETWORKDAYS($I$11,F18,'Festivos Colombia'!$A$3:$A$22),0)</f>
        <v>0</v>
      </c>
      <c r="I18" s="36">
        <f>H18</f>
        <v>0</v>
      </c>
      <c r="K18" s="13"/>
      <c r="L18" s="13"/>
    </row>
    <row r="19" spans="1:21" s="5" customFormat="1" ht="15.75" outlineLevel="1" thickBot="1">
      <c r="A19" s="5" t="str">
        <f>G19</f>
        <v>Cancelado</v>
      </c>
      <c r="B19" s="5" t="e">
        <f>IF(#REF!&lt;=-1,1,IF(#REF!&lt;=5,2,IF(#REF!&lt;=15,3,IF(H19&lt;=60,4))))</f>
        <v>#REF!</v>
      </c>
      <c r="C19" s="9">
        <v>1</v>
      </c>
      <c r="D19" s="10" t="s">
        <v>101</v>
      </c>
      <c r="E19" s="11">
        <v>50205500</v>
      </c>
      <c r="F19" s="163">
        <v>46077</v>
      </c>
      <c r="G19" s="5" t="s">
        <v>12</v>
      </c>
      <c r="H19" s="5">
        <f>IF(OR(G19="Sin pagar",G19="Pagar"),NETWORKDAYS($I$11,F19,'Festivos Colombia'!$A$3:$A$22),0)</f>
        <v>0</v>
      </c>
      <c r="I19" s="36">
        <f>H19</f>
        <v>0</v>
      </c>
      <c r="J19" s="13"/>
      <c r="K19" s="13"/>
      <c r="L19" s="13"/>
      <c r="M19" s="13"/>
      <c r="N19" s="13"/>
      <c r="P19" s="13"/>
      <c r="Q19" s="13"/>
    </row>
    <row r="20" spans="1:21" s="5" customFormat="1" ht="16.5" thickBot="1">
      <c r="C20" s="9"/>
      <c r="D20" s="134" t="s">
        <v>15</v>
      </c>
      <c r="E20" s="135">
        <f>SUBTOTAL(9,E21:E22)</f>
        <v>261448000</v>
      </c>
      <c r="H20" s="5">
        <f>IF(OR(G20="Sin pagar",G20="Pagar"),NETWORKDAYS($I$11,F20,'Festivos Colombia'!$A$3:$A$22),0)</f>
        <v>0</v>
      </c>
      <c r="I20" s="34">
        <f t="shared" ref="I20:I22" si="3">H20</f>
        <v>0</v>
      </c>
      <c r="J20" s="13"/>
      <c r="T20" s="234"/>
      <c r="U20" s="234"/>
    </row>
    <row r="21" spans="1:21" s="5" customFormat="1" outlineLevel="1">
      <c r="A21" s="5" t="str">
        <f>G21</f>
        <v>Cancelado</v>
      </c>
      <c r="B21" s="5" t="e">
        <f>IF(#REF!&lt;=-1,1,IF(#REF!&lt;=5,2,IF(#REF!&lt;=15,3,IF(H21&lt;=60,4))))</f>
        <v>#REF!</v>
      </c>
      <c r="C21" s="9"/>
      <c r="D21" s="57" t="s">
        <v>16</v>
      </c>
      <c r="E21" s="14">
        <v>258734000</v>
      </c>
      <c r="F21" s="33">
        <v>46065</v>
      </c>
      <c r="G21" s="5" t="s">
        <v>12</v>
      </c>
      <c r="H21" s="5">
        <f>IF(OR(G21="Sin pagar",G21="Pagar"),NETWORKDAYS($I$11,F21,'Festivos Colombia'!$A$3:$A$22),0)</f>
        <v>0</v>
      </c>
      <c r="I21" s="34">
        <f t="shared" si="3"/>
        <v>0</v>
      </c>
      <c r="J21" s="145"/>
      <c r="K21" s="16"/>
      <c r="L21" s="16"/>
      <c r="M21" s="13"/>
      <c r="U21" s="56"/>
    </row>
    <row r="22" spans="1:21" s="5" customFormat="1" ht="15.75" outlineLevel="1" thickBot="1">
      <c r="A22" s="5" t="str">
        <f>G22</f>
        <v>Cancelado</v>
      </c>
      <c r="B22" s="5" t="e">
        <f>IF(#REF!&lt;=-1,1,IF(#REF!&lt;=5,2,IF(#REF!&lt;=15,3,IF(H22&lt;=60,4))))</f>
        <v>#REF!</v>
      </c>
      <c r="C22" s="9"/>
      <c r="D22" s="57" t="s">
        <v>255</v>
      </c>
      <c r="E22" s="11">
        <v>2714000</v>
      </c>
      <c r="F22" s="33">
        <v>46077</v>
      </c>
      <c r="G22" s="5" t="s">
        <v>12</v>
      </c>
      <c r="H22" s="5">
        <f>IF(OR(G22="Sin pagar",G22="Pagar"),NETWORKDAYS($I$11,F22,'Festivos Colombia'!$A$3:$A$22),0)</f>
        <v>0</v>
      </c>
      <c r="I22" s="34">
        <f t="shared" si="3"/>
        <v>0</v>
      </c>
      <c r="J22" s="145"/>
      <c r="K22" s="16"/>
      <c r="L22" s="16"/>
      <c r="M22" s="13"/>
      <c r="U22" s="56"/>
    </row>
    <row r="23" spans="1:21" s="5" customFormat="1" ht="16.5" thickBot="1">
      <c r="D23" s="134" t="s">
        <v>17</v>
      </c>
      <c r="E23" s="135">
        <f>SUBTOTAL(9,E24:E29)</f>
        <v>14951682</v>
      </c>
      <c r="H23" s="5">
        <f>IF(OR(G23="Sin pagar",G23="Pagar"),NETWORKDAYS($I$11,F23,'Festivos Colombia'!$A$3:$A$22),0)</f>
        <v>0</v>
      </c>
      <c r="K23" s="12"/>
      <c r="L23" s="12"/>
      <c r="M23" s="12"/>
      <c r="N23" s="12"/>
      <c r="O23" s="12"/>
      <c r="T23" s="12"/>
      <c r="U23" s="12"/>
    </row>
    <row r="24" spans="1:21" s="5" customFormat="1" ht="14.25" customHeight="1" outlineLevel="1">
      <c r="A24" s="5" t="str">
        <f t="shared" ref="A24:A29" si="4">G24</f>
        <v>Cancelado</v>
      </c>
      <c r="B24" s="5" t="e">
        <f>IF(#REF!&lt;=-1,1,IF(#REF!&lt;=5,2,IF(#REF!&lt;=15,3,IF(H24&lt;=60,4))))</f>
        <v>#REF!</v>
      </c>
      <c r="C24" s="175" t="s">
        <v>280</v>
      </c>
      <c r="D24" s="10" t="s">
        <v>43</v>
      </c>
      <c r="E24" s="14">
        <v>576588</v>
      </c>
      <c r="F24" s="33">
        <v>46078</v>
      </c>
      <c r="G24" s="5" t="s">
        <v>12</v>
      </c>
      <c r="H24" s="5">
        <f>IF(OR(G24="Sin pagar",G24="Pagar"),NETWORKDAYS($I$11,F24,'Festivos Colombia'!$A$3:$A$22),0)</f>
        <v>0</v>
      </c>
      <c r="I24" s="36">
        <f t="shared" ref="I24" si="5">H24</f>
        <v>0</v>
      </c>
      <c r="J24" s="166"/>
      <c r="K24" s="154"/>
      <c r="L24" s="12"/>
      <c r="M24" s="12"/>
      <c r="N24" s="12"/>
      <c r="O24" s="12"/>
      <c r="T24" s="12"/>
      <c r="U24" s="12"/>
    </row>
    <row r="25" spans="1:21" s="5" customFormat="1" ht="14.25" customHeight="1" outlineLevel="1">
      <c r="A25" s="5" t="str">
        <f t="shared" si="4"/>
        <v>Cancelado</v>
      </c>
      <c r="B25" s="5" t="e">
        <f>IF(#REF!&lt;=-1,1,IF(#REF!&lt;=5,2,IF(#REF!&lt;=15,3,IF(H25&lt;=60,4))))</f>
        <v>#REF!</v>
      </c>
      <c r="C25" s="175" t="s">
        <v>281</v>
      </c>
      <c r="D25" s="10" t="s">
        <v>43</v>
      </c>
      <c r="E25" s="14">
        <v>165038</v>
      </c>
      <c r="F25" s="33">
        <v>46078</v>
      </c>
      <c r="G25" s="5" t="s">
        <v>12</v>
      </c>
      <c r="H25" s="5">
        <f>IF(OR(G25="Sin pagar",G25="Pagar"),NETWORKDAYS($I$11,F25,'Festivos Colombia'!$A$3:$A$22),0)</f>
        <v>0</v>
      </c>
      <c r="I25" s="36">
        <f t="shared" ref="I25:I28" si="6">H25</f>
        <v>0</v>
      </c>
      <c r="J25" s="166"/>
      <c r="K25" s="154"/>
      <c r="L25" s="12"/>
      <c r="M25" s="12"/>
      <c r="N25" s="12"/>
      <c r="O25" s="12"/>
      <c r="T25" s="12"/>
      <c r="U25" s="12"/>
    </row>
    <row r="26" spans="1:21" s="5" customFormat="1" ht="14.25" customHeight="1" outlineLevel="1">
      <c r="A26" s="5" t="str">
        <f t="shared" si="4"/>
        <v>Cancelado</v>
      </c>
      <c r="B26" s="5" t="e">
        <f>IF(#REF!&lt;=-1,1,IF(#REF!&lt;=5,2,IF(#REF!&lt;=15,3,IF(H26&lt;=60,4))))</f>
        <v>#REF!</v>
      </c>
      <c r="C26" s="175" t="s">
        <v>279</v>
      </c>
      <c r="D26" s="10" t="s">
        <v>43</v>
      </c>
      <c r="E26" s="14">
        <v>169028</v>
      </c>
      <c r="F26" s="33">
        <v>46078</v>
      </c>
      <c r="G26" s="5" t="s">
        <v>12</v>
      </c>
      <c r="H26" s="5">
        <f>IF(OR(G26="Sin pagar",G26="Pagar"),NETWORKDAYS($I$11,F26,'Festivos Colombia'!$A$3:$A$22),0)</f>
        <v>0</v>
      </c>
      <c r="I26" s="36">
        <f t="shared" si="6"/>
        <v>0</v>
      </c>
      <c r="J26" s="166"/>
      <c r="K26" s="154"/>
      <c r="L26" s="12"/>
      <c r="M26" s="12"/>
      <c r="N26" s="12"/>
      <c r="O26" s="12"/>
      <c r="T26" s="12"/>
      <c r="U26" s="12"/>
    </row>
    <row r="27" spans="1:21" s="5" customFormat="1" ht="14.25" customHeight="1" outlineLevel="1">
      <c r="A27" s="5" t="str">
        <f t="shared" si="4"/>
        <v>Cancelado</v>
      </c>
      <c r="B27" s="5" t="e">
        <f>IF(#REF!&lt;=-1,1,IF(#REF!&lt;=5,2,IF(#REF!&lt;=15,3,IF(H27&lt;=60,4))))</f>
        <v>#REF!</v>
      </c>
      <c r="C27" s="175" t="s">
        <v>295</v>
      </c>
      <c r="D27" s="10" t="s">
        <v>43</v>
      </c>
      <c r="E27" s="14">
        <v>2196266</v>
      </c>
      <c r="F27" s="33">
        <v>46084</v>
      </c>
      <c r="G27" s="5" t="s">
        <v>12</v>
      </c>
      <c r="H27" s="5">
        <f>IF(OR(G27="Sin pagar",G27="Pagar"),NETWORKDAYS($I$11,F27,'Festivos Colombia'!$A$3:$A$22),0)</f>
        <v>0</v>
      </c>
      <c r="I27" s="36">
        <f t="shared" ref="I27" si="7">H27</f>
        <v>0</v>
      </c>
      <c r="J27" s="166"/>
      <c r="K27" s="154"/>
      <c r="L27" s="12"/>
      <c r="M27" s="12"/>
      <c r="N27" s="12"/>
      <c r="O27" s="12"/>
      <c r="T27" s="12"/>
      <c r="U27" s="12"/>
    </row>
    <row r="28" spans="1:21" s="5" customFormat="1" ht="14.25" customHeight="1" outlineLevel="1">
      <c r="A28" s="5" t="str">
        <f t="shared" si="4"/>
        <v>Cancelado</v>
      </c>
      <c r="B28" s="5" t="e">
        <f>IF(#REF!&lt;=-1,1,IF(#REF!&lt;=5,2,IF(#REF!&lt;=15,3,IF(H28&lt;=60,4))))</f>
        <v>#REF!</v>
      </c>
      <c r="C28" s="175" t="s">
        <v>296</v>
      </c>
      <c r="D28" s="10" t="s">
        <v>107</v>
      </c>
      <c r="E28" s="14">
        <v>437176</v>
      </c>
      <c r="F28" s="33">
        <v>46084</v>
      </c>
      <c r="G28" s="5" t="s">
        <v>12</v>
      </c>
      <c r="H28" s="5">
        <f>IF(OR(G28="Sin pagar",G28="Pagar"),NETWORKDAYS($I$11,F28,'Festivos Colombia'!$A$3:$A$22),0)</f>
        <v>0</v>
      </c>
      <c r="I28" s="36">
        <f t="shared" si="6"/>
        <v>0</v>
      </c>
      <c r="J28" s="166"/>
      <c r="K28" s="154"/>
      <c r="L28" s="12"/>
      <c r="M28" s="12"/>
      <c r="N28" s="12"/>
      <c r="O28" s="12"/>
      <c r="T28" s="12"/>
      <c r="U28" s="12"/>
    </row>
    <row r="29" spans="1:21" s="5" customFormat="1" ht="14.25" customHeight="1" outlineLevel="1" thickBot="1">
      <c r="A29" s="5" t="str">
        <f t="shared" si="4"/>
        <v>Cancelado</v>
      </c>
      <c r="B29" s="5" t="e">
        <f>IF(#REF!&lt;=-1,1,IF(#REF!&lt;=5,2,IF(#REF!&lt;=15,3,IF(H29&lt;=60,4))))</f>
        <v>#REF!</v>
      </c>
      <c r="C29" s="175" t="s">
        <v>297</v>
      </c>
      <c r="D29" s="10" t="s">
        <v>43</v>
      </c>
      <c r="E29" s="14">
        <v>11407586</v>
      </c>
      <c r="F29" s="33">
        <v>46084</v>
      </c>
      <c r="G29" s="5" t="s">
        <v>12</v>
      </c>
      <c r="H29" s="5">
        <f>IF(OR(G29="Sin pagar",G29="Pagar"),NETWORKDAYS($I$11,F29,'Festivos Colombia'!$A$3:$A$22),0)</f>
        <v>0</v>
      </c>
      <c r="I29" s="36">
        <f t="shared" ref="I29" si="8">H29</f>
        <v>0</v>
      </c>
      <c r="J29" s="166"/>
      <c r="K29" s="154"/>
      <c r="L29" s="12"/>
      <c r="M29" s="12"/>
      <c r="N29" s="12"/>
      <c r="O29" s="12"/>
      <c r="T29" s="12"/>
      <c r="U29" s="12"/>
    </row>
    <row r="30" spans="1:21" s="12" customFormat="1" ht="16.5" thickBot="1">
      <c r="A30" s="5"/>
      <c r="B30" s="5"/>
      <c r="D30" s="134" t="s">
        <v>21</v>
      </c>
      <c r="E30" s="135">
        <f>SUBTOTAL(9,E31:E40)</f>
        <v>20743199</v>
      </c>
      <c r="H30" s="5">
        <f>IF(OR(G30="Sin pagar",G30="Pagar"),NETWORKDAYS($I$11,F30,'Festivos Colombia'!$A$3:$A$22),0)</f>
        <v>0</v>
      </c>
      <c r="J30" s="5"/>
      <c r="K30" s="5"/>
      <c r="L30" s="5"/>
      <c r="M30" s="5"/>
      <c r="N30" s="5"/>
      <c r="O30" s="5"/>
      <c r="S30" s="5"/>
      <c r="T30" s="5"/>
      <c r="U30" s="5"/>
    </row>
    <row r="31" spans="1:21" s="5" customFormat="1" ht="14.25" customHeight="1" outlineLevel="1">
      <c r="A31" s="5" t="str">
        <f t="shared" ref="A31:A39" si="9">G31</f>
        <v>Cancelado</v>
      </c>
      <c r="B31" s="5" t="e">
        <f>IF(#REF!&lt;=-1,1,IF(#REF!&lt;=5,2,IF(#REF!&lt;=15,3,IF(H31&lt;=60,4))))</f>
        <v>#REF!</v>
      </c>
      <c r="C31" s="37">
        <v>10175650</v>
      </c>
      <c r="D31" s="217" t="s">
        <v>132</v>
      </c>
      <c r="E31" s="218">
        <f>13580700</f>
        <v>13580700</v>
      </c>
      <c r="F31" s="33">
        <v>46058</v>
      </c>
      <c r="G31" s="5" t="s">
        <v>12</v>
      </c>
      <c r="H31" s="5">
        <f>IF(OR(G31="Sin pagar",G31="Pagar"),NETWORKDAYS($I$11,F31,'Festivos Colombia'!$A$3:$A$22),0)</f>
        <v>0</v>
      </c>
      <c r="I31" s="36">
        <f t="shared" ref="I31:I39" si="10">H31</f>
        <v>0</v>
      </c>
      <c r="J31" s="166"/>
      <c r="K31" s="12"/>
      <c r="L31" s="12"/>
      <c r="M31" s="12"/>
      <c r="N31" s="12"/>
      <c r="O31" s="12"/>
      <c r="T31" s="12"/>
      <c r="U31" s="12"/>
    </row>
    <row r="32" spans="1:21" s="5" customFormat="1" ht="14.25" customHeight="1" outlineLevel="1">
      <c r="A32" s="5" t="str">
        <f t="shared" si="9"/>
        <v>Cancelado</v>
      </c>
      <c r="B32" s="5" t="e">
        <f>IF(#REF!&lt;=-1,1,IF(#REF!&lt;=5,2,IF(#REF!&lt;=15,3,IF(H32&lt;=60,4))))</f>
        <v>#REF!</v>
      </c>
      <c r="C32" s="37">
        <v>10226780</v>
      </c>
      <c r="D32" s="217" t="s">
        <v>142</v>
      </c>
      <c r="E32" s="218">
        <f>205538</f>
        <v>205538</v>
      </c>
      <c r="F32" s="33">
        <v>46058</v>
      </c>
      <c r="G32" s="5" t="s">
        <v>12</v>
      </c>
      <c r="H32" s="5">
        <f>IF(OR(G32="Sin pagar",G32="Pagar"),NETWORKDAYS($I$11,F32,'Festivos Colombia'!$A$3:$A$22),0)</f>
        <v>0</v>
      </c>
      <c r="I32" s="36">
        <f t="shared" si="10"/>
        <v>0</v>
      </c>
      <c r="J32" s="166"/>
      <c r="K32" s="12"/>
      <c r="L32" s="12"/>
      <c r="M32" s="12"/>
      <c r="N32" s="12"/>
      <c r="O32" s="12"/>
      <c r="T32" s="12"/>
      <c r="U32" s="12"/>
    </row>
    <row r="33" spans="1:21" s="5" customFormat="1" ht="14.25" customHeight="1" outlineLevel="1">
      <c r="A33" s="5" t="str">
        <f t="shared" si="9"/>
        <v>Cancelado</v>
      </c>
      <c r="B33" s="5" t="e">
        <f>IF(#REF!&lt;=-1,1,IF(#REF!&lt;=5,2,IF(#REF!&lt;=15,3,IF(H33&lt;=60,4))))</f>
        <v>#REF!</v>
      </c>
      <c r="C33" s="37" t="s">
        <v>256</v>
      </c>
      <c r="D33" s="217" t="s">
        <v>141</v>
      </c>
      <c r="E33" s="218">
        <f>316953</f>
        <v>316953</v>
      </c>
      <c r="F33" s="33">
        <v>46058</v>
      </c>
      <c r="G33" s="5" t="s">
        <v>12</v>
      </c>
      <c r="H33" s="5">
        <f>IF(OR(G33="Sin pagar",G33="Pagar"),NETWORKDAYS($I$11,F33,'Festivos Colombia'!$A$3:$A$22),0)</f>
        <v>0</v>
      </c>
      <c r="I33" s="36">
        <f t="shared" si="10"/>
        <v>0</v>
      </c>
      <c r="J33" s="166"/>
      <c r="K33" s="12"/>
      <c r="L33" s="12"/>
      <c r="M33" s="12"/>
      <c r="N33" s="12"/>
      <c r="O33" s="12"/>
      <c r="T33" s="12"/>
      <c r="U33" s="12"/>
    </row>
    <row r="34" spans="1:21" s="5" customFormat="1" ht="14.25" customHeight="1" outlineLevel="1">
      <c r="A34" s="5" t="str">
        <f t="shared" si="9"/>
        <v>Cancelado</v>
      </c>
      <c r="B34" s="5" t="e">
        <f>IF(#REF!&lt;=-1,1,IF(#REF!&lt;=5,2,IF(#REF!&lt;=15,3,IF(H34&lt;=60,4))))</f>
        <v>#REF!</v>
      </c>
      <c r="C34" s="37">
        <v>10238635</v>
      </c>
      <c r="D34" s="217" t="s">
        <v>22</v>
      </c>
      <c r="E34" s="218">
        <f>314213</f>
        <v>314213</v>
      </c>
      <c r="F34" s="33">
        <v>46058</v>
      </c>
      <c r="G34" s="5" t="s">
        <v>12</v>
      </c>
      <c r="H34" s="5">
        <f>IF(OR(G34="Sin pagar",G34="Pagar"),NETWORKDAYS($I$11,F34,'Festivos Colombia'!$A$3:$A$22),0)</f>
        <v>0</v>
      </c>
      <c r="I34" s="36">
        <f t="shared" si="10"/>
        <v>0</v>
      </c>
      <c r="J34" s="166"/>
      <c r="K34" s="12"/>
      <c r="L34" s="12"/>
      <c r="M34" s="12"/>
      <c r="N34" s="12"/>
      <c r="O34" s="12"/>
      <c r="T34" s="12"/>
      <c r="U34" s="12"/>
    </row>
    <row r="35" spans="1:21" s="5" customFormat="1" ht="14.25" customHeight="1" outlineLevel="1">
      <c r="A35" s="5" t="str">
        <f t="shared" si="9"/>
        <v>Cancelado</v>
      </c>
      <c r="B35" s="5" t="e">
        <f>IF(#REF!&lt;=-1,1,IF(#REF!&lt;=5,2,IF(#REF!&lt;=15,3,IF(H35&lt;=60,4))))</f>
        <v>#REF!</v>
      </c>
      <c r="C35" s="37">
        <v>10225583</v>
      </c>
      <c r="D35" s="217" t="s">
        <v>140</v>
      </c>
      <c r="E35" s="218">
        <f>1751400</f>
        <v>1751400</v>
      </c>
      <c r="F35" s="33">
        <v>46058</v>
      </c>
      <c r="G35" s="5" t="s">
        <v>12</v>
      </c>
      <c r="H35" s="5">
        <f>IF(OR(G35="Sin pagar",G35="Pagar"),NETWORKDAYS($I$11,F35,'Festivos Colombia'!$A$3:$A$22),0)</f>
        <v>0</v>
      </c>
      <c r="I35" s="36">
        <f t="shared" si="10"/>
        <v>0</v>
      </c>
      <c r="J35" s="166"/>
      <c r="K35" s="12"/>
      <c r="L35" s="12"/>
      <c r="M35" s="12"/>
      <c r="N35" s="12"/>
      <c r="O35" s="12"/>
      <c r="T35" s="12"/>
      <c r="U35" s="12"/>
    </row>
    <row r="36" spans="1:21" s="5" customFormat="1" ht="14.25" customHeight="1" outlineLevel="1">
      <c r="A36" s="5" t="str">
        <f t="shared" si="9"/>
        <v>Cancelado</v>
      </c>
      <c r="B36" s="5" t="e">
        <f>IF(#REF!&lt;=-1,1,IF(#REF!&lt;=5,2,IF(#REF!&lt;=15,3,IF(H36&lt;=60,4))))</f>
        <v>#REF!</v>
      </c>
      <c r="C36" s="37">
        <v>10230226</v>
      </c>
      <c r="D36" s="217" t="s">
        <v>122</v>
      </c>
      <c r="E36" s="218">
        <f>339255</f>
        <v>339255</v>
      </c>
      <c r="F36" s="33">
        <v>46059</v>
      </c>
      <c r="G36" s="5" t="s">
        <v>12</v>
      </c>
      <c r="H36" s="5">
        <f>IF(OR(G36="Sin pagar",G36="Pagar"),NETWORKDAYS($I$11,F36,'Festivos Colombia'!$A$3:$A$22),0)</f>
        <v>0</v>
      </c>
      <c r="I36" s="36">
        <f t="shared" si="10"/>
        <v>0</v>
      </c>
      <c r="J36" s="166"/>
      <c r="K36" s="12"/>
      <c r="L36" s="12"/>
      <c r="M36" s="12"/>
      <c r="N36" s="12"/>
      <c r="O36" s="12"/>
      <c r="T36" s="12"/>
      <c r="U36" s="12"/>
    </row>
    <row r="37" spans="1:21" s="5" customFormat="1" ht="14.25" customHeight="1" outlineLevel="1">
      <c r="A37" s="5" t="str">
        <f t="shared" si="9"/>
        <v>Cancelado</v>
      </c>
      <c r="B37" s="5" t="e">
        <f>IF(#REF!&lt;=-1,1,IF(#REF!&lt;=5,2,IF(#REF!&lt;=15,3,IF(H37&lt;=60,4))))</f>
        <v>#REF!</v>
      </c>
      <c r="C37" s="37" t="s">
        <v>257</v>
      </c>
      <c r="D37" s="217" t="s">
        <v>139</v>
      </c>
      <c r="E37" s="218">
        <f>71820</f>
        <v>71820</v>
      </c>
      <c r="F37" s="33">
        <v>46058</v>
      </c>
      <c r="G37" s="5" t="s">
        <v>12</v>
      </c>
      <c r="H37" s="5">
        <f>IF(OR(G37="Sin pagar",G37="Pagar"),NETWORKDAYS($I$11,F37,'Festivos Colombia'!$A$3:$A$22),0)</f>
        <v>0</v>
      </c>
      <c r="I37" s="36">
        <f t="shared" si="10"/>
        <v>0</v>
      </c>
      <c r="J37" s="166"/>
      <c r="K37" s="12"/>
      <c r="L37" s="12"/>
      <c r="M37" s="12"/>
      <c r="N37" s="12"/>
      <c r="O37" s="12"/>
      <c r="T37" s="12"/>
      <c r="U37" s="12"/>
    </row>
    <row r="38" spans="1:21" s="5" customFormat="1" ht="14.25" customHeight="1" outlineLevel="1">
      <c r="A38" s="5" t="str">
        <f t="shared" si="9"/>
        <v>Cancelado</v>
      </c>
      <c r="B38" s="5" t="e">
        <f>IF(#REF!&lt;=-1,1,IF(#REF!&lt;=5,2,IF(#REF!&lt;=15,3,IF(H38&lt;=60,4))))</f>
        <v>#REF!</v>
      </c>
      <c r="C38" s="37">
        <v>10094969</v>
      </c>
      <c r="D38" s="217" t="s">
        <v>123</v>
      </c>
      <c r="E38" s="218">
        <f>1984500</f>
        <v>1984500</v>
      </c>
      <c r="F38" s="33">
        <v>46058</v>
      </c>
      <c r="G38" s="5" t="s">
        <v>12</v>
      </c>
      <c r="H38" s="5">
        <f>IF(OR(G38="Sin pagar",G38="Pagar"),NETWORKDAYS($I$11,F38,'Festivos Colombia'!$A$3:$A$22),0)</f>
        <v>0</v>
      </c>
      <c r="I38" s="36">
        <f t="shared" si="10"/>
        <v>0</v>
      </c>
      <c r="J38" s="166"/>
      <c r="K38" s="12"/>
      <c r="L38" s="12"/>
      <c r="M38" s="12"/>
      <c r="N38" s="12"/>
      <c r="O38" s="12"/>
      <c r="T38" s="12"/>
      <c r="U38" s="12"/>
    </row>
    <row r="39" spans="1:21" s="5" customFormat="1" ht="14.25" customHeight="1" outlineLevel="1">
      <c r="A39" s="5" t="str">
        <f t="shared" si="9"/>
        <v>Cancelado</v>
      </c>
      <c r="B39" s="5" t="e">
        <f>IF(#REF!&lt;=-1,1,IF(#REF!&lt;=5,2,IF(#REF!&lt;=15,3,IF(H39&lt;=60,4))))</f>
        <v>#REF!</v>
      </c>
      <c r="C39" s="37" t="s">
        <v>258</v>
      </c>
      <c r="D39" s="217" t="s">
        <v>129</v>
      </c>
      <c r="E39" s="218">
        <f>71820</f>
        <v>71820</v>
      </c>
      <c r="F39" s="33">
        <v>46058</v>
      </c>
      <c r="G39" s="5" t="s">
        <v>12</v>
      </c>
      <c r="H39" s="5">
        <f>IF(OR(G39="Sin pagar",G39="Pagar"),NETWORKDAYS($I$11,F39,'Festivos Colombia'!$A$3:$A$22),0)</f>
        <v>0</v>
      </c>
      <c r="I39" s="36">
        <f t="shared" si="10"/>
        <v>0</v>
      </c>
      <c r="J39" s="166"/>
      <c r="K39" s="12"/>
      <c r="L39" s="12"/>
      <c r="M39" s="12"/>
      <c r="N39" s="12"/>
      <c r="O39" s="12"/>
      <c r="T39" s="12"/>
      <c r="U39" s="12"/>
    </row>
    <row r="40" spans="1:21" s="5" customFormat="1" ht="14.25" customHeight="1" outlineLevel="1" thickBot="1">
      <c r="A40" s="5" t="str">
        <f t="shared" ref="A40" si="11">G40</f>
        <v>Cancelado</v>
      </c>
      <c r="B40" s="5" t="e">
        <f>IF(#REF!&lt;=-1,1,IF(#REF!&lt;=5,2,IF(#REF!&lt;=15,3,IF(H40&lt;=60,4))))</f>
        <v>#REF!</v>
      </c>
      <c r="C40" s="37" t="s">
        <v>258</v>
      </c>
      <c r="D40" s="10" t="s">
        <v>271</v>
      </c>
      <c r="E40" s="11">
        <v>2107000</v>
      </c>
      <c r="F40" s="33">
        <v>46069</v>
      </c>
      <c r="G40" s="5" t="s">
        <v>12</v>
      </c>
      <c r="H40" s="5">
        <f>IF(OR(G40="Sin pagar",G40="Pagar"),NETWORKDAYS($I$11,F40,'Festivos Colombia'!$A$3:$A$22),0)</f>
        <v>0</v>
      </c>
      <c r="I40" s="36">
        <f t="shared" ref="I40" si="12">H40</f>
        <v>0</v>
      </c>
      <c r="J40" s="166"/>
      <c r="K40" s="12"/>
      <c r="L40" s="12"/>
      <c r="M40" s="12"/>
      <c r="N40" s="12"/>
      <c r="O40" s="12"/>
      <c r="T40" s="12"/>
      <c r="U40" s="12"/>
    </row>
    <row r="41" spans="1:21" s="5" customFormat="1" ht="16.5" thickBot="1">
      <c r="C41" s="38"/>
      <c r="D41" s="136" t="s">
        <v>23</v>
      </c>
      <c r="E41" s="135">
        <f>SUBTOTAL(9,E42:E91)</f>
        <v>126854177.92999999</v>
      </c>
      <c r="G41" s="13"/>
      <c r="I41" s="13"/>
      <c r="K41" s="13"/>
      <c r="L41" s="13"/>
    </row>
    <row r="42" spans="1:21" s="5" customFormat="1" outlineLevel="1">
      <c r="C42" s="38"/>
      <c r="D42" s="10" t="s">
        <v>234</v>
      </c>
      <c r="E42" s="158">
        <v>226425</v>
      </c>
      <c r="F42" s="33">
        <v>46059</v>
      </c>
      <c r="G42" s="5" t="s">
        <v>12</v>
      </c>
      <c r="H42" s="5">
        <f>IF(OR(G42="Sin pagar",G42="Pagar"),NETWORKDAYS($I$11,F42,'Festivos Colombia'!$A$3:$A$22),0)</f>
        <v>0</v>
      </c>
      <c r="I42" s="36">
        <f>H42</f>
        <v>0</v>
      </c>
      <c r="K42" s="13"/>
      <c r="L42" s="13"/>
    </row>
    <row r="43" spans="1:21" s="5" customFormat="1" outlineLevel="1">
      <c r="C43" s="38"/>
      <c r="D43" s="10" t="s">
        <v>106</v>
      </c>
      <c r="E43" s="158">
        <v>4250341</v>
      </c>
      <c r="F43" s="33">
        <v>46059</v>
      </c>
      <c r="G43" s="5" t="s">
        <v>12</v>
      </c>
      <c r="H43" s="5">
        <f>IF(OR(G43="Sin pagar",G43="Pagar"),NETWORKDAYS($I$11,F43,'Festivos Colombia'!$A$3:$A$22),0)</f>
        <v>0</v>
      </c>
      <c r="I43" s="36">
        <f t="shared" ref="I43:I53" si="13">H43</f>
        <v>0</v>
      </c>
      <c r="K43" s="13"/>
      <c r="L43" s="13"/>
    </row>
    <row r="44" spans="1:21" s="5" customFormat="1" outlineLevel="1">
      <c r="C44" s="38"/>
      <c r="D44" s="10" t="s">
        <v>110</v>
      </c>
      <c r="E44" s="158">
        <v>298700</v>
      </c>
      <c r="F44" s="33">
        <v>46059</v>
      </c>
      <c r="G44" s="5" t="s">
        <v>12</v>
      </c>
      <c r="H44" s="5">
        <f>IF(OR(G44="Sin pagar",G44="Pagar"),NETWORKDAYS($I$11,F44,'Festivos Colombia'!$A$3:$A$22),0)</f>
        <v>0</v>
      </c>
      <c r="I44" s="36">
        <f t="shared" si="13"/>
        <v>0</v>
      </c>
      <c r="K44" s="13"/>
      <c r="L44" s="13"/>
    </row>
    <row r="45" spans="1:21" s="5" customFormat="1" outlineLevel="1">
      <c r="C45" s="38"/>
      <c r="D45" s="10" t="s">
        <v>267</v>
      </c>
      <c r="E45" s="158">
        <v>3151900</v>
      </c>
      <c r="F45" s="33">
        <v>46059</v>
      </c>
      <c r="G45" s="5" t="s">
        <v>12</v>
      </c>
      <c r="H45" s="5">
        <f>IF(OR(G45="Sin pagar",G45="Pagar"),NETWORKDAYS($I$11,F45,'Festivos Colombia'!$A$3:$A$22),0)</f>
        <v>0</v>
      </c>
      <c r="I45" s="36">
        <f t="shared" si="13"/>
        <v>0</v>
      </c>
      <c r="K45" s="13"/>
      <c r="L45" s="13"/>
    </row>
    <row r="46" spans="1:21" s="5" customFormat="1" outlineLevel="1">
      <c r="C46" s="38"/>
      <c r="D46" s="10" t="s">
        <v>268</v>
      </c>
      <c r="E46" s="158">
        <v>964348</v>
      </c>
      <c r="F46" s="33">
        <v>46059</v>
      </c>
      <c r="G46" s="5" t="s">
        <v>12</v>
      </c>
      <c r="H46" s="5">
        <f>IF(OR(G46="Sin pagar",G46="Pagar"),NETWORKDAYS($I$11,F46,'Festivos Colombia'!$A$3:$A$22),0)</f>
        <v>0</v>
      </c>
      <c r="I46" s="36">
        <f t="shared" si="13"/>
        <v>0</v>
      </c>
      <c r="K46" s="13"/>
      <c r="L46" s="13"/>
    </row>
    <row r="47" spans="1:21" s="5" customFormat="1" outlineLevel="1">
      <c r="C47" s="38"/>
      <c r="D47" s="10" t="s">
        <v>219</v>
      </c>
      <c r="E47" s="158">
        <v>408515</v>
      </c>
      <c r="F47" s="33">
        <v>46066</v>
      </c>
      <c r="G47" s="5" t="s">
        <v>12</v>
      </c>
      <c r="H47" s="5">
        <f>IF(OR(G47="Sin pagar",G47="Pagar"),NETWORKDAYS($I$11,F47,'Festivos Colombia'!$A$3:$A$22),0)</f>
        <v>0</v>
      </c>
      <c r="I47" s="36">
        <f t="shared" si="13"/>
        <v>0</v>
      </c>
      <c r="K47" s="13"/>
      <c r="L47" s="13"/>
    </row>
    <row r="48" spans="1:21" s="5" customFormat="1" outlineLevel="1">
      <c r="C48" s="38"/>
      <c r="D48" s="10" t="s">
        <v>234</v>
      </c>
      <c r="E48" s="158">
        <v>45670</v>
      </c>
      <c r="F48" s="33">
        <v>46066</v>
      </c>
      <c r="G48" s="5" t="s">
        <v>12</v>
      </c>
      <c r="H48" s="5">
        <f>IF(OR(G48="Sin pagar",G48="Pagar"),NETWORKDAYS($I$11,F48,'Festivos Colombia'!$A$3:$A$22),0)</f>
        <v>0</v>
      </c>
      <c r="I48" s="36">
        <f t="shared" si="13"/>
        <v>0</v>
      </c>
      <c r="K48" s="13"/>
      <c r="L48" s="13"/>
    </row>
    <row r="49" spans="3:12" s="5" customFormat="1" outlineLevel="1">
      <c r="C49" s="38"/>
      <c r="D49" s="10" t="s">
        <v>118</v>
      </c>
      <c r="E49" s="158">
        <v>3377654.66</v>
      </c>
      <c r="F49" s="33">
        <v>46066</v>
      </c>
      <c r="G49" s="5" t="s">
        <v>12</v>
      </c>
      <c r="H49" s="5">
        <f>IF(OR(G49="Sin pagar",G49="Pagar"),NETWORKDAYS($I$11,F49,'Festivos Colombia'!$A$3:$A$22),0)</f>
        <v>0</v>
      </c>
      <c r="I49" s="36">
        <f t="shared" si="13"/>
        <v>0</v>
      </c>
      <c r="K49" s="13"/>
      <c r="L49" s="13"/>
    </row>
    <row r="50" spans="3:12" s="5" customFormat="1" outlineLevel="1">
      <c r="C50" s="38"/>
      <c r="D50" s="10" t="s">
        <v>108</v>
      </c>
      <c r="E50" s="158">
        <v>784847</v>
      </c>
      <c r="F50" s="33">
        <v>46066</v>
      </c>
      <c r="G50" s="5" t="s">
        <v>12</v>
      </c>
      <c r="H50" s="5">
        <f>IF(OR(G50="Sin pagar",G50="Pagar"),NETWORKDAYS($I$11,F50,'Festivos Colombia'!$A$3:$A$22),0)</f>
        <v>0</v>
      </c>
      <c r="I50" s="36">
        <f t="shared" si="13"/>
        <v>0</v>
      </c>
      <c r="K50" s="13"/>
      <c r="L50" s="13"/>
    </row>
    <row r="51" spans="3:12" s="5" customFormat="1" outlineLevel="1">
      <c r="C51" s="38"/>
      <c r="D51" s="10" t="s">
        <v>113</v>
      </c>
      <c r="E51" s="158">
        <v>213686</v>
      </c>
      <c r="F51" s="33">
        <v>46066</v>
      </c>
      <c r="G51" s="5" t="s">
        <v>12</v>
      </c>
      <c r="H51" s="5">
        <f>IF(OR(G51="Sin pagar",G51="Pagar"),NETWORKDAYS($I$11,F51,'Festivos Colombia'!$A$3:$A$22),0)</f>
        <v>0</v>
      </c>
      <c r="I51" s="36">
        <f t="shared" si="13"/>
        <v>0</v>
      </c>
      <c r="K51" s="13"/>
      <c r="L51" s="13"/>
    </row>
    <row r="52" spans="3:12" s="5" customFormat="1" outlineLevel="1">
      <c r="C52" s="38"/>
      <c r="D52" s="10" t="s">
        <v>106</v>
      </c>
      <c r="E52" s="158">
        <v>3416820</v>
      </c>
      <c r="F52" s="33">
        <v>46066</v>
      </c>
      <c r="G52" s="5" t="s">
        <v>12</v>
      </c>
      <c r="H52" s="5">
        <f>IF(OR(G52="Sin pagar",G52="Pagar"),NETWORKDAYS($I$11,F52,'Festivos Colombia'!$A$3:$A$22),0)</f>
        <v>0</v>
      </c>
      <c r="I52" s="36">
        <f t="shared" si="13"/>
        <v>0</v>
      </c>
      <c r="K52" s="13"/>
      <c r="L52" s="13"/>
    </row>
    <row r="53" spans="3:12" s="5" customFormat="1" outlineLevel="1">
      <c r="C53" s="38"/>
      <c r="D53" s="10" t="s">
        <v>274</v>
      </c>
      <c r="E53" s="158">
        <v>59207.62</v>
      </c>
      <c r="F53" s="33">
        <v>46066</v>
      </c>
      <c r="G53" s="5" t="s">
        <v>12</v>
      </c>
      <c r="H53" s="5">
        <f>IF(OR(G53="Sin pagar",G53="Pagar"),NETWORKDAYS($I$11,F53,'Festivos Colombia'!$A$3:$A$22),0)</f>
        <v>0</v>
      </c>
      <c r="I53" s="36">
        <f t="shared" si="13"/>
        <v>0</v>
      </c>
      <c r="K53" s="13"/>
      <c r="L53" s="13"/>
    </row>
    <row r="54" spans="3:12" s="5" customFormat="1" outlineLevel="1">
      <c r="C54" s="38"/>
      <c r="D54" s="10" t="s">
        <v>267</v>
      </c>
      <c r="E54" s="158">
        <v>6879188.7100000009</v>
      </c>
      <c r="F54" s="33">
        <v>46073</v>
      </c>
      <c r="G54" s="5" t="s">
        <v>12</v>
      </c>
      <c r="H54" s="5">
        <f>IF(OR(G54="Sin pagar",G54="Pagar"),NETWORKDAYS($I$11,F54,'Festivos Colombia'!$A$3:$A$22),0)</f>
        <v>0</v>
      </c>
      <c r="I54" s="36">
        <f t="shared" ref="I54" si="14">H54</f>
        <v>0</v>
      </c>
      <c r="K54" s="13"/>
      <c r="L54" s="13"/>
    </row>
    <row r="55" spans="3:12" s="5" customFormat="1" outlineLevel="1">
      <c r="C55" s="38"/>
      <c r="D55" s="10" t="s">
        <v>274</v>
      </c>
      <c r="E55" s="158">
        <v>5718837.8000000007</v>
      </c>
      <c r="F55" s="33">
        <v>46073</v>
      </c>
      <c r="G55" s="5" t="s">
        <v>12</v>
      </c>
      <c r="H55" s="5">
        <f>IF(OR(G55="Sin pagar",G55="Pagar"),NETWORKDAYS($I$11,F55,'Festivos Colombia'!$A$3:$A$22),0)</f>
        <v>0</v>
      </c>
      <c r="I55" s="36">
        <f t="shared" ref="I55:I59" si="15">H55</f>
        <v>0</v>
      </c>
      <c r="K55" s="13"/>
      <c r="L55" s="13"/>
    </row>
    <row r="56" spans="3:12" s="5" customFormat="1" outlineLevel="1">
      <c r="C56" s="38"/>
      <c r="D56" s="10" t="s">
        <v>244</v>
      </c>
      <c r="E56" s="158">
        <v>2742433.04</v>
      </c>
      <c r="F56" s="33">
        <v>46073</v>
      </c>
      <c r="G56" s="5" t="s">
        <v>12</v>
      </c>
      <c r="H56" s="5">
        <f>IF(OR(G56="Sin pagar",G56="Pagar"),NETWORKDAYS($I$11,F56,'Festivos Colombia'!$A$3:$A$22),0)</f>
        <v>0</v>
      </c>
      <c r="I56" s="36">
        <f t="shared" si="15"/>
        <v>0</v>
      </c>
      <c r="K56" s="13"/>
      <c r="L56" s="13"/>
    </row>
    <row r="57" spans="3:12" s="5" customFormat="1" outlineLevel="1">
      <c r="C57" s="38"/>
      <c r="D57" s="10" t="s">
        <v>275</v>
      </c>
      <c r="E57" s="158">
        <v>270480</v>
      </c>
      <c r="F57" s="33">
        <v>46073</v>
      </c>
      <c r="G57" s="5" t="s">
        <v>12</v>
      </c>
      <c r="H57" s="5">
        <f>IF(OR(G57="Sin pagar",G57="Pagar"),NETWORKDAYS($I$11,F57,'Festivos Colombia'!$A$3:$A$22),0)</f>
        <v>0</v>
      </c>
      <c r="I57" s="36">
        <f t="shared" si="15"/>
        <v>0</v>
      </c>
      <c r="K57" s="13"/>
      <c r="L57" s="13"/>
    </row>
    <row r="58" spans="3:12" s="5" customFormat="1" outlineLevel="1">
      <c r="C58" s="38"/>
      <c r="D58" s="10" t="s">
        <v>276</v>
      </c>
      <c r="E58" s="158">
        <v>6204166</v>
      </c>
      <c r="F58" s="33">
        <v>46073</v>
      </c>
      <c r="G58" s="5" t="s">
        <v>12</v>
      </c>
      <c r="H58" s="5">
        <f>IF(OR(G58="Sin pagar",G58="Pagar"),NETWORKDAYS($I$11,F58,'Festivos Colombia'!$A$3:$A$22),0)</f>
        <v>0</v>
      </c>
      <c r="I58" s="36">
        <f t="shared" ref="I58" si="16">H58</f>
        <v>0</v>
      </c>
      <c r="K58" s="13"/>
      <c r="L58" s="13"/>
    </row>
    <row r="59" spans="3:12" s="5" customFormat="1" outlineLevel="1">
      <c r="C59" s="38"/>
      <c r="D59" s="10" t="s">
        <v>278</v>
      </c>
      <c r="E59" s="158">
        <v>13519872</v>
      </c>
      <c r="F59" s="33">
        <v>46077</v>
      </c>
      <c r="G59" s="5" t="s">
        <v>12</v>
      </c>
      <c r="H59" s="5">
        <f>IF(OR(G59="Sin pagar",G59="Pagar"),NETWORKDAYS($I$11,F59,'Festivos Colombia'!$A$3:$A$22),0)</f>
        <v>0</v>
      </c>
      <c r="I59" s="36">
        <f t="shared" si="15"/>
        <v>0</v>
      </c>
      <c r="K59" s="13"/>
      <c r="L59" s="13"/>
    </row>
    <row r="60" spans="3:12" s="5" customFormat="1" outlineLevel="1">
      <c r="C60" s="38"/>
      <c r="D60" s="10" t="s">
        <v>282</v>
      </c>
      <c r="E60" s="158">
        <v>50899.69</v>
      </c>
      <c r="F60" s="33">
        <v>46079</v>
      </c>
      <c r="G60" s="5" t="s">
        <v>12</v>
      </c>
      <c r="H60" s="5">
        <f>IF(OR(G60="Sin pagar",G60="Pagar"),NETWORKDAYS($I$11,F60,'Festivos Colombia'!$A$3:$A$22),0)</f>
        <v>0</v>
      </c>
      <c r="I60" s="36">
        <f t="shared" ref="I60:I70" si="17">H60</f>
        <v>0</v>
      </c>
      <c r="K60" s="13"/>
      <c r="L60" s="13"/>
    </row>
    <row r="61" spans="3:12" s="5" customFormat="1" outlineLevel="1">
      <c r="C61" s="38"/>
      <c r="D61" s="10" t="s">
        <v>286</v>
      </c>
      <c r="E61" s="158">
        <v>6147316</v>
      </c>
      <c r="F61" s="33">
        <v>46079</v>
      </c>
      <c r="G61" s="5" t="s">
        <v>12</v>
      </c>
      <c r="H61" s="5">
        <f>IF(OR(G61="Sin pagar",G61="Pagar"),NETWORKDAYS($I$11,F61,'Festivos Colombia'!$A$3:$A$22),0)</f>
        <v>0</v>
      </c>
      <c r="I61" s="36">
        <f t="shared" si="17"/>
        <v>0</v>
      </c>
      <c r="K61" s="13"/>
      <c r="L61" s="13"/>
    </row>
    <row r="62" spans="3:12" s="5" customFormat="1" outlineLevel="1">
      <c r="C62" s="38"/>
      <c r="D62" s="10" t="s">
        <v>287</v>
      </c>
      <c r="E62" s="158">
        <v>5520818</v>
      </c>
      <c r="F62" s="33">
        <v>46079</v>
      </c>
      <c r="G62" s="5" t="s">
        <v>12</v>
      </c>
      <c r="H62" s="5">
        <f>IF(OR(G62="Sin pagar",G62="Pagar"),NETWORKDAYS($I$11,F62,'Festivos Colombia'!$A$3:$A$22),0)</f>
        <v>0</v>
      </c>
      <c r="I62" s="36">
        <f t="shared" si="17"/>
        <v>0</v>
      </c>
      <c r="K62" s="13"/>
      <c r="L62" s="13"/>
    </row>
    <row r="63" spans="3:12" s="5" customFormat="1" outlineLevel="1">
      <c r="C63" s="38"/>
      <c r="D63" s="10" t="s">
        <v>288</v>
      </c>
      <c r="E63" s="158">
        <v>2650815</v>
      </c>
      <c r="F63" s="33">
        <v>46079</v>
      </c>
      <c r="G63" s="5" t="s">
        <v>12</v>
      </c>
      <c r="H63" s="5">
        <f>IF(OR(G63="Sin pagar",G63="Pagar"),NETWORKDAYS($I$11,F63,'Festivos Colombia'!$A$3:$A$22),0)</f>
        <v>0</v>
      </c>
      <c r="I63" s="36">
        <f t="shared" si="17"/>
        <v>0</v>
      </c>
      <c r="K63" s="13"/>
      <c r="L63" s="13"/>
    </row>
    <row r="64" spans="3:12" s="5" customFormat="1" outlineLevel="1">
      <c r="C64" s="38"/>
      <c r="D64" s="10" t="s">
        <v>240</v>
      </c>
      <c r="E64" s="158">
        <v>4572240.1900000004</v>
      </c>
      <c r="F64" s="33">
        <v>46079</v>
      </c>
      <c r="G64" s="5" t="s">
        <v>12</v>
      </c>
      <c r="H64" s="5">
        <f>IF(OR(G64="Sin pagar",G64="Pagar"),NETWORKDAYS($I$11,F64,'Festivos Colombia'!$A$3:$A$22),0)</f>
        <v>0</v>
      </c>
      <c r="I64" s="36">
        <f t="shared" si="17"/>
        <v>0</v>
      </c>
      <c r="K64" s="13"/>
      <c r="L64" s="13"/>
    </row>
    <row r="65" spans="3:12" s="5" customFormat="1" outlineLevel="1">
      <c r="C65" s="38"/>
      <c r="D65" s="10" t="s">
        <v>283</v>
      </c>
      <c r="E65" s="158">
        <v>58800</v>
      </c>
      <c r="F65" s="33">
        <v>46079</v>
      </c>
      <c r="G65" s="5" t="s">
        <v>12</v>
      </c>
      <c r="H65" s="5">
        <f>IF(OR(G65="Sin pagar",G65="Pagar"),NETWORKDAYS($I$11,F65,'Festivos Colombia'!$A$3:$A$22),0)</f>
        <v>0</v>
      </c>
      <c r="I65" s="36">
        <f t="shared" si="17"/>
        <v>0</v>
      </c>
      <c r="K65" s="13"/>
      <c r="L65" s="13"/>
    </row>
    <row r="66" spans="3:12" s="5" customFormat="1" outlineLevel="1">
      <c r="C66" s="38"/>
      <c r="D66" s="10" t="s">
        <v>284</v>
      </c>
      <c r="E66" s="158">
        <v>101466</v>
      </c>
      <c r="F66" s="33">
        <v>46079</v>
      </c>
      <c r="G66" s="5" t="s">
        <v>12</v>
      </c>
      <c r="H66" s="5">
        <f>IF(OR(G66="Sin pagar",G66="Pagar"),NETWORKDAYS($I$11,F66,'Festivos Colombia'!$A$3:$A$22),0)</f>
        <v>0</v>
      </c>
      <c r="I66" s="36">
        <f t="shared" si="17"/>
        <v>0</v>
      </c>
      <c r="K66" s="13"/>
      <c r="L66" s="13"/>
    </row>
    <row r="67" spans="3:12" s="5" customFormat="1" outlineLevel="1">
      <c r="C67" s="38"/>
      <c r="D67" s="10" t="s">
        <v>285</v>
      </c>
      <c r="E67" s="158">
        <v>1398131.79</v>
      </c>
      <c r="F67" s="33">
        <v>46079</v>
      </c>
      <c r="G67" s="5" t="s">
        <v>12</v>
      </c>
      <c r="H67" s="5">
        <f>IF(OR(G67="Sin pagar",G67="Pagar"),NETWORKDAYS($I$11,F67,'Festivos Colombia'!$A$3:$A$22),0)</f>
        <v>0</v>
      </c>
      <c r="I67" s="36">
        <f t="shared" si="17"/>
        <v>0</v>
      </c>
      <c r="K67" s="13"/>
      <c r="L67" s="13"/>
    </row>
    <row r="68" spans="3:12" s="5" customFormat="1" outlineLevel="1">
      <c r="C68" s="38"/>
      <c r="D68" s="10" t="s">
        <v>289</v>
      </c>
      <c r="E68" s="158">
        <v>1857051.5</v>
      </c>
      <c r="F68" s="33">
        <v>46079</v>
      </c>
      <c r="G68" s="5" t="s">
        <v>12</v>
      </c>
      <c r="H68" s="5">
        <f>IF(OR(G68="Sin pagar",G68="Pagar"),NETWORKDAYS($I$11,F68,'Festivos Colombia'!$A$3:$A$22),0)</f>
        <v>0</v>
      </c>
      <c r="I68" s="36">
        <f t="shared" si="17"/>
        <v>0</v>
      </c>
      <c r="K68" s="13"/>
      <c r="L68" s="13"/>
    </row>
    <row r="69" spans="3:12" s="5" customFormat="1" outlineLevel="1">
      <c r="C69" s="38"/>
      <c r="D69" s="10" t="s">
        <v>291</v>
      </c>
      <c r="E69" s="158">
        <v>1270135</v>
      </c>
      <c r="F69" s="33">
        <v>46079</v>
      </c>
      <c r="G69" s="5" t="s">
        <v>12</v>
      </c>
      <c r="H69" s="5">
        <f>IF(OR(G69="Sin pagar",G69="Pagar"),NETWORKDAYS($I$11,F69,'Festivos Colombia'!$A$3:$A$22),0)</f>
        <v>0</v>
      </c>
      <c r="I69" s="36">
        <f t="shared" si="17"/>
        <v>0</v>
      </c>
      <c r="K69" s="13"/>
      <c r="L69" s="13"/>
    </row>
    <row r="70" spans="3:12" s="5" customFormat="1" outlineLevel="1">
      <c r="C70" s="38"/>
      <c r="D70" s="10" t="s">
        <v>115</v>
      </c>
      <c r="E70" s="158">
        <v>410987.68999999994</v>
      </c>
      <c r="F70" s="33">
        <v>46079</v>
      </c>
      <c r="G70" s="5" t="s">
        <v>12</v>
      </c>
      <c r="H70" s="5">
        <f>IF(OR(G70="Sin pagar",G70="Pagar"),NETWORKDAYS($I$11,F70,'Festivos Colombia'!$A$3:$A$22),0)</f>
        <v>0</v>
      </c>
      <c r="I70" s="36">
        <f t="shared" si="17"/>
        <v>0</v>
      </c>
      <c r="K70" s="13"/>
      <c r="L70" s="13"/>
    </row>
    <row r="71" spans="3:12" s="5" customFormat="1" outlineLevel="1">
      <c r="C71" s="38"/>
      <c r="D71" s="10" t="s">
        <v>219</v>
      </c>
      <c r="E71" s="158">
        <v>2195116</v>
      </c>
      <c r="F71" s="33">
        <v>46080</v>
      </c>
      <c r="G71" s="5" t="s">
        <v>12</v>
      </c>
      <c r="H71" s="5">
        <f>IF(OR(G71="Sin pagar",G71="Pagar"),NETWORKDAYS($I$11,F71,'Festivos Colombia'!$A$3:$A$22),0)</f>
        <v>0</v>
      </c>
      <c r="I71" s="36">
        <f t="shared" ref="I71:I91" si="18">H71</f>
        <v>0</v>
      </c>
      <c r="K71" s="13"/>
      <c r="L71" s="13"/>
    </row>
    <row r="72" spans="3:12" s="5" customFormat="1" outlineLevel="1">
      <c r="C72" s="38"/>
      <c r="D72" s="10" t="s">
        <v>234</v>
      </c>
      <c r="E72" s="158">
        <v>111773</v>
      </c>
      <c r="F72" s="33">
        <v>46080</v>
      </c>
      <c r="G72" s="5" t="s">
        <v>12</v>
      </c>
      <c r="H72" s="5">
        <f>IF(OR(G72="Sin pagar",G72="Pagar"),NETWORKDAYS($I$11,F72,'Festivos Colombia'!$A$3:$A$22),0)</f>
        <v>0</v>
      </c>
      <c r="I72" s="36">
        <f t="shared" si="18"/>
        <v>0</v>
      </c>
      <c r="K72" s="13"/>
      <c r="L72" s="13"/>
    </row>
    <row r="73" spans="3:12" s="5" customFormat="1" outlineLevel="1">
      <c r="C73" s="38"/>
      <c r="D73" s="10" t="s">
        <v>106</v>
      </c>
      <c r="E73" s="158">
        <v>272307</v>
      </c>
      <c r="F73" s="33">
        <v>46080</v>
      </c>
      <c r="G73" s="5" t="s">
        <v>12</v>
      </c>
      <c r="H73" s="5">
        <f>IF(OR(G73="Sin pagar",G73="Pagar"),NETWORKDAYS($I$11,F73,'Festivos Colombia'!$A$3:$A$22),0)</f>
        <v>0</v>
      </c>
      <c r="I73" s="36">
        <f t="shared" si="18"/>
        <v>0</v>
      </c>
      <c r="K73" s="13"/>
      <c r="L73" s="13"/>
    </row>
    <row r="74" spans="3:12" s="5" customFormat="1" outlineLevel="1">
      <c r="C74" s="38"/>
      <c r="D74" s="10" t="s">
        <v>110</v>
      </c>
      <c r="E74" s="158">
        <v>5195030.1899999995</v>
      </c>
      <c r="F74" s="33">
        <v>46080</v>
      </c>
      <c r="G74" s="5" t="s">
        <v>12</v>
      </c>
      <c r="H74" s="5">
        <f>IF(OR(G74="Sin pagar",G74="Pagar"),NETWORKDAYS($I$11,F74,'Festivos Colombia'!$A$3:$A$22),0)</f>
        <v>0</v>
      </c>
      <c r="I74" s="36">
        <f t="shared" ref="I74:I82" si="19">H74</f>
        <v>0</v>
      </c>
      <c r="K74" s="13"/>
      <c r="L74" s="13"/>
    </row>
    <row r="75" spans="3:12" s="5" customFormat="1" outlineLevel="1">
      <c r="C75" s="38"/>
      <c r="D75" s="10" t="s">
        <v>111</v>
      </c>
      <c r="E75" s="158">
        <v>3765387.4699999997</v>
      </c>
      <c r="F75" s="33">
        <v>46080</v>
      </c>
      <c r="G75" s="5" t="s">
        <v>12</v>
      </c>
      <c r="H75" s="5">
        <f>IF(OR(G75="Sin pagar",G75="Pagar"),NETWORKDAYS($I$11,F75,'Festivos Colombia'!$A$3:$A$22),0)</f>
        <v>0</v>
      </c>
      <c r="I75" s="36">
        <f t="shared" si="19"/>
        <v>0</v>
      </c>
      <c r="K75" s="13"/>
      <c r="L75" s="13"/>
    </row>
    <row r="76" spans="3:12" s="5" customFormat="1" outlineLevel="1">
      <c r="C76" s="38"/>
      <c r="D76" s="10" t="s">
        <v>291</v>
      </c>
      <c r="E76" s="158">
        <v>691755.3</v>
      </c>
      <c r="F76" s="33">
        <v>46080</v>
      </c>
      <c r="G76" s="5" t="s">
        <v>12</v>
      </c>
      <c r="H76" s="5">
        <f>IF(OR(G76="Sin pagar",G76="Pagar"),NETWORKDAYS($I$11,F76,'Festivos Colombia'!$A$3:$A$22),0)</f>
        <v>0</v>
      </c>
      <c r="I76" s="36">
        <f t="shared" si="19"/>
        <v>0</v>
      </c>
      <c r="K76" s="13"/>
      <c r="L76" s="13"/>
    </row>
    <row r="77" spans="3:12" s="5" customFormat="1" outlineLevel="1">
      <c r="C77" s="38"/>
      <c r="D77" s="10" t="s">
        <v>236</v>
      </c>
      <c r="E77" s="158">
        <v>4978215</v>
      </c>
      <c r="F77" s="33">
        <v>46080</v>
      </c>
      <c r="G77" s="5" t="s">
        <v>12</v>
      </c>
      <c r="H77" s="5">
        <f>IF(OR(G77="Sin pagar",G77="Pagar"),NETWORKDAYS($I$11,F77,'Festivos Colombia'!$A$3:$A$22),0)</f>
        <v>0</v>
      </c>
      <c r="I77" s="36">
        <f t="shared" si="19"/>
        <v>0</v>
      </c>
      <c r="K77" s="13"/>
      <c r="L77" s="13"/>
    </row>
    <row r="78" spans="3:12" s="5" customFormat="1" outlineLevel="1">
      <c r="C78" s="38"/>
      <c r="D78" s="10" t="s">
        <v>124</v>
      </c>
      <c r="E78" s="158">
        <v>427214</v>
      </c>
      <c r="F78" s="33">
        <v>46080</v>
      </c>
      <c r="G78" s="5" t="s">
        <v>12</v>
      </c>
      <c r="H78" s="5">
        <f>IF(OR(G78="Sin pagar",G78="Pagar"),NETWORKDAYS($I$11,F78,'Festivos Colombia'!$A$3:$A$22),0)</f>
        <v>0</v>
      </c>
      <c r="I78" s="36">
        <f t="shared" si="19"/>
        <v>0</v>
      </c>
      <c r="K78" s="13"/>
      <c r="L78" s="13"/>
    </row>
    <row r="79" spans="3:12" s="5" customFormat="1" outlineLevel="1">
      <c r="C79" s="38"/>
      <c r="D79" s="10" t="s">
        <v>230</v>
      </c>
      <c r="E79" s="158">
        <v>3310709</v>
      </c>
      <c r="F79" s="33">
        <v>46080</v>
      </c>
      <c r="G79" s="5" t="s">
        <v>12</v>
      </c>
      <c r="H79" s="5">
        <f>IF(OR(G79="Sin pagar",G79="Pagar"),NETWORKDAYS($I$11,F79,'Festivos Colombia'!$A$3:$A$22),0)</f>
        <v>0</v>
      </c>
      <c r="I79" s="36">
        <f t="shared" si="19"/>
        <v>0</v>
      </c>
      <c r="K79" s="13"/>
      <c r="L79" s="13"/>
    </row>
    <row r="80" spans="3:12" s="5" customFormat="1" outlineLevel="1">
      <c r="C80" s="38"/>
      <c r="D80" s="10" t="s">
        <v>292</v>
      </c>
      <c r="E80" s="158">
        <v>1423500</v>
      </c>
      <c r="F80" s="33">
        <v>46080</v>
      </c>
      <c r="G80" s="5" t="s">
        <v>12</v>
      </c>
      <c r="H80" s="5">
        <f>IF(OR(G80="Sin pagar",G80="Pagar"),NETWORKDAYS($I$11,F80,'Festivos Colombia'!$A$3:$A$22),0)</f>
        <v>0</v>
      </c>
      <c r="I80" s="36">
        <f t="shared" si="19"/>
        <v>0</v>
      </c>
      <c r="K80" s="13"/>
      <c r="L80" s="13"/>
    </row>
    <row r="81" spans="1:19" s="5" customFormat="1" outlineLevel="1">
      <c r="C81" s="38"/>
      <c r="D81" s="10" t="s">
        <v>298</v>
      </c>
      <c r="E81" s="158">
        <v>934686</v>
      </c>
      <c r="F81" s="33">
        <v>46085</v>
      </c>
      <c r="G81" s="5" t="s">
        <v>12</v>
      </c>
      <c r="H81" s="5">
        <f>IF(OR(G81="Sin pagar",G81="Pagar"),NETWORKDAYS($I$11,F81,'Festivos Colombia'!$A$3:$A$22),0)</f>
        <v>0</v>
      </c>
      <c r="I81" s="36">
        <f t="shared" si="19"/>
        <v>0</v>
      </c>
      <c r="K81" s="13"/>
      <c r="L81" s="13"/>
    </row>
    <row r="82" spans="1:19" s="5" customFormat="1" outlineLevel="1">
      <c r="C82" s="38"/>
      <c r="D82" s="10" t="s">
        <v>302</v>
      </c>
      <c r="E82" s="158">
        <v>3859000</v>
      </c>
      <c r="F82" s="33">
        <v>46085</v>
      </c>
      <c r="G82" s="5" t="s">
        <v>12</v>
      </c>
      <c r="H82" s="5">
        <f>IF(OR(G82="Sin pagar",G82="Pagar"),NETWORKDAYS($I$11,F82,'Festivos Colombia'!$A$3:$A$22),0)</f>
        <v>0</v>
      </c>
      <c r="I82" s="36">
        <f t="shared" si="19"/>
        <v>0</v>
      </c>
      <c r="K82" s="13"/>
      <c r="L82" s="13"/>
    </row>
    <row r="83" spans="1:19" s="5" customFormat="1" outlineLevel="1">
      <c r="C83" s="38"/>
      <c r="D83" s="10" t="s">
        <v>305</v>
      </c>
      <c r="E83" s="158">
        <v>7639026</v>
      </c>
      <c r="F83" s="33">
        <v>46086</v>
      </c>
      <c r="G83" s="5" t="s">
        <v>12</v>
      </c>
      <c r="H83" s="5">
        <f>IF(OR(G83="Sin pagar",G83="Pagar"),NETWORKDAYS($I$11,F83,'Festivos Colombia'!$A$3:$A$22),0)</f>
        <v>0</v>
      </c>
      <c r="I83" s="36">
        <f t="shared" si="18"/>
        <v>0</v>
      </c>
      <c r="K83" s="13"/>
      <c r="L83" s="13"/>
    </row>
    <row r="84" spans="1:19" s="5" customFormat="1" outlineLevel="1">
      <c r="C84" s="38"/>
      <c r="D84" s="10" t="s">
        <v>219</v>
      </c>
      <c r="E84" s="158">
        <v>108171</v>
      </c>
      <c r="F84" s="33">
        <v>46086</v>
      </c>
      <c r="G84" s="5" t="s">
        <v>12</v>
      </c>
      <c r="H84" s="5">
        <f>IF(OR(G84="Sin pagar",G84="Pagar"),NETWORKDAYS($I$11,F84,'Festivos Colombia'!$A$3:$A$22),0)</f>
        <v>0</v>
      </c>
      <c r="I84" s="36">
        <f t="shared" si="18"/>
        <v>0</v>
      </c>
      <c r="K84" s="13"/>
      <c r="L84" s="13"/>
    </row>
    <row r="85" spans="1:19" s="5" customFormat="1" outlineLevel="1">
      <c r="C85" s="38"/>
      <c r="D85" s="10" t="s">
        <v>306</v>
      </c>
      <c r="E85" s="158">
        <v>234474</v>
      </c>
      <c r="F85" s="33">
        <v>46086</v>
      </c>
      <c r="G85" s="5" t="s">
        <v>12</v>
      </c>
      <c r="H85" s="5">
        <f>IF(OR(G85="Sin pagar",G85="Pagar"),NETWORKDAYS($I$11,F85,'Festivos Colombia'!$A$3:$A$22),0)</f>
        <v>0</v>
      </c>
      <c r="I85" s="36">
        <f t="shared" si="18"/>
        <v>0</v>
      </c>
      <c r="K85" s="13"/>
      <c r="L85" s="13"/>
    </row>
    <row r="86" spans="1:19" s="5" customFormat="1" outlineLevel="1">
      <c r="C86" s="38"/>
      <c r="D86" s="10" t="s">
        <v>234</v>
      </c>
      <c r="E86" s="158">
        <v>372593</v>
      </c>
      <c r="F86" s="33">
        <v>46086</v>
      </c>
      <c r="G86" s="5" t="s">
        <v>12</v>
      </c>
      <c r="H86" s="5">
        <f>IF(OR(G86="Sin pagar",G86="Pagar"),NETWORKDAYS($I$11,F86,'Festivos Colombia'!$A$3:$A$22),0)</f>
        <v>0</v>
      </c>
      <c r="I86" s="36">
        <f t="shared" si="18"/>
        <v>0</v>
      </c>
      <c r="K86" s="13"/>
      <c r="L86" s="13"/>
    </row>
    <row r="87" spans="1:19" s="5" customFormat="1" outlineLevel="1">
      <c r="C87" s="38"/>
      <c r="D87" s="10" t="s">
        <v>307</v>
      </c>
      <c r="E87" s="158">
        <v>6060667</v>
      </c>
      <c r="F87" s="33">
        <v>46086</v>
      </c>
      <c r="G87" s="5" t="s">
        <v>12</v>
      </c>
      <c r="H87" s="5">
        <f>IF(OR(G87="Sin pagar",G87="Pagar"),NETWORKDAYS($I$11,F87,'Festivos Colombia'!$A$3:$A$22),0)</f>
        <v>0</v>
      </c>
      <c r="I87" s="36">
        <f t="shared" si="18"/>
        <v>0</v>
      </c>
      <c r="K87" s="13"/>
      <c r="L87" s="13"/>
    </row>
    <row r="88" spans="1:19" s="5" customFormat="1" outlineLevel="1">
      <c r="C88" s="38"/>
      <c r="D88" s="10" t="s">
        <v>106</v>
      </c>
      <c r="E88" s="158">
        <v>1122285</v>
      </c>
      <c r="F88" s="33">
        <v>46086</v>
      </c>
      <c r="G88" s="5" t="s">
        <v>12</v>
      </c>
      <c r="H88" s="5">
        <f>IF(OR(G88="Sin pagar",G88="Pagar"),NETWORKDAYS($I$11,F88,'Festivos Colombia'!$A$3:$A$22),0)</f>
        <v>0</v>
      </c>
      <c r="I88" s="36">
        <f t="shared" si="18"/>
        <v>0</v>
      </c>
      <c r="K88" s="13"/>
      <c r="L88" s="13"/>
    </row>
    <row r="89" spans="1:19" s="5" customFormat="1" outlineLevel="1">
      <c r="C89" s="38"/>
      <c r="D89" s="10" t="s">
        <v>287</v>
      </c>
      <c r="E89" s="158">
        <v>6126379</v>
      </c>
      <c r="F89" s="33">
        <v>46086</v>
      </c>
      <c r="G89" s="5" t="s">
        <v>12</v>
      </c>
      <c r="H89" s="5">
        <f>IF(OR(G89="Sin pagar",G89="Pagar"),NETWORKDAYS($I$11,F89,'Festivos Colombia'!$A$3:$A$22),0)</f>
        <v>0</v>
      </c>
      <c r="I89" s="36">
        <f t="shared" ref="I89:I90" si="20">H89</f>
        <v>0</v>
      </c>
      <c r="K89" s="13"/>
      <c r="L89" s="13"/>
    </row>
    <row r="90" spans="1:19" s="5" customFormat="1" outlineLevel="1">
      <c r="C90" s="38"/>
      <c r="D90" s="10" t="s">
        <v>230</v>
      </c>
      <c r="E90" s="158">
        <v>519451.66000000003</v>
      </c>
      <c r="F90" s="33">
        <v>46086</v>
      </c>
      <c r="G90" s="5" t="s">
        <v>12</v>
      </c>
      <c r="H90" s="5">
        <f>IF(OR(G90="Sin pagar",G90="Pagar"),NETWORKDAYS($I$11,F90,'Festivos Colombia'!$A$3:$A$22),0)</f>
        <v>0</v>
      </c>
      <c r="I90" s="36">
        <f t="shared" si="20"/>
        <v>0</v>
      </c>
      <c r="K90" s="13"/>
      <c r="L90" s="13"/>
    </row>
    <row r="91" spans="1:19" s="5" customFormat="1" ht="15.75" outlineLevel="1" thickBot="1">
      <c r="C91" s="38"/>
      <c r="D91" s="10" t="s">
        <v>298</v>
      </c>
      <c r="E91" s="158">
        <v>934685.62</v>
      </c>
      <c r="F91" s="33">
        <v>46086</v>
      </c>
      <c r="G91" s="5" t="s">
        <v>12</v>
      </c>
      <c r="H91" s="5">
        <f>IF(OR(G91="Sin pagar",G91="Pagar"),NETWORKDAYS($I$11,F91,'Festivos Colombia'!$A$3:$A$22),0)</f>
        <v>0</v>
      </c>
      <c r="I91" s="36">
        <f t="shared" si="18"/>
        <v>0</v>
      </c>
      <c r="K91" s="13"/>
      <c r="L91" s="13"/>
    </row>
    <row r="92" spans="1:19" s="5" customFormat="1" ht="16.5" thickBot="1">
      <c r="C92" s="9"/>
      <c r="D92" s="134" t="s">
        <v>24</v>
      </c>
      <c r="E92" s="135">
        <f>SUBTOTAL(9,E93:E94)</f>
        <v>3447106</v>
      </c>
    </row>
    <row r="93" spans="1:19" s="5" customFormat="1" outlineLevel="1">
      <c r="C93" s="164"/>
      <c r="D93" s="10" t="s">
        <v>251</v>
      </c>
      <c r="E93" s="158">
        <f>3285000*0</f>
        <v>0</v>
      </c>
      <c r="F93" s="33">
        <v>46057</v>
      </c>
      <c r="G93" s="5" t="s">
        <v>12</v>
      </c>
      <c r="I93" s="36"/>
      <c r="J93" s="11"/>
      <c r="K93" s="13"/>
      <c r="L93" s="13"/>
    </row>
    <row r="94" spans="1:19" s="5" customFormat="1" ht="15.75" outlineLevel="1" thickBot="1">
      <c r="C94" s="164"/>
      <c r="D94" s="10" t="s">
        <v>273</v>
      </c>
      <c r="E94" s="158">
        <v>3447106</v>
      </c>
      <c r="F94" s="33">
        <v>46070</v>
      </c>
      <c r="G94" s="5" t="s">
        <v>12</v>
      </c>
      <c r="H94" s="5">
        <f>IF(OR(G94="Sin pagar",G94="Pagar"),NETWORKDAYS($I$11,F94,'Festivos Colombia'!$A$3:$A$22),0)</f>
        <v>0</v>
      </c>
      <c r="I94" s="36">
        <f t="shared" ref="I94" si="21">H94</f>
        <v>0</v>
      </c>
      <c r="J94" s="11"/>
      <c r="K94" s="13"/>
      <c r="L94" s="13"/>
    </row>
    <row r="95" spans="1:19" s="5" customFormat="1" ht="15.75" customHeight="1" thickBot="1">
      <c r="C95" s="9"/>
      <c r="D95" s="134" t="s">
        <v>26</v>
      </c>
      <c r="E95" s="135">
        <f>SUBTOTAL(9,E96:E99)</f>
        <v>20139513.66</v>
      </c>
      <c r="F95" s="33"/>
    </row>
    <row r="96" spans="1:19" s="5" customFormat="1" outlineLevel="1">
      <c r="A96" s="5" t="str">
        <f>G96</f>
        <v>Cancelado</v>
      </c>
      <c r="B96" s="5" t="e">
        <f>IF(#REF!&lt;=-1,1,IF(#REF!&lt;=5,2,IF(#REF!&lt;=15,3,IF(H96&lt;=60,4))))</f>
        <v>#REF!</v>
      </c>
      <c r="C96" s="180" t="s">
        <v>259</v>
      </c>
      <c r="D96" s="57" t="s">
        <v>260</v>
      </c>
      <c r="E96" s="11">
        <v>19779519.66</v>
      </c>
      <c r="F96" s="33">
        <v>46064</v>
      </c>
      <c r="G96" s="5" t="s">
        <v>12</v>
      </c>
      <c r="H96" s="5">
        <f>IF(OR(G96="Sin pagar",G96="Pagar"),NETWORKDAYS($I$11,F96,'Festivos Colombia'!$A$3:$A$22),0)</f>
        <v>0</v>
      </c>
      <c r="I96" s="36">
        <f>H96</f>
        <v>0</v>
      </c>
      <c r="J96" s="166"/>
      <c r="K96" s="131"/>
      <c r="P96" s="12"/>
      <c r="Q96" s="12"/>
      <c r="R96" s="12"/>
      <c r="S96" s="12"/>
    </row>
    <row r="97" spans="1:19" s="5" customFormat="1" outlineLevel="1">
      <c r="A97" s="5" t="str">
        <f>G97</f>
        <v>Cancelado</v>
      </c>
      <c r="B97" s="5" t="e">
        <f>IF(#REF!&lt;=-1,1,IF(#REF!&lt;=5,2,IF(#REF!&lt;=15,3,IF(H97&lt;=60,4))))</f>
        <v>#REF!</v>
      </c>
      <c r="C97" s="180" t="s">
        <v>218</v>
      </c>
      <c r="D97" s="57" t="s">
        <v>261</v>
      </c>
      <c r="E97" s="11">
        <v>359994</v>
      </c>
      <c r="F97" s="33">
        <v>46064</v>
      </c>
      <c r="G97" s="5" t="s">
        <v>12</v>
      </c>
      <c r="H97" s="5">
        <f>IF(OR(G97="Sin pagar",G97="Pagar"),NETWORKDAYS($I$11,F97,'Festivos Colombia'!$A$3:$A$22),0)</f>
        <v>0</v>
      </c>
      <c r="I97" s="36">
        <f>H97</f>
        <v>0</v>
      </c>
      <c r="J97" s="166"/>
      <c r="K97" s="131"/>
      <c r="P97" s="12"/>
      <c r="Q97" s="12"/>
      <c r="R97" s="12"/>
      <c r="S97" s="12"/>
    </row>
    <row r="98" spans="1:19" s="5" customFormat="1" outlineLevel="1">
      <c r="A98" s="5" t="str">
        <f>G98</f>
        <v>Sin Pagar</v>
      </c>
      <c r="B98" s="5" t="e">
        <f>IF(#REF!&lt;=-1,1,IF(#REF!&lt;=5,2,IF(#REF!&lt;=15,3,IF(H98&lt;=60,4))))</f>
        <v>#REF!</v>
      </c>
      <c r="C98" s="180" t="s">
        <v>299</v>
      </c>
      <c r="D98" s="57" t="s">
        <v>300</v>
      </c>
      <c r="E98" s="11">
        <f>18538188.72*0</f>
        <v>0</v>
      </c>
      <c r="F98" s="33">
        <v>46087</v>
      </c>
      <c r="G98" s="5" t="s">
        <v>19</v>
      </c>
      <c r="H98" s="5">
        <f>IF(OR(G98="Sin pagar",G98="Pagar"),NETWORKDAYS($I$11,F98,'Festivos Colombia'!$A$3:$A$22),0)</f>
        <v>25</v>
      </c>
      <c r="I98" s="36">
        <f>H98</f>
        <v>25</v>
      </c>
      <c r="J98" s="166"/>
      <c r="K98" s="131"/>
      <c r="P98" s="12"/>
      <c r="Q98" s="12"/>
      <c r="R98" s="12"/>
      <c r="S98" s="12"/>
    </row>
    <row r="99" spans="1:19" s="5" customFormat="1" ht="15.75" outlineLevel="1" thickBot="1">
      <c r="A99" s="5" t="str">
        <f>G99</f>
        <v>Sin Pagar</v>
      </c>
      <c r="B99" s="5" t="e">
        <f>IF(#REF!&lt;=-1,1,IF(#REF!&lt;=5,2,IF(#REF!&lt;=15,3,IF(H99&lt;=60,4))))</f>
        <v>#REF!</v>
      </c>
      <c r="C99" s="216" t="s">
        <v>304</v>
      </c>
      <c r="D99" s="57" t="s">
        <v>301</v>
      </c>
      <c r="E99" s="11">
        <f>383162*0</f>
        <v>0</v>
      </c>
      <c r="F99" s="33">
        <v>46087</v>
      </c>
      <c r="G99" s="5" t="s">
        <v>19</v>
      </c>
      <c r="H99" s="5">
        <f>IF(OR(G99="Sin pagar",G99="Pagar"),NETWORKDAYS($I$11,F99,'Festivos Colombia'!$A$3:$A$22),0)</f>
        <v>25</v>
      </c>
      <c r="I99" s="36">
        <f>H99</f>
        <v>25</v>
      </c>
      <c r="J99" s="166"/>
      <c r="K99" s="131"/>
      <c r="P99" s="12"/>
      <c r="Q99" s="12"/>
      <c r="R99" s="12"/>
      <c r="S99" s="12"/>
    </row>
    <row r="100" spans="1:19" s="5" customFormat="1" ht="16.5" thickBot="1">
      <c r="D100" s="134" t="s">
        <v>27</v>
      </c>
      <c r="E100" s="135">
        <f>SUBTOTAL(9,E101)</f>
        <v>14020235.757999999</v>
      </c>
    </row>
    <row r="101" spans="1:19" s="5" customFormat="1" ht="15.75" outlineLevel="1" thickBot="1">
      <c r="A101" s="5" t="str">
        <f>G101</f>
        <v>Cancelado</v>
      </c>
      <c r="B101" s="5" t="e">
        <f>IF(#REF!&lt;=-1,1,IF(#REF!&lt;=5,2,IF(#REF!&lt;=15,3,IF(H101&lt;=60,4))))</f>
        <v>#REF!</v>
      </c>
      <c r="C101" s="9"/>
      <c r="D101" s="10" t="s">
        <v>28</v>
      </c>
      <c r="E101" s="11">
        <f>13927764.83+92470.928</f>
        <v>14020235.757999999</v>
      </c>
      <c r="F101" s="33">
        <v>46081</v>
      </c>
      <c r="G101" s="5" t="s">
        <v>12</v>
      </c>
      <c r="H101" s="5">
        <f>IF(OR(G101="Sin pagar",G101="Pagar"),NETWORKDAYS($I$11,F101,'Festivos Colombia'!$A$3:$A$22),0)</f>
        <v>0</v>
      </c>
      <c r="I101" s="36">
        <f>H101</f>
        <v>0</v>
      </c>
    </row>
    <row r="102" spans="1:19" s="5" customFormat="1" ht="16.5" thickBot="1">
      <c r="D102" s="134" t="s">
        <v>29</v>
      </c>
      <c r="E102" s="135">
        <f>SUBTOTAL(9,E103)</f>
        <v>2209861</v>
      </c>
    </row>
    <row r="103" spans="1:19" s="12" customFormat="1" ht="15.75" outlineLevel="1" thickBot="1">
      <c r="A103" s="5" t="str">
        <f t="shared" ref="A103" si="22">G103</f>
        <v>Cancelado</v>
      </c>
      <c r="B103" s="5" t="e">
        <f>IF(#REF!&lt;=-1,1,IF(#REF!&lt;=5,2,IF(#REF!&lt;=15,3,IF(H103&lt;=60,4))))</f>
        <v>#REF!</v>
      </c>
      <c r="C103" s="9"/>
      <c r="D103" s="10" t="s">
        <v>134</v>
      </c>
      <c r="E103" s="11">
        <v>2209861</v>
      </c>
      <c r="F103" s="33">
        <v>46080</v>
      </c>
      <c r="G103" s="5" t="s">
        <v>12</v>
      </c>
      <c r="H103" s="5">
        <f>IF(OR(G103="Sin pagar",G103="Pagar"),NETWORKDAYS($I$11,F103,'Festivos Colombia'!$A$3:$A$22),0)</f>
        <v>0</v>
      </c>
      <c r="I103" s="36">
        <f t="shared" ref="I103" si="23">H103</f>
        <v>0</v>
      </c>
      <c r="J103" s="5"/>
      <c r="K103" s="13"/>
      <c r="L103" s="13"/>
      <c r="M103" s="13"/>
      <c r="N103" s="5"/>
      <c r="O103" s="5"/>
    </row>
    <row r="104" spans="1:19" s="5" customFormat="1" ht="16.5" thickBot="1">
      <c r="D104" s="134" t="s">
        <v>144</v>
      </c>
      <c r="E104" s="135">
        <f>SUBTOTAL(9,E105:E110)</f>
        <v>748206</v>
      </c>
      <c r="J104" s="13"/>
    </row>
    <row r="105" spans="1:19" s="5" customFormat="1" outlineLevel="1">
      <c r="A105" s="5" t="str">
        <f>G105</f>
        <v>Cancelado</v>
      </c>
      <c r="B105" s="5" t="e">
        <f>IF(#REF!&lt;=-1,1,IF(#REF!&lt;=5,2,IF(#REF!&lt;=15,3,IF(H105&lt;=60,4))))</f>
        <v>#REF!</v>
      </c>
      <c r="C105" s="123">
        <v>6872</v>
      </c>
      <c r="D105" s="57" t="s">
        <v>30</v>
      </c>
      <c r="E105" s="14">
        <f>178500</f>
        <v>178500</v>
      </c>
      <c r="F105" s="33">
        <v>46073</v>
      </c>
      <c r="G105" s="5" t="s">
        <v>12</v>
      </c>
      <c r="H105" s="5">
        <f>IF(OR(G105="Sin pagar",G105="Pagar"),NETWORKDAYS($I$11,F105,'Festivos Colombia'!$A$3:$A$22),0)</f>
        <v>0</v>
      </c>
      <c r="I105" s="36">
        <f>H105</f>
        <v>0</v>
      </c>
      <c r="J105" s="166"/>
    </row>
    <row r="106" spans="1:19" s="5" customFormat="1" ht="14.25" customHeight="1" outlineLevel="1">
      <c r="A106" s="5" t="str">
        <f t="shared" ref="A106" si="24">G106</f>
        <v>Cancelado</v>
      </c>
      <c r="B106" s="5" t="e">
        <f>IF(#REF!&lt;=-1,1,IF(#REF!&lt;=5,2,IF(#REF!&lt;=15,3,IF(H106&lt;=60,4))))</f>
        <v>#REF!</v>
      </c>
      <c r="C106" s="212" t="s">
        <v>231</v>
      </c>
      <c r="D106" s="57" t="s">
        <v>146</v>
      </c>
      <c r="E106" s="14">
        <f>467206</f>
        <v>467206</v>
      </c>
      <c r="F106" s="33">
        <v>46078</v>
      </c>
      <c r="G106" s="5" t="s">
        <v>12</v>
      </c>
      <c r="H106" s="5">
        <f>IF(OR(G106="Sin pagar",G106="Pagar"),NETWORKDAYS($I$11,F106,'Festivos Colombia'!$A$3:$A$22),0)</f>
        <v>0</v>
      </c>
      <c r="I106" s="36">
        <f t="shared" ref="I106" si="25">H106</f>
        <v>0</v>
      </c>
      <c r="J106" s="166"/>
    </row>
    <row r="107" spans="1:19" s="5" customFormat="1" outlineLevel="1">
      <c r="A107" s="5" t="str">
        <f>G107</f>
        <v>Cancelado</v>
      </c>
      <c r="B107" s="5" t="e">
        <f>IF(#REF!&lt;=-1,1,IF(#REF!&lt;=5,2,IF(#REF!&lt;=15,3,IF(H107&lt;=60,4))))</f>
        <v>#REF!</v>
      </c>
      <c r="C107" s="123">
        <v>6918</v>
      </c>
      <c r="D107" s="57" t="s">
        <v>30</v>
      </c>
      <c r="E107" s="14">
        <f>102500</f>
        <v>102500</v>
      </c>
      <c r="F107" s="33">
        <v>46073</v>
      </c>
      <c r="G107" s="5" t="s">
        <v>12</v>
      </c>
      <c r="H107" s="5">
        <f>IF(OR(G107="Sin pagar",G107="Pagar"),NETWORKDAYS($I$11,F107,'Festivos Colombia'!$A$3:$A$22),0)</f>
        <v>0</v>
      </c>
      <c r="I107" s="36">
        <f>H107</f>
        <v>0</v>
      </c>
      <c r="J107" s="166"/>
    </row>
    <row r="108" spans="1:19" s="5" customFormat="1" outlineLevel="1">
      <c r="A108" s="5" t="str">
        <f>G108</f>
        <v>Sin Pagar</v>
      </c>
      <c r="B108" s="5" t="e">
        <f>IF(#REF!&lt;=-1,1,IF(#REF!&lt;=5,2,IF(#REF!&lt;=15,3,IF(H108&lt;=60,4))))</f>
        <v>#REF!</v>
      </c>
      <c r="C108" s="123">
        <v>6938</v>
      </c>
      <c r="D108" s="57" t="s">
        <v>30</v>
      </c>
      <c r="E108" s="14">
        <f>117000*0</f>
        <v>0</v>
      </c>
      <c r="F108" s="33">
        <v>46100</v>
      </c>
      <c r="G108" s="5" t="s">
        <v>19</v>
      </c>
      <c r="H108" s="5">
        <f>IF(OR(G108="Sin pagar",G108="Pagar"),NETWORKDAYS($I$11,F108,'Festivos Colombia'!$A$3:$A$22),0)</f>
        <v>34</v>
      </c>
      <c r="I108" s="36">
        <f>H108</f>
        <v>34</v>
      </c>
      <c r="J108" s="166"/>
    </row>
    <row r="109" spans="1:19" s="5" customFormat="1" outlineLevel="1">
      <c r="A109" s="5" t="str">
        <f>G109</f>
        <v>Sin Pagar</v>
      </c>
      <c r="B109" s="5" t="e">
        <f>IF(#REF!&lt;=-1,1,IF(#REF!&lt;=5,2,IF(#REF!&lt;=15,3,IF(H109&lt;=60,4))))</f>
        <v>#REF!</v>
      </c>
      <c r="C109" s="123">
        <v>6941</v>
      </c>
      <c r="D109" s="57" t="s">
        <v>30</v>
      </c>
      <c r="E109" s="14">
        <f>117500*0</f>
        <v>0</v>
      </c>
      <c r="F109" s="33">
        <v>46105</v>
      </c>
      <c r="G109" s="5" t="s">
        <v>19</v>
      </c>
      <c r="H109" s="5">
        <f>IF(OR(G109="Sin pagar",G109="Pagar"),NETWORKDAYS($I$11,F109,'Festivos Colombia'!$A$3:$A$22),0)</f>
        <v>36</v>
      </c>
      <c r="I109" s="36">
        <f>H109</f>
        <v>36</v>
      </c>
      <c r="J109" s="166"/>
    </row>
    <row r="110" spans="1:19" s="5" customFormat="1" ht="15.75" outlineLevel="1" thickBot="1">
      <c r="A110" s="5" t="str">
        <f>G110</f>
        <v>Sin Pagar</v>
      </c>
      <c r="B110" s="5" t="e">
        <f>IF(#REF!&lt;=-1,1,IF(#REF!&lt;=5,2,IF(#REF!&lt;=15,3,IF(H110&lt;=60,4))))</f>
        <v>#REF!</v>
      </c>
      <c r="C110" s="123">
        <v>6951</v>
      </c>
      <c r="D110" s="57" t="s">
        <v>30</v>
      </c>
      <c r="E110" s="14">
        <f>117500*0</f>
        <v>0</v>
      </c>
      <c r="F110" s="33">
        <v>46108</v>
      </c>
      <c r="G110" s="5" t="s">
        <v>19</v>
      </c>
      <c r="H110" s="5">
        <f>IF(OR(G110="Sin pagar",G110="Pagar"),NETWORKDAYS($I$11,F110,'Festivos Colombia'!$A$3:$A$22),0)</f>
        <v>39</v>
      </c>
      <c r="I110" s="36">
        <f>H110</f>
        <v>39</v>
      </c>
      <c r="J110" s="166"/>
    </row>
    <row r="111" spans="1:19" s="5" customFormat="1" ht="16.5" thickBot="1">
      <c r="D111" s="134" t="s">
        <v>31</v>
      </c>
      <c r="E111" s="135">
        <f>SUBTOTAL(9,E112:E116)</f>
        <v>2043817442</v>
      </c>
      <c r="K111" s="13"/>
      <c r="L111" s="13"/>
      <c r="M111" s="39"/>
      <c r="O111" s="13"/>
    </row>
    <row r="112" spans="1:19" s="12" customFormat="1" outlineLevel="1">
      <c r="A112" s="5" t="str">
        <f>G112</f>
        <v>Cancelado</v>
      </c>
      <c r="B112" s="5" t="e">
        <f>IF(#REF!&lt;=-1,1,IF(#REF!&lt;=5,2,IF(#REF!&lt;=15,3,IF(H112&lt;=60,4))))</f>
        <v>#REF!</v>
      </c>
      <c r="C112" s="37"/>
      <c r="D112" s="10" t="s">
        <v>246</v>
      </c>
      <c r="E112" s="11">
        <f>7879073*0</f>
        <v>0</v>
      </c>
      <c r="F112" s="33">
        <v>46054</v>
      </c>
      <c r="G112" s="5" t="s">
        <v>12</v>
      </c>
      <c r="H112" s="5">
        <f>IF(OR(G112="Sin pagar",G112="Pagar"),NETWORKDAYS($I$11,F112,'Festivos Colombia'!$A$3:$A$22),0)</f>
        <v>0</v>
      </c>
      <c r="I112" s="36">
        <f>H112</f>
        <v>0</v>
      </c>
      <c r="J112" s="128"/>
      <c r="K112" s="13"/>
      <c r="L112" s="5"/>
      <c r="M112" s="13"/>
      <c r="N112" s="129"/>
      <c r="O112" s="5"/>
    </row>
    <row r="113" spans="1:21" s="12" customFormat="1" outlineLevel="1">
      <c r="A113" s="5" t="str">
        <f>G113</f>
        <v>Cancelado</v>
      </c>
      <c r="B113" s="5" t="e">
        <f>IF(#REF!&lt;=-1,1,IF(#REF!&lt;=5,2,IF(#REF!&lt;=15,3,IF(H113&lt;=60,4))))</f>
        <v>#REF!</v>
      </c>
      <c r="C113" s="37"/>
      <c r="D113" s="10" t="s">
        <v>262</v>
      </c>
      <c r="E113" s="11">
        <v>504461843</v>
      </c>
      <c r="F113" s="33">
        <v>46065</v>
      </c>
      <c r="G113" s="5" t="s">
        <v>12</v>
      </c>
      <c r="H113" s="5">
        <f>IF(OR(G113="Sin pagar",G113="Pagar"),NETWORKDAYS($I$11,F113,'Festivos Colombia'!$A$3:$A$22),0)</f>
        <v>0</v>
      </c>
      <c r="I113" s="36">
        <f t="shared" ref="I113" si="26">H113</f>
        <v>0</v>
      </c>
      <c r="J113" s="128"/>
      <c r="K113" s="13"/>
      <c r="L113" s="5"/>
      <c r="M113" s="13"/>
      <c r="N113" s="129"/>
      <c r="O113" s="5"/>
    </row>
    <row r="114" spans="1:21" s="12" customFormat="1" outlineLevel="1">
      <c r="A114" s="5" t="str">
        <f t="shared" ref="A114:A115" si="27">G114</f>
        <v>Cancelado</v>
      </c>
      <c r="B114" s="5" t="e">
        <f>IF(#REF!&lt;=-1,1,IF(#REF!&lt;=5,2,IF(#REF!&lt;=15,3,IF(H114&lt;=60,4))))</f>
        <v>#REF!</v>
      </c>
      <c r="C114" s="9" t="s">
        <v>180</v>
      </c>
      <c r="D114" s="10" t="s">
        <v>157</v>
      </c>
      <c r="E114" s="11">
        <v>1536328015</v>
      </c>
      <c r="F114" s="157">
        <v>46079</v>
      </c>
      <c r="G114" s="5" t="s">
        <v>12</v>
      </c>
      <c r="H114" s="5">
        <f>IF(OR(G114="Sin pagar",G114="Pagar"),NETWORKDAYS($I$11,F114,'Festivos Colombia'!$A$3:$A$22),0)</f>
        <v>0</v>
      </c>
      <c r="I114" s="36">
        <f t="shared" ref="I114:I115" si="28">H114</f>
        <v>0</v>
      </c>
      <c r="J114" s="5"/>
      <c r="K114" s="13"/>
      <c r="L114" s="13"/>
      <c r="M114" s="13"/>
      <c r="N114" s="5"/>
      <c r="O114" s="5"/>
    </row>
    <row r="115" spans="1:21" s="12" customFormat="1" outlineLevel="1">
      <c r="A115" s="5" t="str">
        <f t="shared" si="27"/>
        <v>Cancelado</v>
      </c>
      <c r="B115" s="5" t="e">
        <f>IF(#REF!&lt;=-1,1,IF(#REF!&lt;=5,2,IF(#REF!&lt;=15,3,IF(H115&lt;=60,4))))</f>
        <v>#REF!</v>
      </c>
      <c r="C115" s="9" t="s">
        <v>290</v>
      </c>
      <c r="D115" s="10" t="s">
        <v>190</v>
      </c>
      <c r="E115" s="11">
        <v>1630464</v>
      </c>
      <c r="F115" s="157">
        <v>46079</v>
      </c>
      <c r="G115" s="5" t="s">
        <v>12</v>
      </c>
      <c r="H115" s="5">
        <f>IF(OR(G115="Sin pagar",G115="Pagar"),NETWORKDAYS($I$11,F115,'Festivos Colombia'!$A$3:$A$22),0)</f>
        <v>0</v>
      </c>
      <c r="I115" s="36">
        <f t="shared" si="28"/>
        <v>0</v>
      </c>
      <c r="J115" s="5"/>
      <c r="K115" s="13"/>
      <c r="L115" s="13"/>
      <c r="M115" s="13"/>
      <c r="N115" s="5"/>
      <c r="O115" s="5"/>
    </row>
    <row r="116" spans="1:21" s="12" customFormat="1" outlineLevel="1">
      <c r="A116" s="5" t="str">
        <f t="shared" ref="A116" si="29">G116</f>
        <v>Cancelado</v>
      </c>
      <c r="B116" s="5" t="e">
        <f>IF(#REF!&lt;=-1,1,IF(#REF!&lt;=5,2,IF(#REF!&lt;=15,3,IF(H116&lt;=60,4))))</f>
        <v>#REF!</v>
      </c>
      <c r="C116" s="9" t="s">
        <v>293</v>
      </c>
      <c r="D116" s="10" t="s">
        <v>294</v>
      </c>
      <c r="E116" s="11">
        <v>1397120</v>
      </c>
      <c r="F116" s="157">
        <v>46084</v>
      </c>
      <c r="G116" s="5" t="s">
        <v>12</v>
      </c>
      <c r="H116" s="5">
        <f>IF(OR(G116="Sin pagar",G116="Pagar"),NETWORKDAYS($I$11,F116,'Festivos Colombia'!$A$3:$A$22),0)</f>
        <v>0</v>
      </c>
      <c r="I116" s="36">
        <f t="shared" ref="I116" si="30">H116</f>
        <v>0</v>
      </c>
      <c r="J116" s="5"/>
      <c r="K116" s="13"/>
      <c r="L116" s="13"/>
      <c r="M116" s="13"/>
      <c r="N116" s="5"/>
      <c r="O116" s="5"/>
    </row>
    <row r="117" spans="1:21" s="12" customFormat="1" ht="15.75" outlineLevel="1" thickBot="1">
      <c r="A117" s="5" t="str">
        <f>G117</f>
        <v>Cancelado</v>
      </c>
      <c r="B117" s="5" t="e">
        <f>IF(#REF!&lt;=-1,1,IF(#REF!&lt;=5,2,IF(#REF!&lt;=15,3,IF(H117&lt;=60,4))))</f>
        <v>#REF!</v>
      </c>
      <c r="C117" s="37"/>
      <c r="D117" s="10" t="s">
        <v>303</v>
      </c>
      <c r="E117" s="11">
        <f>7879073</f>
        <v>7879073</v>
      </c>
      <c r="F117" s="33">
        <v>46054</v>
      </c>
      <c r="G117" s="5" t="s">
        <v>12</v>
      </c>
      <c r="H117" s="5">
        <f>IF(OR(G117="Sin pagar",G117="Pagar"),NETWORKDAYS($I$11,F117,'Festivos Colombia'!$A$3:$A$22),0)</f>
        <v>0</v>
      </c>
      <c r="I117" s="36">
        <f>H117</f>
        <v>0</v>
      </c>
      <c r="J117" s="128"/>
      <c r="K117" s="13"/>
      <c r="L117" s="5"/>
      <c r="M117" s="13"/>
      <c r="N117" s="129"/>
      <c r="O117" s="5"/>
    </row>
    <row r="118" spans="1:21" s="5" customFormat="1" ht="16.5" thickBot="1">
      <c r="C118" s="9"/>
      <c r="D118" s="134" t="s">
        <v>32</v>
      </c>
      <c r="E118" s="135">
        <f>SUBTOTAL(9,E119:E119)</f>
        <v>13827883</v>
      </c>
      <c r="J118" s="128"/>
      <c r="K118" s="11"/>
      <c r="L118" s="13"/>
      <c r="M118" s="13"/>
      <c r="N118" s="129"/>
    </row>
    <row r="119" spans="1:21" s="12" customFormat="1" ht="15.75" outlineLevel="1" thickBot="1">
      <c r="A119" s="5" t="str">
        <f>G119</f>
        <v>Cancelado</v>
      </c>
      <c r="B119" s="5" t="e">
        <f>IF(#REF!&lt;=-1,1,IF(#REF!&lt;=5,2,IF(#REF!&lt;=15,3,IF(H119&lt;=60,4))))</f>
        <v>#REF!</v>
      </c>
      <c r="C119" s="37" t="s">
        <v>100</v>
      </c>
      <c r="D119" s="10" t="s">
        <v>272</v>
      </c>
      <c r="E119" s="158">
        <v>13827883</v>
      </c>
      <c r="F119" s="33">
        <v>46065</v>
      </c>
      <c r="G119" s="5" t="s">
        <v>12</v>
      </c>
      <c r="H119" s="5">
        <f>IF(OR(G119="Sin pagar",G119="Pagar"),NETWORKDAYS($I$11,F119,'Festivos Colombia'!$A$3:$A$22),0)</f>
        <v>0</v>
      </c>
      <c r="I119" s="36">
        <f>H119</f>
        <v>0</v>
      </c>
      <c r="J119" s="128"/>
      <c r="K119" s="13"/>
      <c r="L119" s="5"/>
      <c r="M119" s="13"/>
      <c r="N119" s="129"/>
      <c r="O119" s="5"/>
    </row>
    <row r="120" spans="1:21" s="5" customFormat="1" ht="16.5" thickBot="1">
      <c r="C120" s="9"/>
      <c r="D120" s="134" t="s">
        <v>33</v>
      </c>
      <c r="E120" s="135">
        <f>SUBTOTAL(9,E121:E122)</f>
        <v>35288787</v>
      </c>
      <c r="F120" s="157"/>
      <c r="J120" s="130"/>
      <c r="K120" s="131"/>
      <c r="L120" s="13"/>
    </row>
    <row r="121" spans="1:21" s="5" customFormat="1" ht="15" customHeight="1" outlineLevel="1">
      <c r="A121" s="5" t="str">
        <f t="shared" ref="A121" si="31">G121</f>
        <v>Cancelado</v>
      </c>
      <c r="B121" s="5" t="e">
        <f>IF(#REF!&lt;=-1,1,IF(#REF!&lt;=5,2,IF(#REF!&lt;=15,3,IF(H121&lt;=60,4))))</f>
        <v>#REF!</v>
      </c>
      <c r="C121" s="9"/>
      <c r="D121" s="10" t="s">
        <v>269</v>
      </c>
      <c r="E121" s="11">
        <v>12364783</v>
      </c>
      <c r="F121" s="33">
        <v>46062</v>
      </c>
      <c r="G121" s="5" t="s">
        <v>12</v>
      </c>
      <c r="H121" s="5">
        <f>IF(OR(G121="Sin pagar",G121="Pagar"),NETWORKDAYS($I$11,F121,'Festivos Colombia'!$A$3:$A$22),0)</f>
        <v>0</v>
      </c>
      <c r="I121" s="36">
        <f t="shared" ref="I121" si="32">H121</f>
        <v>0</v>
      </c>
      <c r="J121" s="132"/>
      <c r="K121" s="133"/>
      <c r="L121" s="131"/>
    </row>
    <row r="122" spans="1:21" s="5" customFormat="1" ht="15" customHeight="1" outlineLevel="1" thickBot="1">
      <c r="A122" s="5" t="str">
        <f t="shared" ref="A122" si="33">G122</f>
        <v>Cancelado</v>
      </c>
      <c r="B122" s="5" t="e">
        <f>IF(#REF!&lt;=-1,1,IF(#REF!&lt;=5,2,IF(#REF!&lt;=15,3,IF(H122&lt;=60,4))))</f>
        <v>#REF!</v>
      </c>
      <c r="C122" s="9"/>
      <c r="D122" s="10" t="s">
        <v>270</v>
      </c>
      <c r="E122" s="11">
        <v>22924004</v>
      </c>
      <c r="F122" s="33">
        <v>46062</v>
      </c>
      <c r="G122" s="5" t="s">
        <v>12</v>
      </c>
      <c r="H122" s="5">
        <f>IF(OR(G122="Sin pagar",G122="Pagar"),NETWORKDAYS($I$11,F122,'Festivos Colombia'!$A$3:$A$22),0)</f>
        <v>0</v>
      </c>
      <c r="I122" s="36">
        <f t="shared" ref="I122" si="34">H122</f>
        <v>0</v>
      </c>
      <c r="J122" s="132"/>
      <c r="K122" s="133"/>
      <c r="L122" s="131"/>
    </row>
    <row r="123" spans="1:21" s="5" customFormat="1" ht="15" customHeight="1">
      <c r="C123" s="9"/>
      <c r="D123" s="40" t="s">
        <v>34</v>
      </c>
      <c r="E123" s="137">
        <f>SUBTOTAL(9,E13:E122)</f>
        <v>3214169145.348</v>
      </c>
      <c r="F123" s="160"/>
      <c r="G123" s="161"/>
      <c r="L123" s="13"/>
      <c r="O123" s="1"/>
      <c r="S123" s="1"/>
      <c r="T123" s="1"/>
      <c r="U123" s="1"/>
    </row>
    <row r="124" spans="1:21" ht="15.75">
      <c r="B124" s="5"/>
      <c r="D124" s="118" t="s">
        <v>40</v>
      </c>
      <c r="E124" s="58">
        <f>(E123*4)/1000</f>
        <v>12856676.581391999</v>
      </c>
      <c r="F124" s="160"/>
      <c r="G124" s="161"/>
      <c r="H124" s="41"/>
      <c r="I124" s="41"/>
      <c r="J124" s="124"/>
    </row>
    <row r="125" spans="1:21" ht="15.75">
      <c r="B125" s="5"/>
      <c r="D125" s="120" t="s">
        <v>41</v>
      </c>
      <c r="E125" s="121">
        <f>E123+E124</f>
        <v>3227025821.9293919</v>
      </c>
      <c r="F125" s="160"/>
      <c r="G125" s="161" t="s">
        <v>19</v>
      </c>
      <c r="H125" s="41"/>
      <c r="I125" s="41"/>
      <c r="J125" s="124"/>
    </row>
    <row r="126" spans="1:21" ht="6" customHeight="1">
      <c r="B126" s="5"/>
      <c r="D126" s="118"/>
      <c r="E126" s="58"/>
      <c r="F126" s="28"/>
      <c r="G126" s="28"/>
      <c r="H126" s="41"/>
      <c r="I126" s="41"/>
    </row>
    <row r="127" spans="1:21" ht="6" customHeight="1">
      <c r="B127" s="5"/>
      <c r="D127" s="118"/>
      <c r="E127" s="58"/>
      <c r="F127" s="28"/>
      <c r="G127" s="28"/>
      <c r="H127" s="41"/>
      <c r="I127" s="41"/>
    </row>
    <row r="128" spans="1:21" ht="6" customHeight="1">
      <c r="B128" s="5"/>
      <c r="D128" s="118"/>
      <c r="E128" s="58"/>
      <c r="F128" s="28"/>
      <c r="G128" s="28"/>
      <c r="H128" s="41"/>
      <c r="I128" s="41"/>
    </row>
    <row r="129" spans="1:24" ht="15.75">
      <c r="B129" s="5"/>
      <c r="D129" s="42" t="s">
        <v>35</v>
      </c>
      <c r="E129" s="43">
        <f>E8-E123</f>
        <v>1303672109.8719993</v>
      </c>
      <c r="F129" s="28"/>
      <c r="G129" s="28"/>
      <c r="I129" s="44"/>
    </row>
    <row r="130" spans="1:24" s="5" customFormat="1" ht="15.75">
      <c r="A130" s="45"/>
      <c r="C130" s="46"/>
      <c r="D130" s="42" t="s">
        <v>36</v>
      </c>
      <c r="E130" s="47">
        <f>IF($E$8=0,0,E129/$E$8)</f>
        <v>0.28856084935824422</v>
      </c>
      <c r="F130" s="28"/>
      <c r="G130" s="28"/>
      <c r="H130" s="45"/>
      <c r="I130" s="49"/>
      <c r="J130" s="45"/>
      <c r="K130" s="45"/>
      <c r="L130" s="45"/>
      <c r="M130" s="45"/>
      <c r="N130" s="45"/>
      <c r="O130" s="1"/>
      <c r="P130" s="45"/>
      <c r="Q130" s="45"/>
      <c r="R130" s="45"/>
      <c r="S130" s="1"/>
      <c r="T130" s="1"/>
      <c r="U130" s="1"/>
    </row>
    <row r="131" spans="1:24" s="5" customFormat="1">
      <c r="A131" s="1"/>
      <c r="C131" s="2"/>
      <c r="D131" s="1"/>
      <c r="E131" s="3"/>
      <c r="F131" s="48"/>
      <c r="G131" s="119"/>
      <c r="H131" s="1"/>
      <c r="I131" s="4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6.75" customHeight="1" thickBot="1"/>
    <row r="133" spans="1:24" ht="15.75" thickBot="1">
      <c r="D133" s="146" t="s">
        <v>95</v>
      </c>
      <c r="E133" s="147" t="s">
        <v>96</v>
      </c>
    </row>
    <row r="134" spans="1:24">
      <c r="J134" s="44"/>
    </row>
    <row r="136" spans="1:24" ht="15.75" thickBot="1"/>
    <row r="137" spans="1:24">
      <c r="D137" s="169">
        <v>46054</v>
      </c>
      <c r="E137" s="220">
        <v>46061</v>
      </c>
      <c r="F137" s="172">
        <f t="shared" ref="F137:F144" si="35">SUMIFS($E$12:$E$132,$F$12:$F$132,"&gt;="&amp;D137,$F$12:$F$132,"&lt;="&amp;E137,$G$12:$G$132,$E$156)</f>
        <v>0</v>
      </c>
    </row>
    <row r="138" spans="1:24">
      <c r="D138" s="170">
        <v>46062</v>
      </c>
      <c r="E138" s="171">
        <v>46064</v>
      </c>
      <c r="F138" s="173">
        <f t="shared" si="35"/>
        <v>0</v>
      </c>
      <c r="G138" s="122" t="s">
        <v>263</v>
      </c>
      <c r="H138" s="162"/>
      <c r="I138" s="162"/>
    </row>
    <row r="139" spans="1:24">
      <c r="D139" s="170">
        <v>46065</v>
      </c>
      <c r="E139" s="171">
        <v>46065</v>
      </c>
      <c r="F139" s="173">
        <f t="shared" si="35"/>
        <v>0</v>
      </c>
      <c r="G139" s="162" t="s">
        <v>264</v>
      </c>
      <c r="H139" s="162"/>
      <c r="I139" s="162"/>
    </row>
    <row r="140" spans="1:24">
      <c r="D140" s="170">
        <v>46066</v>
      </c>
      <c r="E140" s="214">
        <v>46066</v>
      </c>
      <c r="F140" s="173">
        <f t="shared" si="35"/>
        <v>0</v>
      </c>
      <c r="G140" s="162" t="s">
        <v>266</v>
      </c>
      <c r="I140" s="152"/>
    </row>
    <row r="141" spans="1:24">
      <c r="D141" s="170">
        <v>46067</v>
      </c>
      <c r="E141" s="178">
        <v>46068</v>
      </c>
      <c r="F141" s="173">
        <f t="shared" si="35"/>
        <v>0</v>
      </c>
      <c r="G141" s="162"/>
      <c r="I141" s="152"/>
    </row>
    <row r="142" spans="1:24">
      <c r="D142" s="170">
        <v>46069</v>
      </c>
      <c r="E142" s="178">
        <v>46075</v>
      </c>
      <c r="F142" s="173">
        <f t="shared" si="35"/>
        <v>0</v>
      </c>
      <c r="G142" s="122" t="s">
        <v>117</v>
      </c>
      <c r="I142" s="152"/>
    </row>
    <row r="143" spans="1:24">
      <c r="D143" s="170">
        <v>46076</v>
      </c>
      <c r="E143" s="178">
        <v>46081</v>
      </c>
      <c r="F143" s="173">
        <f t="shared" si="35"/>
        <v>0</v>
      </c>
      <c r="G143" s="162" t="s">
        <v>265</v>
      </c>
      <c r="I143" s="152"/>
    </row>
    <row r="144" spans="1:24" ht="15.75" thickBot="1">
      <c r="D144" s="167">
        <v>46082</v>
      </c>
      <c r="E144" s="188">
        <v>46089</v>
      </c>
      <c r="F144" s="174">
        <f t="shared" si="35"/>
        <v>0</v>
      </c>
      <c r="G144" s="162"/>
      <c r="I144" s="152"/>
    </row>
    <row r="145" spans="4:11" ht="15.75">
      <c r="D145" s="235" t="s">
        <v>98</v>
      </c>
      <c r="E145" s="236"/>
      <c r="F145" s="151">
        <f>SUM(F137:F144)</f>
        <v>0</v>
      </c>
      <c r="G145" s="44"/>
      <c r="I145" s="148"/>
    </row>
    <row r="146" spans="4:11">
      <c r="D146" s="237"/>
      <c r="E146" s="238"/>
    </row>
    <row r="147" spans="4:11">
      <c r="E147" s="1"/>
    </row>
    <row r="148" spans="4:11">
      <c r="D148" s="239" t="s">
        <v>277</v>
      </c>
      <c r="E148" s="232"/>
      <c r="F148" s="44">
        <f>SUM(F137:F144)</f>
        <v>0</v>
      </c>
      <c r="I148" s="44"/>
      <c r="J148" s="44"/>
    </row>
    <row r="149" spans="4:11" ht="21" customHeight="1">
      <c r="D149" s="232" t="s">
        <v>40</v>
      </c>
      <c r="E149" s="232"/>
      <c r="F149" s="150">
        <f>(F148*4)/1000</f>
        <v>0</v>
      </c>
      <c r="I149" s="44"/>
    </row>
    <row r="150" spans="4:11">
      <c r="D150" s="229" t="s">
        <v>25</v>
      </c>
      <c r="E150" s="229"/>
      <c r="F150" s="149">
        <f>SUM(F148:F149)</f>
        <v>0</v>
      </c>
      <c r="G150" s="152"/>
    </row>
    <row r="151" spans="4:11" ht="17.25" customHeight="1">
      <c r="F151" s="150"/>
      <c r="G151" s="165"/>
    </row>
    <row r="152" spans="4:11">
      <c r="D152" s="231">
        <v>46086</v>
      </c>
      <c r="E152" s="232"/>
      <c r="F152" s="182">
        <v>1303672109.77</v>
      </c>
      <c r="G152" s="182"/>
      <c r="I152" s="182"/>
      <c r="J152" s="182"/>
      <c r="K152" s="159"/>
    </row>
    <row r="153" spans="4:11">
      <c r="E153" s="186" t="s">
        <v>126</v>
      </c>
      <c r="F153" s="183">
        <f>F152-F150</f>
        <v>1303672109.77</v>
      </c>
      <c r="I153" s="44">
        <f>F153-E129</f>
        <v>-0.10199928283691406</v>
      </c>
    </row>
    <row r="156" spans="4:11">
      <c r="E156" s="3" t="s">
        <v>19</v>
      </c>
      <c r="F156" s="44">
        <f>SUMIFS($E$12:$E$132,$F$12:$F$132,"&gt;="&amp;D137,$F$12:$F$132,"&lt;="&amp;E144,$G$12:$G$132,$E$156)</f>
        <v>0</v>
      </c>
    </row>
    <row r="157" spans="4:11">
      <c r="E157" s="3" t="s">
        <v>12</v>
      </c>
      <c r="F157" s="44">
        <f>SUMIFS($E$12:$E$132,$F$12:$F$132,"&gt;="&amp;D137,$F$12:$F$132,"&lt;="&amp;E144,$G$12:$G$132,$E$157)</f>
        <v>3214169145.348</v>
      </c>
    </row>
    <row r="158" spans="4:11">
      <c r="E158" s="58" t="s">
        <v>25</v>
      </c>
      <c r="F158" s="49">
        <f>SUM(F156:F157)</f>
        <v>3214169145.348</v>
      </c>
    </row>
    <row r="159" spans="4:11">
      <c r="E159" s="3" t="s">
        <v>143</v>
      </c>
      <c r="F159" s="44">
        <f>E123-F158</f>
        <v>0</v>
      </c>
    </row>
    <row r="162" spans="5:6">
      <c r="E162" s="58"/>
      <c r="F162" s="49"/>
    </row>
    <row r="163" spans="5:6">
      <c r="F163" s="179"/>
    </row>
    <row r="164" spans="5:6">
      <c r="E164" s="183"/>
      <c r="F164" s="184"/>
    </row>
    <row r="165" spans="5:6">
      <c r="F165" s="215"/>
    </row>
    <row r="170" spans="5:6">
      <c r="F170" s="168"/>
    </row>
  </sheetData>
  <protectedRanges>
    <protectedRange sqref="F8:G8 E14 E131 F126:G130 E5:F5 E7:F7 E18:E19 E105:E110 E24:E29 E96:E99" name="Presupuestos"/>
    <protectedRange sqref="E12" name="Presupuestos_1"/>
    <protectedRange sqref="E101 J101" name="Presupuestos_7"/>
    <protectedRange sqref="K118 E103 E119 E112:E117" name="Presupuestos_6_1_1"/>
    <protectedRange sqref="K21:L22" name="Presupuestos_1_1_1_1_1_1_2_1_1"/>
    <protectedRange sqref="E31:E37 E39:E40" name="Presupuestos_3"/>
    <protectedRange sqref="E121:E122" name="Presupuestos_6_1_1_1_2_1"/>
    <protectedRange sqref="E21:E22" name="Presupuestos_1_1_1_1_1_1_2_1_1_3_1_1"/>
    <protectedRange sqref="E93:E94" name="Presupuestos_2_2_1_1_1"/>
    <protectedRange sqref="E42:E91" name="Presupuestos_2_2_1_1_3"/>
    <protectedRange sqref="E38" name="Presupuestos_3_1"/>
  </protectedRanges>
  <autoFilter ref="C12:I130" xr:uid="{713DEDF4-24B5-48DE-A5F0-5E5AF7CE9B8E}"/>
  <mergeCells count="9">
    <mergeCell ref="D150:E150"/>
    <mergeCell ref="D152:E152"/>
    <mergeCell ref="C11:D11"/>
    <mergeCell ref="F11:G11"/>
    <mergeCell ref="T20:U20"/>
    <mergeCell ref="D145:E145"/>
    <mergeCell ref="D146:E146"/>
    <mergeCell ref="D148:E148"/>
    <mergeCell ref="D149:E149"/>
  </mergeCells>
  <conditionalFormatting sqref="I14 I16 I21:I122">
    <cfRule type="cellIs" dxfId="47" priority="5" operator="lessThan">
      <formula>0</formula>
    </cfRule>
    <cfRule type="cellIs" dxfId="46" priority="6" operator="between">
      <formula>6</formula>
      <formula>15</formula>
    </cfRule>
    <cfRule type="cellIs" dxfId="45" priority="7" operator="between">
      <formula>1</formula>
      <formula>5</formula>
    </cfRule>
    <cfRule type="cellIs" dxfId="44" priority="8" operator="between">
      <formula>16</formula>
      <formula>60</formula>
    </cfRule>
  </conditionalFormatting>
  <conditionalFormatting sqref="I18:I19">
    <cfRule type="cellIs" dxfId="43" priority="1" operator="lessThan">
      <formula>0</formula>
    </cfRule>
    <cfRule type="cellIs" dxfId="42" priority="2" operator="between">
      <formula>6</formula>
      <formula>15</formula>
    </cfRule>
    <cfRule type="cellIs" dxfId="41" priority="3" operator="between">
      <formula>1</formula>
      <formula>5</formula>
    </cfRule>
    <cfRule type="cellIs" dxfId="40" priority="4" operator="between">
      <formula>16</formula>
      <formula>60</formula>
    </cfRule>
  </conditionalFormatting>
  <conditionalFormatting sqref="I131">
    <cfRule type="cellIs" dxfId="39" priority="9" operator="lessThan">
      <formula>0</formula>
    </cfRule>
    <cfRule type="cellIs" dxfId="38" priority="10" operator="between">
      <formula>6</formula>
      <formula>15</formula>
    </cfRule>
    <cfRule type="cellIs" dxfId="37" priority="11" operator="between">
      <formula>1</formula>
      <formula>5</formula>
    </cfRule>
    <cfRule type="cellIs" dxfId="36" priority="12" operator="between">
      <formula>16</formula>
      <formula>60</formula>
    </cfRule>
  </conditionalFormatting>
  <dataValidations count="3">
    <dataValidation type="list" allowBlank="1" showInputMessage="1" showErrorMessage="1" sqref="E11" xr:uid="{3BD6B149-4671-43D6-BBB8-84B1A0B5302C}">
      <formula1>"ENERO,FEBRERO,MARZO,ABRIL,MAYO,JUNIO,JULIO,AGOSTO,SEPTIEMBRE,OCTUBRE,NOVIEMBRE,DICIEMBRE"</formula1>
    </dataValidation>
    <dataValidation type="list" allowBlank="1" showInputMessage="1" showErrorMessage="1" sqref="G101 G14:G16 G42:G91 G18:G19 G119:G125 G21:G22 G103 G24:G29 G31:G40 G112:G117 G105:G110 G93:G99 E155:E157" xr:uid="{B22655E7-D50A-46B7-B96C-3B70BB9EBD10}">
      <formula1>"Cancelado,Pagar,Sin Pagar"</formula1>
    </dataValidation>
    <dataValidation type="list" allowBlank="1" showInputMessage="1" showErrorMessage="1" sqref="C18:C19" xr:uid="{E51F2254-1363-42A7-9772-5D18EBAFBF4A}">
      <formula1>"0,1"</formula1>
    </dataValidation>
  </dataValidations>
  <pageMargins left="0.7" right="0.7" top="0.75" bottom="0.75" header="0.3" footer="0.3"/>
  <pageSetup paperSize="9" orientation="portrait" r:id="rId1"/>
  <ignoredErrors>
    <ignoredError sqref="I120:I122 I118 I29:I39 I14:I23 I41:I70 I100:I107 I111:I115 I92:I97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7283-44E3-471D-8F64-B68CA6A3A2BA}">
  <dimension ref="A1:X150"/>
  <sheetViews>
    <sheetView showGridLines="0" topLeftCell="C2" zoomScaleNormal="100" workbookViewId="0">
      <selection activeCell="E7" sqref="E7"/>
    </sheetView>
  </sheetViews>
  <sheetFormatPr baseColWidth="10" defaultColWidth="11.42578125" defaultRowHeight="15" outlineLevelRow="1"/>
  <cols>
    <col min="1" max="1" width="10.140625" style="1" hidden="1" customWidth="1"/>
    <col min="2" max="2" width="6.5703125" style="1" hidden="1" customWidth="1"/>
    <col min="3" max="3" width="19.140625" style="2" customWidth="1"/>
    <col min="4" max="4" width="95.7109375" style="1" customWidth="1"/>
    <col min="5" max="5" width="31.85546875" style="3" customWidth="1"/>
    <col min="6" max="6" width="21" style="1" customWidth="1"/>
    <col min="7" max="7" width="20" style="1" bestFit="1" customWidth="1"/>
    <col min="8" max="8" width="7.7109375" style="1" hidden="1" customWidth="1"/>
    <col min="9" max="9" width="19.42578125" style="1" bestFit="1" customWidth="1"/>
    <col min="10" max="10" width="31.28515625" style="1" customWidth="1"/>
    <col min="11" max="11" width="21.5703125" style="1" bestFit="1" customWidth="1"/>
    <col min="12" max="12" width="3.140625" style="1" customWidth="1"/>
    <col min="13" max="13" width="15.7109375" style="1" customWidth="1"/>
    <col min="14" max="14" width="15.28515625" style="1" bestFit="1" customWidth="1"/>
    <col min="15" max="15" width="13.85546875" style="1" bestFit="1" customWidth="1"/>
    <col min="16" max="16" width="13.28515625" style="1" bestFit="1" customWidth="1"/>
    <col min="17" max="17" width="14" style="1" bestFit="1" customWidth="1"/>
    <col min="18" max="18" width="11.42578125" style="1"/>
    <col min="19" max="19" width="9.140625" style="1" customWidth="1"/>
    <col min="20" max="20" width="26.140625" style="1" customWidth="1"/>
    <col min="21" max="21" width="19.28515625" style="1" bestFit="1" customWidth="1"/>
    <col min="22" max="22" width="15.28515625" style="1" bestFit="1" customWidth="1"/>
    <col min="23" max="23" width="14" style="1" bestFit="1" customWidth="1"/>
    <col min="24" max="24" width="13" style="1" bestFit="1" customWidth="1"/>
    <col min="25" max="16384" width="11.42578125" style="1"/>
  </cols>
  <sheetData>
    <row r="1" spans="1:24" hidden="1">
      <c r="E1" s="3">
        <v>42400</v>
      </c>
    </row>
    <row r="2" spans="1:24">
      <c r="E2" s="4"/>
    </row>
    <row r="3" spans="1:24">
      <c r="E3" s="4"/>
    </row>
    <row r="4" spans="1:24" s="6" customFormat="1" ht="15.75">
      <c r="D4" s="7" t="s">
        <v>0</v>
      </c>
      <c r="E4" s="8">
        <f>SUBTOTAL(9,E5:E5)</f>
        <v>1303672109.8719993</v>
      </c>
      <c r="F4" s="55"/>
      <c r="G4" s="1"/>
      <c r="H4" s="1"/>
      <c r="I4" s="1"/>
      <c r="J4" s="1"/>
      <c r="K4" s="1"/>
      <c r="L4" s="1"/>
      <c r="M4" s="1"/>
    </row>
    <row r="5" spans="1:24" s="5" customFormat="1" outlineLevel="1">
      <c r="C5" s="9"/>
      <c r="D5" s="10" t="s">
        <v>131</v>
      </c>
      <c r="E5" s="11">
        <f>FEBRERO!E129</f>
        <v>1303672109.8719993</v>
      </c>
      <c r="F5" s="11"/>
      <c r="G5" s="44"/>
      <c r="H5" s="1"/>
      <c r="I5" s="44"/>
      <c r="J5" s="44"/>
      <c r="K5" s="1"/>
      <c r="L5" s="1"/>
      <c r="M5" s="1"/>
    </row>
    <row r="6" spans="1:24" s="5" customFormat="1" ht="15.75">
      <c r="C6" s="9"/>
      <c r="D6" s="7" t="s">
        <v>97</v>
      </c>
      <c r="E6" s="8">
        <f>SUBTOTAL(9,E7:E7)</f>
        <v>2817287480.8699999</v>
      </c>
      <c r="G6" s="49"/>
      <c r="H6" s="1"/>
      <c r="I6" s="44"/>
      <c r="J6" s="1"/>
      <c r="K6" s="1"/>
      <c r="L6" s="1"/>
      <c r="M6" s="1"/>
    </row>
    <row r="7" spans="1:24" s="5" customFormat="1" outlineLevel="1">
      <c r="C7" s="9"/>
      <c r="D7" s="10" t="s">
        <v>340</v>
      </c>
      <c r="E7" s="11">
        <f>2672864.02+7831260.8+47157848.5+71157372.72+2651028558.59+5475747+56288376-24324546.76</f>
        <v>2817287480.8699999</v>
      </c>
      <c r="F7" s="176"/>
      <c r="G7" s="44"/>
      <c r="H7" s="1"/>
      <c r="I7" s="44"/>
      <c r="J7" s="54"/>
      <c r="K7" s="1"/>
      <c r="L7" s="1"/>
      <c r="M7" s="1"/>
    </row>
    <row r="8" spans="1:24" s="5" customFormat="1" ht="15" customHeight="1">
      <c r="C8" s="9"/>
      <c r="D8" s="17" t="s">
        <v>127</v>
      </c>
      <c r="E8" s="18">
        <f>SUBTOTAL(9,E4:E7)</f>
        <v>4120959590.7419991</v>
      </c>
      <c r="F8" s="28"/>
      <c r="G8" s="28"/>
      <c r="H8" s="1"/>
      <c r="I8" s="1"/>
      <c r="J8" s="1"/>
      <c r="K8" s="1"/>
      <c r="L8" s="1"/>
      <c r="M8" s="1"/>
      <c r="T8" s="19"/>
      <c r="U8" s="20"/>
      <c r="V8" s="15"/>
    </row>
    <row r="9" spans="1:24" s="5" customFormat="1" ht="15.75">
      <c r="C9" s="9"/>
      <c r="D9" s="95"/>
      <c r="E9" s="96"/>
      <c r="G9" s="1"/>
      <c r="H9" s="1"/>
      <c r="I9" s="1"/>
      <c r="J9" s="1"/>
      <c r="K9" s="1"/>
      <c r="L9" s="1"/>
      <c r="M9" s="1"/>
      <c r="T9" s="20"/>
      <c r="U9" s="20"/>
    </row>
    <row r="10" spans="1:24" s="5" customFormat="1" ht="15.75">
      <c r="C10" s="9"/>
      <c r="J10" s="13"/>
      <c r="S10" s="21"/>
      <c r="T10" s="22"/>
      <c r="U10" s="23"/>
    </row>
    <row r="11" spans="1:24" s="5" customFormat="1" ht="15.75">
      <c r="C11" s="233" t="s">
        <v>1</v>
      </c>
      <c r="D11" s="233"/>
      <c r="E11" s="24" t="s">
        <v>308</v>
      </c>
      <c r="F11" s="233" t="s">
        <v>2</v>
      </c>
      <c r="G11" s="233"/>
      <c r="H11" s="24"/>
      <c r="I11" s="25">
        <v>46082</v>
      </c>
      <c r="J11" s="13"/>
      <c r="K11" s="23"/>
      <c r="L11" s="23"/>
      <c r="M11" s="23"/>
      <c r="N11" s="23"/>
      <c r="O11" s="23"/>
      <c r="S11" s="21"/>
      <c r="W11" s="13"/>
      <c r="X11" s="13"/>
    </row>
    <row r="12" spans="1:24" s="5" customFormat="1" ht="16.5" thickBot="1">
      <c r="C12" s="26" t="s">
        <v>3</v>
      </c>
      <c r="D12" s="27" t="s">
        <v>4</v>
      </c>
      <c r="E12" s="28" t="s">
        <v>5</v>
      </c>
      <c r="F12" s="29" t="s">
        <v>6</v>
      </c>
      <c r="G12" s="21" t="s">
        <v>7</v>
      </c>
      <c r="H12" s="21"/>
      <c r="I12" s="30" t="s">
        <v>8</v>
      </c>
      <c r="J12" s="30" t="s">
        <v>9</v>
      </c>
      <c r="S12" s="31"/>
      <c r="W12" s="13"/>
      <c r="X12" s="32"/>
    </row>
    <row r="13" spans="1:24" s="5" customFormat="1" ht="16.5" thickBot="1">
      <c r="D13" s="134" t="s">
        <v>10</v>
      </c>
      <c r="E13" s="135">
        <f>SUBTOTAL(9,E14)</f>
        <v>29793135</v>
      </c>
      <c r="J13" s="13"/>
    </row>
    <row r="14" spans="1:24" s="5" customFormat="1" ht="15.75" outlineLevel="1" thickBot="1">
      <c r="A14" s="5" t="str">
        <f>G14</f>
        <v>Cancelado</v>
      </c>
      <c r="B14" s="5" t="e">
        <f>IF(#REF!&lt;=-1,1,IF(#REF!&lt;=5,2,IF(#REF!&lt;=15,3,IF(H14&lt;=60,4))))</f>
        <v>#REF!</v>
      </c>
      <c r="C14" s="9" t="s">
        <v>100</v>
      </c>
      <c r="D14" s="10" t="s">
        <v>99</v>
      </c>
      <c r="E14" s="11">
        <v>29793135</v>
      </c>
      <c r="F14" s="163">
        <v>46108</v>
      </c>
      <c r="G14" s="5" t="s">
        <v>12</v>
      </c>
      <c r="H14" s="5">
        <f>IF(OR(G14="Sin pagar",G14="Pagar"),NETWORKDAYS($I$11,F14,'Festivos Colombia'!$A$3:$A$22),0)</f>
        <v>0</v>
      </c>
      <c r="I14" s="34">
        <f t="shared" ref="I14" si="0">H14</f>
        <v>0</v>
      </c>
    </row>
    <row r="15" spans="1:24" s="5" customFormat="1" ht="16.5" thickBot="1">
      <c r="C15" s="9"/>
      <c r="D15" s="134" t="s">
        <v>13</v>
      </c>
      <c r="E15" s="135">
        <f>SUBTOTAL(9,E16:E16)</f>
        <v>623291500</v>
      </c>
      <c r="F15" s="33"/>
      <c r="I15" s="34"/>
    </row>
    <row r="16" spans="1:24" s="5" customFormat="1" ht="15.75" outlineLevel="1" thickBot="1">
      <c r="A16" s="5" t="str">
        <f t="shared" ref="A16" si="1">G16</f>
        <v>Cancelado</v>
      </c>
      <c r="B16" s="5" t="e">
        <f>IF(#REF!&lt;=-1,1,IF(#REF!&lt;=5,2,IF(#REF!&lt;=15,3,IF(H16&lt;=60,4))))</f>
        <v>#REF!</v>
      </c>
      <c r="C16" s="9"/>
      <c r="D16" s="10" t="s">
        <v>103</v>
      </c>
      <c r="E16" s="11">
        <v>623291500</v>
      </c>
      <c r="F16" s="33">
        <v>46091</v>
      </c>
      <c r="G16" s="5" t="s">
        <v>12</v>
      </c>
      <c r="H16" s="5">
        <f>IF(OR(G16="Sin pagar",G16="Pagar"),NETWORKDAYS($I$11,F16,'Festivos Colombia'!$A$3:$A$22),0)</f>
        <v>0</v>
      </c>
      <c r="I16" s="34">
        <f t="shared" ref="I16" si="2">H16</f>
        <v>0</v>
      </c>
      <c r="J16" s="14"/>
      <c r="K16" s="13"/>
      <c r="L16" s="13"/>
      <c r="M16" s="144"/>
    </row>
    <row r="17" spans="1:21" s="5" customFormat="1" ht="16.5" thickBot="1">
      <c r="C17" s="9"/>
      <c r="D17" s="134" t="s">
        <v>14</v>
      </c>
      <c r="E17" s="135">
        <f>SUBTOTAL(9,E18:E19)</f>
        <v>67234163</v>
      </c>
      <c r="J17" s="35"/>
      <c r="K17" s="13"/>
      <c r="L17" s="13"/>
    </row>
    <row r="18" spans="1:21" s="5" customFormat="1" outlineLevel="1">
      <c r="A18" s="5" t="str">
        <f>G18</f>
        <v>Cancelado</v>
      </c>
      <c r="B18" s="5" t="e">
        <f>IF(#REF!&lt;=-1,1,IF(#REF!&lt;=5,2,IF(#REF!&lt;=15,3,IF(H18&lt;=60,4))))</f>
        <v>#REF!</v>
      </c>
      <c r="C18" s="9">
        <v>1</v>
      </c>
      <c r="D18" s="10" t="s">
        <v>109</v>
      </c>
      <c r="E18" s="11">
        <v>21300000</v>
      </c>
      <c r="F18" s="163">
        <v>46108</v>
      </c>
      <c r="G18" s="5" t="s">
        <v>12</v>
      </c>
      <c r="H18" s="5">
        <f>IF(OR(G18="Sin pagar",G18="Pagar"),NETWORKDAYS($I$11,F18,'Festivos Colombia'!$A$3:$A$22),0)</f>
        <v>0</v>
      </c>
      <c r="I18" s="36">
        <f>H18</f>
        <v>0</v>
      </c>
      <c r="K18" s="13"/>
      <c r="L18" s="13"/>
    </row>
    <row r="19" spans="1:21" s="5" customFormat="1" ht="15.75" outlineLevel="1" thickBot="1">
      <c r="A19" s="5" t="str">
        <f>G19</f>
        <v>Cancelado</v>
      </c>
      <c r="B19" s="5" t="e">
        <f>IF(#REF!&lt;=-1,1,IF(#REF!&lt;=5,2,IF(#REF!&lt;=15,3,IF(H19&lt;=60,4))))</f>
        <v>#REF!</v>
      </c>
      <c r="C19" s="9">
        <v>1</v>
      </c>
      <c r="D19" s="10" t="s">
        <v>101</v>
      </c>
      <c r="E19" s="11">
        <v>45934163</v>
      </c>
      <c r="F19" s="163">
        <v>46111</v>
      </c>
      <c r="G19" s="5" t="s">
        <v>12</v>
      </c>
      <c r="H19" s="5">
        <f>IF(OR(G19="Sin pagar",G19="Pagar"),NETWORKDAYS($I$11,F19,'Festivos Colombia'!$A$3:$A$22),0)</f>
        <v>0</v>
      </c>
      <c r="I19" s="36">
        <f>H19</f>
        <v>0</v>
      </c>
      <c r="J19" s="13"/>
      <c r="K19" s="13"/>
      <c r="L19" s="13"/>
      <c r="M19" s="13"/>
      <c r="N19" s="13"/>
      <c r="P19" s="13"/>
      <c r="Q19" s="13"/>
    </row>
    <row r="20" spans="1:21" s="5" customFormat="1" ht="16.5" thickBot="1">
      <c r="C20" s="9"/>
      <c r="D20" s="134" t="s">
        <v>15</v>
      </c>
      <c r="E20" s="135">
        <f>SUBTOTAL(9,E21:E22)</f>
        <v>332839000</v>
      </c>
      <c r="H20" s="5">
        <f>IF(OR(G20="Sin pagar",G20="Pagar"),NETWORKDAYS($I$11,F20,'Festivos Colombia'!$A$3:$A$22),0)</f>
        <v>0</v>
      </c>
      <c r="I20" s="34">
        <f t="shared" ref="I20:I22" si="3">H20</f>
        <v>0</v>
      </c>
      <c r="J20" s="13"/>
      <c r="T20" s="234"/>
      <c r="U20" s="234"/>
    </row>
    <row r="21" spans="1:21" s="5" customFormat="1" outlineLevel="1">
      <c r="A21" s="5" t="str">
        <f>G21</f>
        <v>Cancelado</v>
      </c>
      <c r="B21" s="5" t="e">
        <f>IF(#REF!&lt;=-1,1,IF(#REF!&lt;=5,2,IF(#REF!&lt;=15,3,IF(H21&lt;=60,4))))</f>
        <v>#REF!</v>
      </c>
      <c r="C21" s="9"/>
      <c r="D21" s="57" t="s">
        <v>16</v>
      </c>
      <c r="E21" s="219">
        <v>332523000</v>
      </c>
      <c r="F21" s="33">
        <v>46093</v>
      </c>
      <c r="G21" s="5" t="s">
        <v>12</v>
      </c>
      <c r="H21" s="5">
        <f>IF(OR(G21="Sin pagar",G21="Pagar"),NETWORKDAYS($I$11,F21,'Festivos Colombia'!$A$3:$A$22),0)</f>
        <v>0</v>
      </c>
      <c r="I21" s="34">
        <f t="shared" si="3"/>
        <v>0</v>
      </c>
      <c r="J21" s="145"/>
      <c r="K21" s="16"/>
      <c r="L21" s="16"/>
      <c r="M21" s="13"/>
      <c r="U21" s="56"/>
    </row>
    <row r="22" spans="1:21" s="5" customFormat="1" ht="15.75" outlineLevel="1" thickBot="1">
      <c r="A22" s="5" t="str">
        <f>G22</f>
        <v>Cancelado</v>
      </c>
      <c r="B22" s="5" t="e">
        <f>IF(#REF!&lt;=-1,1,IF(#REF!&lt;=5,2,IF(#REF!&lt;=15,3,IF(H22&lt;=60,4))))</f>
        <v>#REF!</v>
      </c>
      <c r="C22" s="9"/>
      <c r="D22" s="57" t="s">
        <v>309</v>
      </c>
      <c r="E22" s="11">
        <v>316000</v>
      </c>
      <c r="F22" s="33">
        <v>46100</v>
      </c>
      <c r="G22" s="5" t="s">
        <v>12</v>
      </c>
      <c r="H22" s="5">
        <f>IF(OR(G22="Sin pagar",G22="Pagar"),NETWORKDAYS($I$11,F22,'Festivos Colombia'!$A$3:$A$22),0)</f>
        <v>0</v>
      </c>
      <c r="I22" s="34">
        <f t="shared" si="3"/>
        <v>0</v>
      </c>
      <c r="J22" s="145"/>
      <c r="K22" s="16"/>
      <c r="L22" s="16"/>
      <c r="M22" s="13"/>
      <c r="U22" s="56"/>
    </row>
    <row r="23" spans="1:21" s="5" customFormat="1" ht="16.5" thickBot="1">
      <c r="D23" s="134" t="s">
        <v>17</v>
      </c>
      <c r="E23" s="135">
        <f>SUBTOTAL(9,E24:E29)</f>
        <v>15400832</v>
      </c>
      <c r="H23" s="5">
        <f>IF(OR(G23="Sin pagar",G23="Pagar"),NETWORKDAYS($I$11,F23,'Festivos Colombia'!$A$3:$A$22),0)</f>
        <v>0</v>
      </c>
      <c r="K23" s="12"/>
      <c r="L23" s="12"/>
      <c r="M23" s="12"/>
      <c r="N23" s="12"/>
      <c r="O23" s="12"/>
      <c r="T23" s="12"/>
      <c r="U23" s="12"/>
    </row>
    <row r="24" spans="1:21" s="5" customFormat="1" ht="14.25" customHeight="1" outlineLevel="1">
      <c r="A24" s="5" t="str">
        <f t="shared" ref="A24:A29" si="4">G24</f>
        <v>Cancelado</v>
      </c>
      <c r="B24" s="5" t="e">
        <f>IF(#REF!&lt;=-1,1,IF(#REF!&lt;=5,2,IF(#REF!&lt;=15,3,IF(H24&lt;=60,4))))</f>
        <v>#REF!</v>
      </c>
      <c r="C24" s="175" t="s">
        <v>325</v>
      </c>
      <c r="D24" s="10" t="s">
        <v>43</v>
      </c>
      <c r="E24" s="14">
        <v>14963656</v>
      </c>
      <c r="F24" s="33">
        <v>46111</v>
      </c>
      <c r="G24" s="5" t="s">
        <v>12</v>
      </c>
      <c r="H24" s="5">
        <f>IF(OR(G24="Sin pagar",G24="Pagar"),NETWORKDAYS($I$11,F24,'Festivos Colombia'!$A$3:$A$22),0)</f>
        <v>0</v>
      </c>
      <c r="I24" s="36">
        <f t="shared" ref="I24" si="5">H24</f>
        <v>0</v>
      </c>
      <c r="J24" s="166"/>
      <c r="K24" s="154"/>
      <c r="L24" s="12"/>
      <c r="M24" s="12"/>
      <c r="N24" s="12"/>
      <c r="O24" s="12"/>
      <c r="T24" s="12"/>
      <c r="U24" s="12"/>
    </row>
    <row r="25" spans="1:21" s="5" customFormat="1" ht="14.25" customHeight="1" outlineLevel="1">
      <c r="A25" s="5" t="str">
        <f>G25</f>
        <v>Cancelado</v>
      </c>
      <c r="B25" s="5" t="e">
        <f>IF(#REF!&lt;=-1,1,IF(#REF!&lt;=5,2,IF(#REF!&lt;=15,3,IF(H25&lt;=60,4))))</f>
        <v>#REF!</v>
      </c>
      <c r="C25" s="175" t="s">
        <v>326</v>
      </c>
      <c r="D25" s="10" t="s">
        <v>107</v>
      </c>
      <c r="E25" s="14">
        <v>437176</v>
      </c>
      <c r="F25" s="33">
        <v>46111</v>
      </c>
      <c r="G25" s="5" t="s">
        <v>12</v>
      </c>
      <c r="H25" s="5">
        <f>IF(OR(G25="Sin pagar",G25="Pagar"),NETWORKDAYS($I$11,F25,'Festivos Colombia'!$A$3:$A$22),0)</f>
        <v>0</v>
      </c>
      <c r="I25" s="36">
        <f>H25</f>
        <v>0</v>
      </c>
      <c r="J25" s="166"/>
      <c r="K25" s="154"/>
      <c r="L25" s="12"/>
      <c r="M25" s="12"/>
      <c r="N25" s="12"/>
      <c r="O25" s="12"/>
      <c r="T25" s="12"/>
      <c r="U25" s="12"/>
    </row>
    <row r="26" spans="1:21" s="5" customFormat="1" ht="14.25" customHeight="1" outlineLevel="1">
      <c r="A26" s="5" t="str">
        <f t="shared" si="4"/>
        <v>Sin Pagar</v>
      </c>
      <c r="B26" s="5" t="e">
        <f>IF(#REF!&lt;=-1,1,IF(#REF!&lt;=5,2,IF(#REF!&lt;=15,3,IF(H26&lt;=60,4))))</f>
        <v>#REF!</v>
      </c>
      <c r="C26" s="222" t="s">
        <v>281</v>
      </c>
      <c r="D26" s="10" t="s">
        <v>43</v>
      </c>
      <c r="E26" s="14">
        <f t="shared" ref="E26:E29" si="6">576588*0</f>
        <v>0</v>
      </c>
      <c r="F26" s="33">
        <v>46122</v>
      </c>
      <c r="G26" s="5" t="s">
        <v>19</v>
      </c>
      <c r="H26" s="5">
        <f>IF(OR(G26="Sin pagar",G26="Pagar"),NETWORKDAYS($I$11,F26,'Festivos Colombia'!$A$3:$A$22),0)</f>
        <v>27</v>
      </c>
      <c r="I26" s="36">
        <f t="shared" ref="I26:I27" si="7">H26</f>
        <v>27</v>
      </c>
      <c r="J26" s="166" t="s">
        <v>310</v>
      </c>
      <c r="K26" s="154"/>
      <c r="L26" s="12"/>
      <c r="M26" s="12"/>
      <c r="N26" s="12"/>
      <c r="O26" s="12"/>
      <c r="T26" s="12"/>
      <c r="U26" s="12"/>
    </row>
    <row r="27" spans="1:21" s="5" customFormat="1" ht="14.25" customHeight="1" outlineLevel="1">
      <c r="A27" s="5" t="str">
        <f t="shared" si="4"/>
        <v>Sin Pagar</v>
      </c>
      <c r="B27" s="5" t="e">
        <f>IF(#REF!&lt;=-1,1,IF(#REF!&lt;=5,2,IF(#REF!&lt;=15,3,IF(H27&lt;=60,4))))</f>
        <v>#REF!</v>
      </c>
      <c r="C27" s="222" t="s">
        <v>279</v>
      </c>
      <c r="D27" s="10" t="s">
        <v>43</v>
      </c>
      <c r="E27" s="14">
        <f t="shared" si="6"/>
        <v>0</v>
      </c>
      <c r="F27" s="33">
        <v>46122</v>
      </c>
      <c r="G27" s="5" t="s">
        <v>19</v>
      </c>
      <c r="H27" s="5">
        <f>IF(OR(G27="Sin pagar",G27="Pagar"),NETWORKDAYS($I$11,F27,'Festivos Colombia'!$A$3:$A$22),0)</f>
        <v>27</v>
      </c>
      <c r="I27" s="36">
        <f t="shared" si="7"/>
        <v>27</v>
      </c>
      <c r="J27" s="166" t="s">
        <v>310</v>
      </c>
      <c r="K27" s="154"/>
      <c r="L27" s="12"/>
      <c r="M27" s="12"/>
      <c r="N27" s="12"/>
      <c r="O27" s="12"/>
      <c r="T27" s="12"/>
      <c r="U27" s="12"/>
    </row>
    <row r="28" spans="1:21" s="5" customFormat="1" ht="14.25" customHeight="1" outlineLevel="1">
      <c r="A28" s="5" t="str">
        <f t="shared" si="4"/>
        <v>Sin Pagar</v>
      </c>
      <c r="B28" s="5" t="e">
        <f>IF(#REF!&lt;=-1,1,IF(#REF!&lt;=5,2,IF(#REF!&lt;=15,3,IF(H28&lt;=60,4))))</f>
        <v>#REF!</v>
      </c>
      <c r="C28" s="222" t="s">
        <v>295</v>
      </c>
      <c r="D28" s="10" t="s">
        <v>43</v>
      </c>
      <c r="E28" s="14">
        <f t="shared" si="6"/>
        <v>0</v>
      </c>
      <c r="F28" s="33">
        <v>46122</v>
      </c>
      <c r="G28" s="5" t="s">
        <v>19</v>
      </c>
      <c r="H28" s="5">
        <f>IF(OR(G28="Sin pagar",G28="Pagar"),NETWORKDAYS($I$11,F28,'Festivos Colombia'!$A$3:$A$22),0)</f>
        <v>27</v>
      </c>
      <c r="I28" s="36">
        <f t="shared" ref="I28:I29" si="8">H28</f>
        <v>27</v>
      </c>
      <c r="J28" s="166" t="s">
        <v>310</v>
      </c>
      <c r="K28" s="154"/>
      <c r="L28" s="12"/>
      <c r="M28" s="12"/>
      <c r="N28" s="12"/>
      <c r="O28" s="12"/>
      <c r="T28" s="12"/>
      <c r="U28" s="12"/>
    </row>
    <row r="29" spans="1:21" s="5" customFormat="1" ht="14.25" customHeight="1" outlineLevel="1" thickBot="1">
      <c r="A29" s="5" t="str">
        <f t="shared" si="4"/>
        <v>Sin Pagar</v>
      </c>
      <c r="B29" s="5" t="e">
        <f>IF(#REF!&lt;=-1,1,IF(#REF!&lt;=5,2,IF(#REF!&lt;=15,3,IF(H29&lt;=60,4))))</f>
        <v>#REF!</v>
      </c>
      <c r="C29" s="222" t="s">
        <v>297</v>
      </c>
      <c r="D29" s="10" t="s">
        <v>43</v>
      </c>
      <c r="E29" s="14">
        <f t="shared" si="6"/>
        <v>0</v>
      </c>
      <c r="F29" s="33">
        <v>46122</v>
      </c>
      <c r="G29" s="5" t="s">
        <v>19</v>
      </c>
      <c r="H29" s="5">
        <f>IF(OR(G29="Sin pagar",G29="Pagar"),NETWORKDAYS($I$11,F29,'Festivos Colombia'!$A$3:$A$22),0)</f>
        <v>27</v>
      </c>
      <c r="I29" s="36">
        <f t="shared" si="8"/>
        <v>27</v>
      </c>
      <c r="J29" s="166" t="s">
        <v>310</v>
      </c>
      <c r="K29" s="154"/>
      <c r="L29" s="12"/>
      <c r="M29" s="12"/>
      <c r="N29" s="12"/>
      <c r="O29" s="12"/>
      <c r="T29" s="12"/>
      <c r="U29" s="12"/>
    </row>
    <row r="30" spans="1:21" s="12" customFormat="1" ht="16.5" thickBot="1">
      <c r="A30" s="5"/>
      <c r="B30" s="5"/>
      <c r="D30" s="134" t="s">
        <v>21</v>
      </c>
      <c r="E30" s="135">
        <f>SUBTOTAL(9,E34:E36)</f>
        <v>18535234</v>
      </c>
      <c r="H30" s="5">
        <f>IF(OR(G30="Sin pagar",G30="Pagar"),NETWORKDAYS($I$11,F30,'Festivos Colombia'!$A$3:$A$22),0)</f>
        <v>0</v>
      </c>
      <c r="J30" s="5"/>
      <c r="K30" s="5"/>
      <c r="L30" s="5"/>
      <c r="M30" s="5"/>
      <c r="N30" s="5"/>
      <c r="O30" s="5"/>
      <c r="S30" s="5"/>
      <c r="T30" s="5"/>
      <c r="U30" s="5"/>
    </row>
    <row r="31" spans="1:21" s="5" customFormat="1" ht="14.25" customHeight="1" outlineLevel="1">
      <c r="A31" s="5" t="str">
        <f t="shared" ref="A31:A33" si="9">G31</f>
        <v>Cancelado</v>
      </c>
      <c r="B31" s="5" t="e">
        <f>IF(#REF!&lt;=-1,1,IF(#REF!&lt;=5,2,IF(#REF!&lt;=15,3,IF(H31&lt;=60,4))))</f>
        <v>#REF!</v>
      </c>
      <c r="C31" s="37">
        <v>10304561</v>
      </c>
      <c r="D31" s="10" t="s">
        <v>140</v>
      </c>
      <c r="E31" s="11">
        <f>1751400</f>
        <v>1751400</v>
      </c>
      <c r="F31" s="33">
        <v>46091</v>
      </c>
      <c r="G31" s="5" t="s">
        <v>12</v>
      </c>
      <c r="H31" s="5">
        <f>IF(OR(G31="Sin pagar",G31="Pagar"),NETWORKDAYS($I$11,F31,'Festivos Colombia'!$A$3:$A$22),0)</f>
        <v>0</v>
      </c>
      <c r="I31" s="36">
        <f t="shared" ref="I31:I33" si="10">H31</f>
        <v>0</v>
      </c>
      <c r="J31" s="166"/>
      <c r="K31" s="12"/>
      <c r="L31" s="12"/>
      <c r="M31" s="12"/>
      <c r="N31" s="12"/>
      <c r="O31" s="12"/>
      <c r="T31" s="12"/>
      <c r="U31" s="12"/>
    </row>
    <row r="32" spans="1:21" s="5" customFormat="1" ht="14.25" customHeight="1" outlineLevel="1">
      <c r="A32" s="5" t="str">
        <f t="shared" si="9"/>
        <v>Cancelado</v>
      </c>
      <c r="B32" s="5" t="e">
        <f>IF(#REF!&lt;=-1,1,IF(#REF!&lt;=5,2,IF(#REF!&lt;=15,3,IF(H32&lt;=60,4))))</f>
        <v>#REF!</v>
      </c>
      <c r="C32" s="37">
        <v>12310455687</v>
      </c>
      <c r="D32" s="10" t="s">
        <v>318</v>
      </c>
      <c r="E32" s="11">
        <v>1080034</v>
      </c>
      <c r="F32" s="33">
        <v>46097</v>
      </c>
      <c r="G32" s="5" t="s">
        <v>12</v>
      </c>
      <c r="H32" s="5">
        <f>IF(OR(G32="Sin pagar",G32="Pagar"),NETWORKDAYS($I$11,F32,'Festivos Colombia'!$A$3:$A$22),0)</f>
        <v>0</v>
      </c>
      <c r="I32" s="36">
        <f t="shared" si="10"/>
        <v>0</v>
      </c>
      <c r="J32" s="166"/>
      <c r="K32" s="12"/>
      <c r="L32" s="12"/>
      <c r="M32" s="12"/>
      <c r="N32" s="12"/>
      <c r="O32" s="12"/>
      <c r="T32" s="12"/>
      <c r="U32" s="12"/>
    </row>
    <row r="33" spans="1:21" s="5" customFormat="1" ht="14.25" customHeight="1" outlineLevel="1">
      <c r="A33" s="5" t="str">
        <f t="shared" si="9"/>
        <v>Cancelado</v>
      </c>
      <c r="B33" s="5" t="e">
        <f>IF(#REF!&lt;=-1,1,IF(#REF!&lt;=5,2,IF(#REF!&lt;=15,3,IF(H33&lt;=60,4))))</f>
        <v>#REF!</v>
      </c>
      <c r="C33" s="37">
        <v>12310455690</v>
      </c>
      <c r="D33" s="10" t="s">
        <v>319</v>
      </c>
      <c r="E33" s="11">
        <v>15703800</v>
      </c>
      <c r="F33" s="33">
        <v>46097</v>
      </c>
      <c r="G33" s="5" t="s">
        <v>12</v>
      </c>
      <c r="H33" s="5">
        <f>IF(OR(G33="Sin pagar",G33="Pagar"),NETWORKDAYS($I$11,F33,'Festivos Colombia'!$A$3:$A$22),0)</f>
        <v>0</v>
      </c>
      <c r="I33" s="36">
        <f t="shared" si="10"/>
        <v>0</v>
      </c>
      <c r="J33" s="166"/>
      <c r="K33" s="12"/>
      <c r="L33" s="12"/>
      <c r="M33" s="12"/>
      <c r="N33" s="12"/>
      <c r="O33" s="12"/>
      <c r="T33" s="12"/>
      <c r="U33" s="12"/>
    </row>
    <row r="34" spans="1:21" s="5" customFormat="1" ht="14.25" customHeight="1" outlineLevel="1">
      <c r="A34" s="5" t="str">
        <f t="shared" ref="A34:A35" si="11">G34</f>
        <v>Cancelado</v>
      </c>
      <c r="B34" s="5" t="e">
        <f>IF(#REF!&lt;=-1,1,IF(#REF!&lt;=5,2,IF(#REF!&lt;=15,3,IF(H34&lt;=60,4))))</f>
        <v>#REF!</v>
      </c>
      <c r="C34" s="37">
        <v>12310603651</v>
      </c>
      <c r="D34" s="10" t="s">
        <v>140</v>
      </c>
      <c r="E34" s="11">
        <f>1751400</f>
        <v>1751400</v>
      </c>
      <c r="F34" s="33">
        <v>46119</v>
      </c>
      <c r="G34" s="5" t="s">
        <v>12</v>
      </c>
      <c r="H34" s="5">
        <f>IF(OR(G34="Sin pagar",G34="Pagar"),NETWORKDAYS($I$11,F34,'Festivos Colombia'!$A$3:$A$22),0)</f>
        <v>0</v>
      </c>
      <c r="I34" s="36">
        <f t="shared" ref="I34:I35" si="12">H34</f>
        <v>0</v>
      </c>
      <c r="J34" s="166"/>
      <c r="K34" s="12"/>
      <c r="L34" s="12"/>
      <c r="M34" s="12"/>
      <c r="N34" s="12"/>
      <c r="O34" s="12"/>
      <c r="T34" s="12"/>
      <c r="U34" s="12"/>
    </row>
    <row r="35" spans="1:21" s="5" customFormat="1" ht="14.25" customHeight="1" outlineLevel="1">
      <c r="A35" s="5" t="str">
        <f t="shared" si="11"/>
        <v>Cancelado</v>
      </c>
      <c r="B35" s="5" t="e">
        <f>IF(#REF!&lt;=-1,1,IF(#REF!&lt;=5,2,IF(#REF!&lt;=15,3,IF(H35&lt;=60,4))))</f>
        <v>#REF!</v>
      </c>
      <c r="C35" s="37">
        <v>12310458522</v>
      </c>
      <c r="D35" s="10" t="s">
        <v>318</v>
      </c>
      <c r="E35" s="11">
        <v>1080034</v>
      </c>
      <c r="F35" s="33">
        <v>46123</v>
      </c>
      <c r="G35" s="5" t="s">
        <v>12</v>
      </c>
      <c r="H35" s="5">
        <f>IF(OR(G35="Sin pagar",G35="Pagar"),NETWORKDAYS($I$11,F35,'Festivos Colombia'!$A$3:$A$22),0)</f>
        <v>0</v>
      </c>
      <c r="I35" s="36">
        <f t="shared" si="12"/>
        <v>0</v>
      </c>
      <c r="J35" s="166"/>
      <c r="K35" s="12"/>
      <c r="L35" s="12"/>
      <c r="M35" s="12"/>
      <c r="N35" s="12"/>
      <c r="O35" s="12"/>
      <c r="T35" s="12"/>
      <c r="U35" s="12"/>
    </row>
    <row r="36" spans="1:21" s="5" customFormat="1" ht="14.25" customHeight="1" outlineLevel="1" thickBot="1">
      <c r="A36" s="5" t="str">
        <f t="shared" ref="A36" si="13">G36</f>
        <v>Cancelado</v>
      </c>
      <c r="B36" s="5" t="e">
        <f>IF(#REF!&lt;=-1,1,IF(#REF!&lt;=5,2,IF(#REF!&lt;=15,3,IF(H36&lt;=60,4))))</f>
        <v>#REF!</v>
      </c>
      <c r="C36" s="37">
        <v>12310459539</v>
      </c>
      <c r="D36" s="10" t="s">
        <v>319</v>
      </c>
      <c r="E36" s="11">
        <v>15703800</v>
      </c>
      <c r="F36" s="33">
        <v>46123</v>
      </c>
      <c r="G36" s="5" t="s">
        <v>12</v>
      </c>
      <c r="H36" s="5">
        <f>IF(OR(G36="Sin pagar",G36="Pagar"),NETWORKDAYS($I$11,F36,'Festivos Colombia'!$A$3:$A$22),0)</f>
        <v>0</v>
      </c>
      <c r="I36" s="36">
        <f t="shared" ref="I36" si="14">H36</f>
        <v>0</v>
      </c>
      <c r="J36" s="166"/>
      <c r="K36" s="12"/>
      <c r="L36" s="12"/>
      <c r="M36" s="12"/>
      <c r="N36" s="12"/>
      <c r="O36" s="12"/>
      <c r="T36" s="12"/>
      <c r="U36" s="12"/>
    </row>
    <row r="37" spans="1:21" s="5" customFormat="1" ht="16.5" thickBot="1">
      <c r="C37" s="38"/>
      <c r="D37" s="136" t="s">
        <v>23</v>
      </c>
      <c r="E37" s="135">
        <f>SUBTOTAL(9,E38:E84)</f>
        <v>188582561.30999997</v>
      </c>
      <c r="G37" s="13"/>
      <c r="I37" s="13"/>
      <c r="K37" s="13"/>
      <c r="L37" s="13"/>
    </row>
    <row r="38" spans="1:21" s="5" customFormat="1" outlineLevel="1">
      <c r="C38" s="38"/>
      <c r="D38" s="10" t="s">
        <v>305</v>
      </c>
      <c r="E38" s="158">
        <v>197477</v>
      </c>
      <c r="F38" s="33">
        <v>46093</v>
      </c>
      <c r="G38" s="5" t="s">
        <v>12</v>
      </c>
      <c r="H38" s="5">
        <f>IF(OR(G38="Sin pagar",G38="Pagar"),NETWORKDAYS($I$11,F38,'Festivos Colombia'!$A$3:$A$22),0)</f>
        <v>0</v>
      </c>
      <c r="I38" s="36">
        <f t="shared" ref="I38" si="15">H38</f>
        <v>0</v>
      </c>
      <c r="K38" s="13"/>
      <c r="L38" s="13"/>
    </row>
    <row r="39" spans="1:21" s="5" customFormat="1" outlineLevel="1">
      <c r="C39" s="38"/>
      <c r="D39" s="10" t="s">
        <v>219</v>
      </c>
      <c r="E39" s="158">
        <v>368769</v>
      </c>
      <c r="F39" s="33">
        <v>46093</v>
      </c>
      <c r="G39" s="5" t="s">
        <v>12</v>
      </c>
      <c r="H39" s="5">
        <f>IF(OR(G39="Sin pagar",G39="Pagar"),NETWORKDAYS($I$11,F39,'Festivos Colombia'!$A$3:$A$22),0)</f>
        <v>0</v>
      </c>
      <c r="I39" s="36">
        <f t="shared" ref="I39" si="16">H39</f>
        <v>0</v>
      </c>
      <c r="K39" s="13"/>
      <c r="L39" s="13"/>
    </row>
    <row r="40" spans="1:21" s="5" customFormat="1" outlineLevel="1">
      <c r="C40" s="38"/>
      <c r="D40" s="10" t="s">
        <v>118</v>
      </c>
      <c r="E40" s="158">
        <v>2459151</v>
      </c>
      <c r="F40" s="33">
        <v>46093</v>
      </c>
      <c r="G40" s="5" t="s">
        <v>12</v>
      </c>
      <c r="H40" s="5">
        <f>IF(OR(G40="Sin pagar",G40="Pagar"),NETWORKDAYS($I$11,F40,'Festivos Colombia'!$A$3:$A$22),0)</f>
        <v>0</v>
      </c>
      <c r="I40" s="36">
        <f t="shared" ref="I40" si="17">H40</f>
        <v>0</v>
      </c>
      <c r="K40" s="13"/>
      <c r="L40" s="13"/>
    </row>
    <row r="41" spans="1:21" s="5" customFormat="1" outlineLevel="1">
      <c r="C41" s="38"/>
      <c r="D41" s="10" t="s">
        <v>307</v>
      </c>
      <c r="E41" s="158">
        <v>575750</v>
      </c>
      <c r="F41" s="33">
        <v>46093</v>
      </c>
      <c r="G41" s="5" t="s">
        <v>12</v>
      </c>
      <c r="H41" s="5">
        <f>IF(OR(G41="Sin pagar",G41="Pagar"),NETWORKDAYS($I$11,F41,'Festivos Colombia'!$A$3:$A$22),0)</f>
        <v>0</v>
      </c>
      <c r="I41" s="36">
        <f t="shared" ref="I41" si="18">H41</f>
        <v>0</v>
      </c>
      <c r="K41" s="13"/>
      <c r="L41" s="13"/>
    </row>
    <row r="42" spans="1:21" s="5" customFormat="1" outlineLevel="1">
      <c r="C42" s="38"/>
      <c r="D42" s="10" t="s">
        <v>110</v>
      </c>
      <c r="E42" s="158">
        <v>7661306.25</v>
      </c>
      <c r="F42" s="33">
        <v>46093</v>
      </c>
      <c r="G42" s="5" t="s">
        <v>12</v>
      </c>
      <c r="H42" s="5">
        <f>IF(OR(G42="Sin pagar",G42="Pagar"),NETWORKDAYS($I$11,F42,'Festivos Colombia'!$A$3:$A$22),0)</f>
        <v>0</v>
      </c>
      <c r="I42" s="36">
        <f t="shared" ref="I42" si="19">H42</f>
        <v>0</v>
      </c>
      <c r="K42" s="13"/>
      <c r="L42" s="13"/>
    </row>
    <row r="43" spans="1:21" s="5" customFormat="1" outlineLevel="1">
      <c r="C43" s="38"/>
      <c r="D43" s="10" t="s">
        <v>267</v>
      </c>
      <c r="E43" s="158">
        <v>6469600</v>
      </c>
      <c r="F43" s="33">
        <v>46093</v>
      </c>
      <c r="G43" s="5" t="s">
        <v>12</v>
      </c>
      <c r="H43" s="5">
        <f>IF(OR(G43="Sin pagar",G43="Pagar"),NETWORKDAYS($I$11,F43,'Festivos Colombia'!$A$3:$A$22),0)</f>
        <v>0</v>
      </c>
      <c r="I43" s="36">
        <f t="shared" ref="I43" si="20">H43</f>
        <v>0</v>
      </c>
      <c r="K43" s="13"/>
      <c r="L43" s="13"/>
    </row>
    <row r="44" spans="1:21" s="5" customFormat="1" outlineLevel="1">
      <c r="C44" s="38"/>
      <c r="D44" s="10" t="s">
        <v>291</v>
      </c>
      <c r="E44" s="158">
        <v>54300</v>
      </c>
      <c r="F44" s="33">
        <v>46093</v>
      </c>
      <c r="G44" s="5" t="s">
        <v>12</v>
      </c>
      <c r="H44" s="5">
        <f>IF(OR(G44="Sin pagar",G44="Pagar"),NETWORKDAYS($I$11,F44,'Festivos Colombia'!$A$3:$A$22),0)</f>
        <v>0</v>
      </c>
      <c r="I44" s="36">
        <f t="shared" ref="I44" si="21">H44</f>
        <v>0</v>
      </c>
      <c r="K44" s="13"/>
      <c r="L44" s="13"/>
    </row>
    <row r="45" spans="1:21" s="5" customFormat="1" outlineLevel="1">
      <c r="C45" s="38"/>
      <c r="D45" s="10" t="s">
        <v>244</v>
      </c>
      <c r="E45" s="158">
        <v>5093686</v>
      </c>
      <c r="F45" s="33">
        <v>46093</v>
      </c>
      <c r="G45" s="5" t="s">
        <v>12</v>
      </c>
      <c r="H45" s="5">
        <f>IF(OR(G45="Sin pagar",G45="Pagar"),NETWORKDAYS($I$11,F45,'Festivos Colombia'!$A$3:$A$22),0)</f>
        <v>0</v>
      </c>
      <c r="I45" s="36">
        <f t="shared" ref="I45" si="22">H45</f>
        <v>0</v>
      </c>
      <c r="K45" s="13"/>
      <c r="L45" s="13"/>
    </row>
    <row r="46" spans="1:21" s="5" customFormat="1" outlineLevel="1">
      <c r="C46" s="38"/>
      <c r="D46" s="10" t="s">
        <v>314</v>
      </c>
      <c r="E46" s="158">
        <v>3766043.7199999997</v>
      </c>
      <c r="F46" s="33">
        <v>46093</v>
      </c>
      <c r="G46" s="5" t="s">
        <v>12</v>
      </c>
      <c r="H46" s="5">
        <f>IF(OR(G46="Sin pagar",G46="Pagar"),NETWORKDAYS($I$11,F46,'Festivos Colombia'!$A$3:$A$22),0)</f>
        <v>0</v>
      </c>
      <c r="I46" s="36">
        <f t="shared" ref="I46" si="23">H46</f>
        <v>0</v>
      </c>
      <c r="K46" s="13"/>
      <c r="L46" s="13"/>
    </row>
    <row r="47" spans="1:21" s="5" customFormat="1" outlineLevel="1">
      <c r="C47" s="38"/>
      <c r="D47" s="10" t="s">
        <v>337</v>
      </c>
      <c r="E47" s="158">
        <v>657859</v>
      </c>
      <c r="F47" s="33">
        <v>46093</v>
      </c>
      <c r="G47" s="5" t="s">
        <v>12</v>
      </c>
      <c r="H47" s="5">
        <f>IF(OR(G47="Sin pagar",G47="Pagar"),NETWORKDAYS($I$11,F47,'Festivos Colombia'!$A$3:$A$22),0)</f>
        <v>0</v>
      </c>
      <c r="I47" s="36">
        <f t="shared" ref="I47" si="24">H47</f>
        <v>0</v>
      </c>
      <c r="K47" s="13"/>
      <c r="L47" s="13"/>
    </row>
    <row r="48" spans="1:21" s="5" customFormat="1" outlineLevel="1">
      <c r="C48" s="38"/>
      <c r="D48" s="10" t="s">
        <v>315</v>
      </c>
      <c r="E48" s="158">
        <v>9757903</v>
      </c>
      <c r="F48" s="33">
        <v>46093</v>
      </c>
      <c r="G48" s="5" t="s">
        <v>12</v>
      </c>
      <c r="H48" s="5">
        <f>IF(OR(G48="Sin pagar",G48="Pagar"),NETWORKDAYS($I$11,F48,'Festivos Colombia'!$A$3:$A$22),0)</f>
        <v>0</v>
      </c>
      <c r="I48" s="36">
        <f t="shared" ref="I48:I53" si="25">H48</f>
        <v>0</v>
      </c>
      <c r="K48" s="13"/>
      <c r="L48" s="13"/>
    </row>
    <row r="49" spans="3:12" s="5" customFormat="1" outlineLevel="1">
      <c r="C49" s="38"/>
      <c r="D49" s="10" t="s">
        <v>276</v>
      </c>
      <c r="E49" s="158">
        <v>5375008</v>
      </c>
      <c r="F49" s="33">
        <v>46093</v>
      </c>
      <c r="G49" s="5" t="s">
        <v>12</v>
      </c>
      <c r="H49" s="5">
        <f>IF(OR(G49="Sin pagar",G49="Pagar"),NETWORKDAYS($I$11,F49,'Festivos Colombia'!$A$3:$A$22),0)</f>
        <v>0</v>
      </c>
      <c r="I49" s="36">
        <f t="shared" si="25"/>
        <v>0</v>
      </c>
      <c r="K49" s="13"/>
      <c r="L49" s="13"/>
    </row>
    <row r="50" spans="3:12" s="5" customFormat="1" outlineLevel="1">
      <c r="C50" s="38"/>
      <c r="D50" s="10" t="s">
        <v>307</v>
      </c>
      <c r="E50" s="158">
        <v>5418450</v>
      </c>
      <c r="F50" s="33">
        <v>46101</v>
      </c>
      <c r="G50" s="5" t="s">
        <v>12</v>
      </c>
      <c r="H50" s="5">
        <f>IF(OR(G50="Sin pagar",G50="Pagar"),NETWORKDAYS($I$11,F50,'Festivos Colombia'!$A$3:$A$22),0)</f>
        <v>0</v>
      </c>
      <c r="I50" s="36">
        <f t="shared" si="25"/>
        <v>0</v>
      </c>
      <c r="K50" s="13"/>
      <c r="L50" s="13"/>
    </row>
    <row r="51" spans="3:12" s="5" customFormat="1" outlineLevel="1">
      <c r="C51" s="38"/>
      <c r="D51" s="10" t="s">
        <v>113</v>
      </c>
      <c r="E51" s="158">
        <v>7104745.0700000003</v>
      </c>
      <c r="F51" s="33">
        <v>46101</v>
      </c>
      <c r="G51" s="5" t="s">
        <v>12</v>
      </c>
      <c r="H51" s="5">
        <f>IF(OR(G51="Sin pagar",G51="Pagar"),NETWORKDAYS($I$11,F51,'Festivos Colombia'!$A$3:$A$22),0)</f>
        <v>0</v>
      </c>
      <c r="I51" s="36">
        <f t="shared" si="25"/>
        <v>0</v>
      </c>
      <c r="K51" s="13"/>
      <c r="L51" s="13"/>
    </row>
    <row r="52" spans="3:12" s="5" customFormat="1" outlineLevel="1">
      <c r="C52" s="38"/>
      <c r="D52" s="10" t="s">
        <v>274</v>
      </c>
      <c r="E52" s="158">
        <v>7651075</v>
      </c>
      <c r="F52" s="33">
        <v>46101</v>
      </c>
      <c r="G52" s="5" t="s">
        <v>12</v>
      </c>
      <c r="H52" s="5">
        <f>IF(OR(G52="Sin pagar",G52="Pagar"),NETWORKDAYS($I$11,F52,'Festivos Colombia'!$A$3:$A$22),0)</f>
        <v>0</v>
      </c>
      <c r="I52" s="36">
        <f t="shared" si="25"/>
        <v>0</v>
      </c>
      <c r="K52" s="13"/>
      <c r="L52" s="13"/>
    </row>
    <row r="53" spans="3:12" s="5" customFormat="1" outlineLevel="1">
      <c r="C53" s="38"/>
      <c r="D53" s="10" t="s">
        <v>124</v>
      </c>
      <c r="E53" s="158">
        <v>168500</v>
      </c>
      <c r="F53" s="33">
        <v>46101</v>
      </c>
      <c r="G53" s="5" t="s">
        <v>12</v>
      </c>
      <c r="H53" s="5">
        <f>IF(OR(G53="Sin pagar",G53="Pagar"),NETWORKDAYS($I$11,F53,'Festivos Colombia'!$A$3:$A$22),0)</f>
        <v>0</v>
      </c>
      <c r="I53" s="36">
        <f t="shared" si="25"/>
        <v>0</v>
      </c>
      <c r="K53" s="13"/>
      <c r="L53" s="13"/>
    </row>
    <row r="54" spans="3:12" s="5" customFormat="1" outlineLevel="1">
      <c r="C54" s="38"/>
      <c r="D54" s="10" t="s">
        <v>315</v>
      </c>
      <c r="E54" s="158">
        <v>32544366</v>
      </c>
      <c r="F54" s="33">
        <v>46101</v>
      </c>
      <c r="G54" s="5" t="s">
        <v>12</v>
      </c>
      <c r="H54" s="5">
        <f>IF(OR(G54="Sin pagar",G54="Pagar"),NETWORKDAYS($I$11,F54,'Festivos Colombia'!$A$3:$A$22),0)</f>
        <v>0</v>
      </c>
      <c r="I54" s="36">
        <f t="shared" ref="I54" si="26">H54</f>
        <v>0</v>
      </c>
      <c r="K54" s="13"/>
      <c r="L54" s="13"/>
    </row>
    <row r="55" spans="3:12" s="5" customFormat="1" outlineLevel="1">
      <c r="C55" s="38"/>
      <c r="D55" s="10" t="s">
        <v>305</v>
      </c>
      <c r="E55" s="158">
        <v>490951</v>
      </c>
      <c r="F55" s="33">
        <v>46107</v>
      </c>
      <c r="G55" s="5" t="s">
        <v>12</v>
      </c>
      <c r="H55" s="5">
        <f>IF(OR(G55="Sin pagar",G55="Pagar"),NETWORKDAYS($I$11,F55,'Festivos Colombia'!$A$3:$A$22),0)</f>
        <v>0</v>
      </c>
      <c r="I55" s="36">
        <f>H55</f>
        <v>0</v>
      </c>
      <c r="K55" s="13"/>
      <c r="L55" s="13"/>
    </row>
    <row r="56" spans="3:12" s="5" customFormat="1" outlineLevel="1">
      <c r="C56" s="38"/>
      <c r="D56" s="10" t="s">
        <v>113</v>
      </c>
      <c r="E56" s="158">
        <v>238126.32</v>
      </c>
      <c r="F56" s="33">
        <v>46107</v>
      </c>
      <c r="G56" s="5" t="s">
        <v>12</v>
      </c>
      <c r="H56" s="5">
        <f>IF(OR(G56="Sin pagar",G56="Pagar"),NETWORKDAYS($I$11,F56,'Festivos Colombia'!$A$3:$A$22),0)</f>
        <v>0</v>
      </c>
      <c r="I56" s="36">
        <f t="shared" ref="I56:I77" si="27">H56</f>
        <v>0</v>
      </c>
      <c r="K56" s="13"/>
      <c r="L56" s="13"/>
    </row>
    <row r="57" spans="3:12" s="5" customFormat="1" outlineLevel="1">
      <c r="C57" s="38"/>
      <c r="D57" s="10" t="s">
        <v>106</v>
      </c>
      <c r="E57" s="158">
        <v>388500</v>
      </c>
      <c r="F57" s="33">
        <v>46107</v>
      </c>
      <c r="G57" s="5" t="s">
        <v>12</v>
      </c>
      <c r="H57" s="5">
        <f>IF(OR(G57="Sin pagar",G57="Pagar"),NETWORKDAYS($I$11,F57,'Festivos Colombia'!$A$3:$A$22),0)</f>
        <v>0</v>
      </c>
      <c r="I57" s="36">
        <f t="shared" si="27"/>
        <v>0</v>
      </c>
      <c r="K57" s="13"/>
      <c r="L57" s="13"/>
    </row>
    <row r="58" spans="3:12" s="5" customFormat="1" outlineLevel="1">
      <c r="C58" s="38"/>
      <c r="D58" s="10" t="s">
        <v>287</v>
      </c>
      <c r="E58" s="158">
        <v>1932950</v>
      </c>
      <c r="F58" s="33">
        <v>46107</v>
      </c>
      <c r="G58" s="5" t="s">
        <v>12</v>
      </c>
      <c r="H58" s="5">
        <f>IF(OR(G58="Sin pagar",G58="Pagar"),NETWORKDAYS($I$11,F58,'Festivos Colombia'!$A$3:$A$22),0)</f>
        <v>0</v>
      </c>
      <c r="I58" s="36">
        <f t="shared" si="27"/>
        <v>0</v>
      </c>
      <c r="K58" s="13"/>
      <c r="L58" s="13"/>
    </row>
    <row r="59" spans="3:12" s="5" customFormat="1" outlineLevel="1">
      <c r="C59" s="38"/>
      <c r="D59" s="10" t="s">
        <v>124</v>
      </c>
      <c r="E59" s="158">
        <v>69150</v>
      </c>
      <c r="F59" s="33">
        <v>46107</v>
      </c>
      <c r="G59" s="5" t="s">
        <v>12</v>
      </c>
      <c r="H59" s="5">
        <f>IF(OR(G59="Sin pagar",G59="Pagar"),NETWORKDAYS($I$11,F59,'Festivos Colombia'!$A$3:$A$22),0)</f>
        <v>0</v>
      </c>
      <c r="I59" s="36">
        <f t="shared" si="27"/>
        <v>0</v>
      </c>
      <c r="K59" s="13"/>
      <c r="L59" s="13"/>
    </row>
    <row r="60" spans="3:12" s="5" customFormat="1" outlineLevel="1">
      <c r="C60" s="38"/>
      <c r="D60" s="10" t="s">
        <v>314</v>
      </c>
      <c r="E60" s="158">
        <v>5134246.2300000004</v>
      </c>
      <c r="F60" s="33">
        <v>46107</v>
      </c>
      <c r="G60" s="5" t="s">
        <v>12</v>
      </c>
      <c r="H60" s="5">
        <f>IF(OR(G60="Sin pagar",G60="Pagar"),NETWORKDAYS($I$11,F60,'Festivos Colombia'!$A$3:$A$22),0)</f>
        <v>0</v>
      </c>
      <c r="I60" s="36">
        <f t="shared" si="27"/>
        <v>0</v>
      </c>
      <c r="K60" s="13"/>
      <c r="L60" s="13"/>
    </row>
    <row r="61" spans="3:12" s="5" customFormat="1" outlineLevel="1">
      <c r="C61" s="38"/>
      <c r="D61" s="10" t="s">
        <v>337</v>
      </c>
      <c r="E61" s="158">
        <v>6770605</v>
      </c>
      <c r="F61" s="33">
        <v>46107</v>
      </c>
      <c r="G61" s="5" t="s">
        <v>12</v>
      </c>
      <c r="H61" s="5">
        <f>IF(OR(G61="Sin pagar",G61="Pagar"),NETWORKDAYS($I$11,F61,'Festivos Colombia'!$A$3:$A$22),0)</f>
        <v>0</v>
      </c>
      <c r="I61" s="36">
        <f t="shared" ref="I61" si="28">H61</f>
        <v>0</v>
      </c>
      <c r="K61" s="13"/>
      <c r="L61" s="13"/>
    </row>
    <row r="62" spans="3:12" s="5" customFormat="1" outlineLevel="1">
      <c r="C62" s="38"/>
      <c r="D62" s="10" t="s">
        <v>323</v>
      </c>
      <c r="E62" s="158">
        <v>5977023</v>
      </c>
      <c r="F62" s="33">
        <v>46107</v>
      </c>
      <c r="G62" s="5" t="s">
        <v>12</v>
      </c>
      <c r="H62" s="5">
        <f>IF(OR(G62="Sin pagar",G62="Pagar"),NETWORKDAYS($I$11,F62,'Festivos Colombia'!$A$3:$A$22),0)</f>
        <v>0</v>
      </c>
      <c r="I62" s="36">
        <f t="shared" si="27"/>
        <v>0</v>
      </c>
      <c r="K62" s="13"/>
      <c r="L62" s="13"/>
    </row>
    <row r="63" spans="3:12" s="5" customFormat="1" outlineLevel="1">
      <c r="C63" s="38"/>
      <c r="D63" s="10" t="s">
        <v>327</v>
      </c>
      <c r="E63" s="158">
        <v>6795016</v>
      </c>
      <c r="F63" s="33">
        <v>46108</v>
      </c>
      <c r="G63" s="5" t="s">
        <v>12</v>
      </c>
      <c r="H63" s="5">
        <f>IF(OR(G63="Sin pagar",G63="Pagar"),NETWORKDAYS($I$11,F63,'Festivos Colombia'!$A$3:$A$22),0)</f>
        <v>0</v>
      </c>
      <c r="I63" s="36">
        <f t="shared" ref="I63:I66" si="29">H63</f>
        <v>0</v>
      </c>
      <c r="K63" s="13"/>
      <c r="L63" s="13"/>
    </row>
    <row r="64" spans="3:12" s="5" customFormat="1" outlineLevel="1">
      <c r="C64" s="38"/>
      <c r="D64" s="10" t="s">
        <v>328</v>
      </c>
      <c r="E64" s="158">
        <v>5078695.45</v>
      </c>
      <c r="F64" s="33">
        <v>46108</v>
      </c>
      <c r="G64" s="5" t="s">
        <v>12</v>
      </c>
      <c r="H64" s="5">
        <f>IF(OR(G64="Sin pagar",G64="Pagar"),NETWORKDAYS($I$11,F64,'Festivos Colombia'!$A$3:$A$22),0)</f>
        <v>0</v>
      </c>
      <c r="I64" s="36">
        <f t="shared" si="29"/>
        <v>0</v>
      </c>
      <c r="K64" s="13"/>
      <c r="L64" s="13"/>
    </row>
    <row r="65" spans="3:12" s="5" customFormat="1" outlineLevel="1">
      <c r="C65" s="38"/>
      <c r="D65" s="10" t="s">
        <v>239</v>
      </c>
      <c r="E65" s="158">
        <v>1600000</v>
      </c>
      <c r="F65" s="33">
        <v>46108</v>
      </c>
      <c r="G65" s="5" t="s">
        <v>12</v>
      </c>
      <c r="H65" s="5">
        <f>IF(OR(G65="Sin pagar",G65="Pagar"),NETWORKDAYS($I$11,F65,'Festivos Colombia'!$A$3:$A$22),0)</f>
        <v>0</v>
      </c>
      <c r="I65" s="36">
        <f t="shared" si="29"/>
        <v>0</v>
      </c>
      <c r="K65" s="13"/>
      <c r="L65" s="13"/>
    </row>
    <row r="66" spans="3:12" s="5" customFormat="1" outlineLevel="1">
      <c r="C66" s="38"/>
      <c r="D66" s="10" t="s">
        <v>289</v>
      </c>
      <c r="E66" s="158">
        <v>3327281</v>
      </c>
      <c r="F66" s="33">
        <v>46108</v>
      </c>
      <c r="G66" s="5" t="s">
        <v>12</v>
      </c>
      <c r="H66" s="5">
        <f>IF(OR(G66="Sin pagar",G66="Pagar"),NETWORKDAYS($I$11,F66,'Festivos Colombia'!$A$3:$A$22),0)</f>
        <v>0</v>
      </c>
      <c r="I66" s="36">
        <f t="shared" si="29"/>
        <v>0</v>
      </c>
      <c r="K66" s="13"/>
      <c r="L66" s="13"/>
    </row>
    <row r="67" spans="3:12" s="5" customFormat="1" outlineLevel="1">
      <c r="C67" s="38"/>
      <c r="D67" s="10" t="s">
        <v>284</v>
      </c>
      <c r="E67" s="158">
        <v>214290</v>
      </c>
      <c r="F67" s="33">
        <v>46108</v>
      </c>
      <c r="G67" s="5" t="s">
        <v>12</v>
      </c>
      <c r="H67" s="5">
        <f>IF(OR(G67="Sin pagar",G67="Pagar"),NETWORKDAYS($I$11,F67,'Festivos Colombia'!$A$3:$A$22),0)</f>
        <v>0</v>
      </c>
      <c r="I67" s="36">
        <f>H67</f>
        <v>0</v>
      </c>
      <c r="K67" s="13"/>
      <c r="L67" s="13"/>
    </row>
    <row r="68" spans="3:12" s="5" customFormat="1" outlineLevel="1">
      <c r="C68" s="38"/>
      <c r="D68" s="10" t="s">
        <v>240</v>
      </c>
      <c r="E68" s="158">
        <v>16135323.35</v>
      </c>
      <c r="F68" s="33">
        <v>46108</v>
      </c>
      <c r="G68" s="5" t="s">
        <v>12</v>
      </c>
      <c r="H68" s="5">
        <f>IF(OR(G68="Sin pagar",G68="Pagar"),NETWORKDAYS($I$11,F68,'Festivos Colombia'!$A$3:$A$22),0)</f>
        <v>0</v>
      </c>
      <c r="I68" s="36">
        <f t="shared" ref="I68:I73" si="30">H68</f>
        <v>0</v>
      </c>
      <c r="K68" s="13"/>
      <c r="L68" s="13"/>
    </row>
    <row r="69" spans="3:12" s="5" customFormat="1" outlineLevel="1">
      <c r="C69" s="38"/>
      <c r="D69" s="10" t="s">
        <v>329</v>
      </c>
      <c r="E69" s="158">
        <v>2979178</v>
      </c>
      <c r="F69" s="33">
        <v>46108</v>
      </c>
      <c r="G69" s="5" t="s">
        <v>12</v>
      </c>
      <c r="H69" s="5">
        <f>IF(OR(G69="Sin pagar",G69="Pagar"),NETWORKDAYS($I$11,F69,'Festivos Colombia'!$A$3:$A$22),0)</f>
        <v>0</v>
      </c>
      <c r="I69" s="36">
        <f t="shared" si="30"/>
        <v>0</v>
      </c>
      <c r="K69" s="13"/>
      <c r="L69" s="13"/>
    </row>
    <row r="70" spans="3:12" s="5" customFormat="1" outlineLevel="1">
      <c r="C70" s="38"/>
      <c r="D70" s="10" t="s">
        <v>330</v>
      </c>
      <c r="E70" s="158">
        <v>4736274</v>
      </c>
      <c r="F70" s="33">
        <v>46108</v>
      </c>
      <c r="G70" s="5" t="s">
        <v>12</v>
      </c>
      <c r="H70" s="5">
        <f>IF(OR(G70="Sin pagar",G70="Pagar"),NETWORKDAYS($I$11,F70,'Festivos Colombia'!$A$3:$A$22),0)</f>
        <v>0</v>
      </c>
      <c r="I70" s="36">
        <f t="shared" si="30"/>
        <v>0</v>
      </c>
      <c r="K70" s="13"/>
      <c r="L70" s="13"/>
    </row>
    <row r="71" spans="3:12" s="5" customFormat="1" outlineLevel="1">
      <c r="C71" s="38"/>
      <c r="D71" s="10" t="s">
        <v>331</v>
      </c>
      <c r="E71" s="158">
        <v>57564</v>
      </c>
      <c r="F71" s="33">
        <v>46108</v>
      </c>
      <c r="G71" s="5" t="s">
        <v>12</v>
      </c>
      <c r="H71" s="5">
        <f>IF(OR(G71="Sin pagar",G71="Pagar"),NETWORKDAYS($I$11,F71,'Festivos Colombia'!$A$3:$A$22),0)</f>
        <v>0</v>
      </c>
      <c r="I71" s="36">
        <f t="shared" si="30"/>
        <v>0</v>
      </c>
      <c r="K71" s="13"/>
      <c r="L71" s="13"/>
    </row>
    <row r="72" spans="3:12" s="5" customFormat="1" outlineLevel="1">
      <c r="C72" s="38"/>
      <c r="D72" s="10" t="s">
        <v>332</v>
      </c>
      <c r="E72" s="158">
        <v>1275885</v>
      </c>
      <c r="F72" s="33">
        <v>46108</v>
      </c>
      <c r="G72" s="5" t="s">
        <v>12</v>
      </c>
      <c r="H72" s="5">
        <f>IF(OR(G72="Sin pagar",G72="Pagar"),NETWORKDAYS($I$11,F72,'Festivos Colombia'!$A$3:$A$22),0)</f>
        <v>0</v>
      </c>
      <c r="I72" s="36">
        <f t="shared" si="30"/>
        <v>0</v>
      </c>
      <c r="K72" s="13"/>
      <c r="L72" s="13"/>
    </row>
    <row r="73" spans="3:12" s="5" customFormat="1" outlineLevel="1">
      <c r="C73" s="38"/>
      <c r="D73" s="10" t="s">
        <v>333</v>
      </c>
      <c r="E73" s="158">
        <v>63112.92</v>
      </c>
      <c r="F73" s="33">
        <v>46108</v>
      </c>
      <c r="G73" s="5" t="s">
        <v>12</v>
      </c>
      <c r="H73" s="5">
        <f>IF(OR(G73="Sin pagar",G73="Pagar"),NETWORKDAYS($I$11,F73,'Festivos Colombia'!$A$3:$A$22),0)</f>
        <v>0</v>
      </c>
      <c r="I73" s="36">
        <f t="shared" si="30"/>
        <v>0</v>
      </c>
      <c r="K73" s="13"/>
      <c r="L73" s="13"/>
    </row>
    <row r="74" spans="3:12" s="5" customFormat="1" outlineLevel="1">
      <c r="C74" s="38"/>
      <c r="D74" s="10" t="s">
        <v>219</v>
      </c>
      <c r="E74" s="158">
        <v>3861857</v>
      </c>
      <c r="F74" s="33">
        <v>46113</v>
      </c>
      <c r="G74" s="5" t="s">
        <v>12</v>
      </c>
      <c r="H74" s="5">
        <f>IF(OR(G74="Sin pagar",G74="Pagar"),NETWORKDAYS($I$11,F74,'Festivos Colombia'!$A$3:$A$22),0)</f>
        <v>0</v>
      </c>
      <c r="I74" s="36">
        <f t="shared" si="27"/>
        <v>0</v>
      </c>
      <c r="K74" s="13"/>
      <c r="L74" s="13"/>
    </row>
    <row r="75" spans="3:12" s="5" customFormat="1" outlineLevel="1">
      <c r="C75" s="38"/>
      <c r="D75" s="10" t="s">
        <v>335</v>
      </c>
      <c r="E75" s="158">
        <v>531900</v>
      </c>
      <c r="F75" s="33">
        <v>46113</v>
      </c>
      <c r="G75" s="5" t="s">
        <v>12</v>
      </c>
      <c r="H75" s="5">
        <f>IF(OR(G75="Sin pagar",G75="Pagar"),NETWORKDAYS($I$11,F75,'Festivos Colombia'!$A$3:$A$22),0)</f>
        <v>0</v>
      </c>
      <c r="I75" s="36">
        <f t="shared" si="27"/>
        <v>0</v>
      </c>
      <c r="K75" s="13"/>
      <c r="L75" s="13"/>
    </row>
    <row r="76" spans="3:12" s="5" customFormat="1" outlineLevel="1">
      <c r="C76" s="38"/>
      <c r="D76" s="10" t="s">
        <v>234</v>
      </c>
      <c r="E76" s="158">
        <v>51272</v>
      </c>
      <c r="F76" s="33">
        <v>46113</v>
      </c>
      <c r="G76" s="5" t="s">
        <v>12</v>
      </c>
      <c r="H76" s="5">
        <f>IF(OR(G76="Sin pagar",G76="Pagar"),NETWORKDAYS($I$11,F76,'Festivos Colombia'!$A$3:$A$22),0)</f>
        <v>0</v>
      </c>
      <c r="I76" s="36">
        <f t="shared" si="27"/>
        <v>0</v>
      </c>
      <c r="K76" s="13"/>
      <c r="L76" s="13"/>
    </row>
    <row r="77" spans="3:12" s="5" customFormat="1" outlineLevel="1">
      <c r="C77" s="38"/>
      <c r="D77" s="10" t="s">
        <v>118</v>
      </c>
      <c r="E77" s="158">
        <v>433968</v>
      </c>
      <c r="F77" s="33">
        <v>46113</v>
      </c>
      <c r="G77" s="5" t="s">
        <v>12</v>
      </c>
      <c r="H77" s="5">
        <f>IF(OR(G77="Sin pagar",G77="Pagar"),NETWORKDAYS($I$11,F77,'Festivos Colombia'!$A$3:$A$22),0)</f>
        <v>0</v>
      </c>
      <c r="I77" s="36">
        <f t="shared" si="27"/>
        <v>0</v>
      </c>
      <c r="K77" s="13"/>
      <c r="L77" s="13"/>
    </row>
    <row r="78" spans="3:12" s="5" customFormat="1" outlineLevel="1">
      <c r="C78" s="38"/>
      <c r="D78" s="10" t="s">
        <v>307</v>
      </c>
      <c r="E78" s="158">
        <v>4848643</v>
      </c>
      <c r="F78" s="33">
        <v>46113</v>
      </c>
      <c r="G78" s="5" t="s">
        <v>12</v>
      </c>
      <c r="H78" s="5">
        <f>IF(OR(G78="Sin pagar",G78="Pagar"),NETWORKDAYS($I$11,F78,'Festivos Colombia'!$A$3:$A$22),0)</f>
        <v>0</v>
      </c>
      <c r="I78" s="36">
        <f>H78</f>
        <v>0</v>
      </c>
      <c r="K78" s="13"/>
      <c r="L78" s="13"/>
    </row>
    <row r="79" spans="3:12" s="5" customFormat="1" outlineLevel="1">
      <c r="C79" s="38"/>
      <c r="D79" s="10" t="s">
        <v>110</v>
      </c>
      <c r="E79" s="158">
        <v>104600</v>
      </c>
      <c r="F79" s="33">
        <v>46113</v>
      </c>
      <c r="G79" s="5" t="s">
        <v>12</v>
      </c>
      <c r="H79" s="5">
        <f>IF(OR(G79="Sin pagar",G79="Pagar"),NETWORKDAYS($I$11,F79,'Festivos Colombia'!$A$3:$A$22),0)</f>
        <v>0</v>
      </c>
      <c r="I79" s="36">
        <f t="shared" ref="I79:I84" si="31">H79</f>
        <v>0</v>
      </c>
      <c r="K79" s="13"/>
      <c r="L79" s="13"/>
    </row>
    <row r="80" spans="3:12" s="5" customFormat="1" outlineLevel="1">
      <c r="C80" s="38"/>
      <c r="D80" s="10" t="s">
        <v>267</v>
      </c>
      <c r="E80" s="158">
        <v>4669650</v>
      </c>
      <c r="F80" s="33">
        <v>46113</v>
      </c>
      <c r="G80" s="5" t="s">
        <v>12</v>
      </c>
      <c r="H80" s="5">
        <f>IF(OR(G80="Sin pagar",G80="Pagar"),NETWORKDAYS($I$11,F80,'Festivos Colombia'!$A$3:$A$22),0)</f>
        <v>0</v>
      </c>
      <c r="I80" s="36">
        <f t="shared" si="31"/>
        <v>0</v>
      </c>
      <c r="K80" s="13"/>
      <c r="L80" s="13"/>
    </row>
    <row r="81" spans="1:19" s="5" customFormat="1" outlineLevel="1">
      <c r="C81" s="38"/>
      <c r="D81" s="10" t="s">
        <v>291</v>
      </c>
      <c r="E81" s="158">
        <v>906118</v>
      </c>
      <c r="F81" s="33">
        <v>46113</v>
      </c>
      <c r="G81" s="5" t="s">
        <v>12</v>
      </c>
      <c r="H81" s="5">
        <f>IF(OR(G81="Sin pagar",G81="Pagar"),NETWORKDAYS($I$11,F81,'Festivos Colombia'!$A$3:$A$22),0)</f>
        <v>0</v>
      </c>
      <c r="I81" s="36">
        <f t="shared" si="31"/>
        <v>0</v>
      </c>
      <c r="K81" s="13"/>
      <c r="L81" s="13"/>
    </row>
    <row r="82" spans="1:19" s="5" customFormat="1" outlineLevel="1">
      <c r="C82" s="38"/>
      <c r="D82" s="10" t="s">
        <v>244</v>
      </c>
      <c r="E82" s="158">
        <v>4672644</v>
      </c>
      <c r="F82" s="33">
        <v>46113</v>
      </c>
      <c r="G82" s="5" t="s">
        <v>12</v>
      </c>
      <c r="H82" s="5">
        <f>IF(OR(G82="Sin pagar",G82="Pagar"),NETWORKDAYS($I$11,F82,'Festivos Colombia'!$A$3:$A$22),0)</f>
        <v>0</v>
      </c>
      <c r="I82" s="36">
        <f t="shared" si="31"/>
        <v>0</v>
      </c>
      <c r="K82" s="13"/>
      <c r="L82" s="13"/>
    </row>
    <row r="83" spans="1:19" s="5" customFormat="1" outlineLevel="1">
      <c r="C83" s="38"/>
      <c r="D83" s="10" t="s">
        <v>336</v>
      </c>
      <c r="E83" s="158">
        <v>5157482</v>
      </c>
      <c r="F83" s="33">
        <v>46113</v>
      </c>
      <c r="G83" s="5" t="s">
        <v>12</v>
      </c>
      <c r="H83" s="5">
        <f>IF(OR(G83="Sin pagar",G83="Pagar"),NETWORKDAYS($I$11,F83,'Festivos Colombia'!$A$3:$A$22),0)</f>
        <v>0</v>
      </c>
      <c r="I83" s="36">
        <f t="shared" si="31"/>
        <v>0</v>
      </c>
      <c r="K83" s="13"/>
      <c r="L83" s="13"/>
    </row>
    <row r="84" spans="1:19" s="5" customFormat="1" ht="15.75" outlineLevel="1" thickBot="1">
      <c r="C84" s="38"/>
      <c r="D84" s="10" t="s">
        <v>337</v>
      </c>
      <c r="E84" s="158">
        <v>4756267</v>
      </c>
      <c r="F84" s="33">
        <v>46113</v>
      </c>
      <c r="G84" s="5" t="s">
        <v>12</v>
      </c>
      <c r="H84" s="5">
        <f>IF(OR(G84="Sin pagar",G84="Pagar"),NETWORKDAYS($I$11,F84,'Festivos Colombia'!$A$3:$A$22),0)</f>
        <v>0</v>
      </c>
      <c r="I84" s="36">
        <f t="shared" si="31"/>
        <v>0</v>
      </c>
      <c r="K84" s="13"/>
      <c r="L84" s="13"/>
    </row>
    <row r="85" spans="1:19" s="5" customFormat="1" ht="16.5" thickBot="1">
      <c r="C85" s="9"/>
      <c r="D85" s="134" t="s">
        <v>24</v>
      </c>
      <c r="E85" s="135">
        <f>SUBTOTAL(9,E86:E90)</f>
        <v>15249050</v>
      </c>
    </row>
    <row r="86" spans="1:19" s="5" customFormat="1" outlineLevel="1">
      <c r="C86" s="38"/>
      <c r="D86" s="10" t="s">
        <v>312</v>
      </c>
      <c r="E86" s="158">
        <v>1923690</v>
      </c>
      <c r="F86" s="33">
        <v>46090</v>
      </c>
      <c r="G86" s="5" t="s">
        <v>12</v>
      </c>
      <c r="H86" s="5">
        <f>IF(OR(G86="Sin pagar",G86="Pagar"),NETWORKDAYS($I$11,F86,'Festivos Colombia'!$A$3:$A$22),0)</f>
        <v>0</v>
      </c>
      <c r="I86" s="36">
        <f t="shared" ref="I86" si="32">H86</f>
        <v>0</v>
      </c>
      <c r="K86" s="13"/>
      <c r="L86" s="13"/>
    </row>
    <row r="87" spans="1:19" s="5" customFormat="1" outlineLevel="1">
      <c r="C87" s="38"/>
      <c r="D87" s="10" t="s">
        <v>317</v>
      </c>
      <c r="E87" s="158">
        <v>1552394</v>
      </c>
      <c r="F87" s="33">
        <v>46094</v>
      </c>
      <c r="G87" s="5" t="s">
        <v>12</v>
      </c>
      <c r="H87" s="5">
        <f>IF(OR(G87="Sin pagar",G87="Pagar"),NETWORKDAYS($I$11,F87,'Festivos Colombia'!$A$3:$A$22),0)</f>
        <v>0</v>
      </c>
      <c r="I87" s="36">
        <f t="shared" ref="I87" si="33">H87</f>
        <v>0</v>
      </c>
      <c r="K87" s="13"/>
      <c r="L87" s="13"/>
    </row>
    <row r="88" spans="1:19" s="5" customFormat="1" outlineLevel="1">
      <c r="C88" s="38"/>
      <c r="D88" s="10" t="s">
        <v>320</v>
      </c>
      <c r="E88" s="158">
        <v>5419440</v>
      </c>
      <c r="F88" s="33">
        <v>46098</v>
      </c>
      <c r="G88" s="5" t="s">
        <v>12</v>
      </c>
      <c r="H88" s="5">
        <f>IF(OR(G88="Sin pagar",G88="Pagar"),NETWORKDAYS($I$11,F88,'Festivos Colombia'!$A$3:$A$22),0)</f>
        <v>0</v>
      </c>
      <c r="I88" s="36">
        <f t="shared" ref="I88:I89" si="34">H88</f>
        <v>0</v>
      </c>
      <c r="K88" s="13"/>
      <c r="L88" s="13"/>
    </row>
    <row r="89" spans="1:19" s="5" customFormat="1" outlineLevel="1">
      <c r="C89" s="38"/>
      <c r="D89" s="10" t="s">
        <v>321</v>
      </c>
      <c r="E89" s="158">
        <v>1396916</v>
      </c>
      <c r="F89" s="33">
        <v>46098</v>
      </c>
      <c r="G89" s="5" t="s">
        <v>12</v>
      </c>
      <c r="H89" s="5">
        <f>IF(OR(G89="Sin pagar",G89="Pagar"),NETWORKDAYS($I$11,F89,'Festivos Colombia'!$A$3:$A$22),0)</f>
        <v>0</v>
      </c>
      <c r="I89" s="36">
        <f t="shared" si="34"/>
        <v>0</v>
      </c>
      <c r="K89" s="13"/>
      <c r="L89" s="13"/>
    </row>
    <row r="90" spans="1:19" s="5" customFormat="1" ht="15.75" outlineLevel="1" thickBot="1">
      <c r="C90" s="38"/>
      <c r="D90" s="10" t="s">
        <v>339</v>
      </c>
      <c r="E90" s="158">
        <v>4956610</v>
      </c>
      <c r="F90" s="33">
        <v>46118</v>
      </c>
      <c r="G90" s="5" t="s">
        <v>12</v>
      </c>
      <c r="H90" s="5">
        <f>IF(OR(G90="Sin pagar",G90="Pagar"),NETWORKDAYS($I$11,F90,'Festivos Colombia'!$A$3:$A$22),0)</f>
        <v>0</v>
      </c>
      <c r="I90" s="36">
        <f t="shared" ref="I90" si="35">H90</f>
        <v>0</v>
      </c>
      <c r="K90" s="13"/>
      <c r="L90" s="13"/>
    </row>
    <row r="91" spans="1:19" s="5" customFormat="1" ht="15.75" customHeight="1" thickBot="1">
      <c r="C91" s="9"/>
      <c r="D91" s="134" t="s">
        <v>26</v>
      </c>
      <c r="E91" s="135">
        <f>SUBTOTAL(9,E92:E93)</f>
        <v>18921350.719999999</v>
      </c>
      <c r="F91" s="33"/>
    </row>
    <row r="92" spans="1:19" s="5" customFormat="1" outlineLevel="1">
      <c r="A92" s="5" t="str">
        <f>G92</f>
        <v>Cancelado</v>
      </c>
      <c r="B92" s="5" t="e">
        <f>IF(#REF!&lt;=-1,1,IF(#REF!&lt;=5,2,IF(#REF!&lt;=15,3,IF(H92&lt;=60,4))))</f>
        <v>#REF!</v>
      </c>
      <c r="C92" s="180" t="s">
        <v>299</v>
      </c>
      <c r="D92" s="57" t="s">
        <v>300</v>
      </c>
      <c r="E92" s="11">
        <f>18538188.72</f>
        <v>18538188.719999999</v>
      </c>
      <c r="F92" s="33">
        <v>46091</v>
      </c>
      <c r="G92" s="5" t="s">
        <v>12</v>
      </c>
      <c r="H92" s="5">
        <f>IF(OR(G92="Sin pagar",G92="Pagar"),NETWORKDAYS($I$11,F92,'Festivos Colombia'!$A$3:$A$22),0)</f>
        <v>0</v>
      </c>
      <c r="I92" s="36">
        <f>H92</f>
        <v>0</v>
      </c>
      <c r="J92" s="166"/>
      <c r="K92" s="131"/>
      <c r="P92" s="12"/>
      <c r="Q92" s="12"/>
      <c r="R92" s="12"/>
      <c r="S92" s="12"/>
    </row>
    <row r="93" spans="1:19" s="5" customFormat="1" ht="15.75" outlineLevel="1" thickBot="1">
      <c r="A93" s="5" t="str">
        <f>G93</f>
        <v>Cancelado</v>
      </c>
      <c r="B93" s="5" t="e">
        <f>IF(#REF!&lt;=-1,1,IF(#REF!&lt;=5,2,IF(#REF!&lt;=15,3,IF(H93&lt;=60,4))))</f>
        <v>#REF!</v>
      </c>
      <c r="C93" s="180" t="s">
        <v>304</v>
      </c>
      <c r="D93" s="57" t="s">
        <v>301</v>
      </c>
      <c r="E93" s="11">
        <f>383162</f>
        <v>383162</v>
      </c>
      <c r="F93" s="33">
        <v>46087</v>
      </c>
      <c r="G93" s="5" t="s">
        <v>12</v>
      </c>
      <c r="H93" s="5">
        <f>IF(OR(G93="Sin pagar",G93="Pagar"),NETWORKDAYS($I$11,F93,'Festivos Colombia'!$A$3:$A$22),0)</f>
        <v>0</v>
      </c>
      <c r="I93" s="36">
        <f>H93</f>
        <v>0</v>
      </c>
      <c r="J93" s="166"/>
      <c r="K93" s="131"/>
      <c r="P93" s="12"/>
      <c r="Q93" s="12"/>
      <c r="R93" s="12"/>
      <c r="S93" s="12"/>
    </row>
    <row r="94" spans="1:19" s="5" customFormat="1" ht="16.5" thickBot="1">
      <c r="D94" s="134" t="s">
        <v>27</v>
      </c>
      <c r="E94" s="135">
        <f>SUBTOTAL(9,E95)</f>
        <v>12804844.279999997</v>
      </c>
    </row>
    <row r="95" spans="1:19" s="5" customFormat="1" ht="15.75" outlineLevel="1" thickBot="1">
      <c r="A95" s="5" t="str">
        <f>G95</f>
        <v>Cancelado</v>
      </c>
      <c r="B95" s="5" t="e">
        <f>IF(#REF!&lt;=-1,1,IF(#REF!&lt;=5,2,IF(#REF!&lt;=15,3,IF(H95&lt;=60,4))))</f>
        <v>#REF!</v>
      </c>
      <c r="C95" s="9"/>
      <c r="D95" s="10" t="s">
        <v>28</v>
      </c>
      <c r="E95" s="11">
        <v>12804844.279999997</v>
      </c>
      <c r="F95" s="33">
        <v>46112</v>
      </c>
      <c r="G95" s="5" t="s">
        <v>12</v>
      </c>
      <c r="H95" s="5">
        <f>IF(OR(G95="Sin pagar",G95="Pagar"),NETWORKDAYS($I$11,F95,'Festivos Colombia'!$A$3:$A$22),0)</f>
        <v>0</v>
      </c>
      <c r="I95" s="36">
        <f>H95</f>
        <v>0</v>
      </c>
    </row>
    <row r="96" spans="1:19" s="5" customFormat="1" ht="16.5" thickBot="1">
      <c r="D96" s="134" t="s">
        <v>29</v>
      </c>
      <c r="E96" s="135">
        <f>SUBTOTAL(9,E97)</f>
        <v>2209861</v>
      </c>
    </row>
    <row r="97" spans="1:15" s="12" customFormat="1" ht="15.75" outlineLevel="1" thickBot="1">
      <c r="A97" s="5" t="str">
        <f t="shared" ref="A97" si="36">G97</f>
        <v>Cancelado</v>
      </c>
      <c r="B97" s="5" t="e">
        <f>IF(#REF!&lt;=-1,1,IF(#REF!&lt;=5,2,IF(#REF!&lt;=15,3,IF(H97&lt;=60,4))))</f>
        <v>#REF!</v>
      </c>
      <c r="C97" s="9"/>
      <c r="D97" s="10" t="s">
        <v>134</v>
      </c>
      <c r="E97" s="11">
        <v>2209861</v>
      </c>
      <c r="F97" s="33">
        <v>46111</v>
      </c>
      <c r="G97" s="5" t="s">
        <v>12</v>
      </c>
      <c r="H97" s="5">
        <f>IF(OR(G97="Sin pagar",G97="Pagar"),NETWORKDAYS($I$11,F97,'Festivos Colombia'!$A$3:$A$22),0)</f>
        <v>0</v>
      </c>
      <c r="I97" s="36">
        <f t="shared" ref="I97" si="37">H97</f>
        <v>0</v>
      </c>
      <c r="J97" s="5"/>
      <c r="K97" s="13"/>
      <c r="L97" s="13"/>
      <c r="M97" s="13"/>
      <c r="N97" s="5"/>
      <c r="O97" s="5"/>
    </row>
    <row r="98" spans="1:15" s="5" customFormat="1" ht="16.5" thickBot="1">
      <c r="D98" s="134" t="s">
        <v>144</v>
      </c>
      <c r="E98" s="135">
        <f>SUBTOTAL(9,E99:E104)</f>
        <v>819206</v>
      </c>
      <c r="J98" s="13"/>
    </row>
    <row r="99" spans="1:15" s="5" customFormat="1" outlineLevel="1">
      <c r="A99" s="5" t="str">
        <f>G99</f>
        <v>Cancelado</v>
      </c>
      <c r="B99" s="5" t="e">
        <f>IF(#REF!&lt;=-1,1,IF(#REF!&lt;=5,2,IF(#REF!&lt;=15,3,IF(H99&lt;=60,4))))</f>
        <v>#REF!</v>
      </c>
      <c r="C99" s="123">
        <v>6938</v>
      </c>
      <c r="D99" s="57" t="s">
        <v>30</v>
      </c>
      <c r="E99" s="14">
        <f>117000</f>
        <v>117000</v>
      </c>
      <c r="F99" s="33">
        <v>46101</v>
      </c>
      <c r="G99" s="5" t="s">
        <v>12</v>
      </c>
      <c r="H99" s="5">
        <f>IF(OR(G99="Sin pagar",G99="Pagar"),NETWORKDAYS($I$11,F99,'Festivos Colombia'!$A$3:$A$22),0)</f>
        <v>0</v>
      </c>
      <c r="I99" s="36">
        <f>H99</f>
        <v>0</v>
      </c>
      <c r="J99" s="166"/>
    </row>
    <row r="100" spans="1:15" s="5" customFormat="1" outlineLevel="1">
      <c r="A100" s="5" t="str">
        <f>G100</f>
        <v>Cancelado</v>
      </c>
      <c r="B100" s="5" t="e">
        <f>IF(#REF!&lt;=-1,1,IF(#REF!&lt;=5,2,IF(#REF!&lt;=15,3,IF(H100&lt;=60,4))))</f>
        <v>#REF!</v>
      </c>
      <c r="C100" s="123">
        <v>6941</v>
      </c>
      <c r="D100" s="57" t="s">
        <v>30</v>
      </c>
      <c r="E100" s="14">
        <f>117500</f>
        <v>117500</v>
      </c>
      <c r="F100" s="33">
        <v>46111</v>
      </c>
      <c r="G100" s="5" t="s">
        <v>12</v>
      </c>
      <c r="H100" s="5">
        <f>IF(OR(G100="Sin pagar",G100="Pagar"),NETWORKDAYS($I$11,F100,'Festivos Colombia'!$A$3:$A$22),0)</f>
        <v>0</v>
      </c>
      <c r="I100" s="36">
        <f>H100</f>
        <v>0</v>
      </c>
      <c r="J100" s="166"/>
    </row>
    <row r="101" spans="1:15" s="5" customFormat="1" outlineLevel="1">
      <c r="A101" s="5" t="str">
        <f>G101</f>
        <v>Cancelado</v>
      </c>
      <c r="B101" s="5" t="e">
        <f>IF(#REF!&lt;=-1,1,IF(#REF!&lt;=5,2,IF(#REF!&lt;=15,3,IF(H101&lt;=60,4))))</f>
        <v>#REF!</v>
      </c>
      <c r="C101" s="123">
        <v>6951</v>
      </c>
      <c r="D101" s="57" t="s">
        <v>30</v>
      </c>
      <c r="E101" s="14">
        <f>117500</f>
        <v>117500</v>
      </c>
      <c r="F101" s="33">
        <v>46111</v>
      </c>
      <c r="G101" s="5" t="s">
        <v>12</v>
      </c>
      <c r="H101" s="5">
        <f>IF(OR(G101="Sin pagar",G101="Pagar"),NETWORKDAYS($I$11,F101,'Festivos Colombia'!$A$3:$A$22),0)</f>
        <v>0</v>
      </c>
      <c r="I101" s="36">
        <f>H101</f>
        <v>0</v>
      </c>
      <c r="J101" s="166"/>
    </row>
    <row r="102" spans="1:15" s="5" customFormat="1" outlineLevel="1">
      <c r="A102" s="5" t="str">
        <f>G102</f>
        <v>Sin Pagar</v>
      </c>
      <c r="B102" s="5" t="e">
        <f>IF(#REF!&lt;=-1,1,IF(#REF!&lt;=5,2,IF(#REF!&lt;=15,3,IF(H102&lt;=60,4))))</f>
        <v>#REF!</v>
      </c>
      <c r="C102" s="123">
        <v>6993</v>
      </c>
      <c r="D102" s="57" t="s">
        <v>30</v>
      </c>
      <c r="E102" s="14">
        <f>235000*0</f>
        <v>0</v>
      </c>
      <c r="F102" s="33">
        <v>46136</v>
      </c>
      <c r="G102" s="5" t="s">
        <v>19</v>
      </c>
      <c r="H102" s="5">
        <f>IF(OR(G102="Sin pagar",G102="Pagar"),NETWORKDAYS($I$11,F102,'Festivos Colombia'!$A$3:$A$22),0)</f>
        <v>37</v>
      </c>
      <c r="I102" s="36">
        <f>H102</f>
        <v>37</v>
      </c>
      <c r="J102" s="166"/>
    </row>
    <row r="103" spans="1:15" s="5" customFormat="1" outlineLevel="1">
      <c r="A103" s="5" t="str">
        <f>G103</f>
        <v>Sin Pagar</v>
      </c>
      <c r="B103" s="5" t="e">
        <f>IF(#REF!&lt;=-1,1,IF(#REF!&lt;=5,2,IF(#REF!&lt;=15,3,IF(H103&lt;=60,4))))</f>
        <v>#REF!</v>
      </c>
      <c r="C103" s="123">
        <v>7003</v>
      </c>
      <c r="D103" s="57" t="s">
        <v>30</v>
      </c>
      <c r="E103" s="14">
        <f>547500*0</f>
        <v>0</v>
      </c>
      <c r="F103" s="33">
        <v>46139</v>
      </c>
      <c r="G103" s="5" t="s">
        <v>19</v>
      </c>
      <c r="H103" s="5">
        <f>IF(OR(G103="Sin pagar",G103="Pagar"),NETWORKDAYS($I$11,F103,'Festivos Colombia'!$A$3:$A$22),0)</f>
        <v>38</v>
      </c>
      <c r="I103" s="36">
        <f>H103</f>
        <v>38</v>
      </c>
      <c r="J103" s="166"/>
    </row>
    <row r="104" spans="1:15" s="5" customFormat="1" ht="14.25" customHeight="1" outlineLevel="1" thickBot="1">
      <c r="A104" s="5" t="str">
        <f t="shared" ref="A104" si="38">G104</f>
        <v>Cancelado</v>
      </c>
      <c r="B104" s="5" t="e">
        <f>IF(#REF!&lt;=-1,1,IF(#REF!&lt;=5,2,IF(#REF!&lt;=15,3,IF(H104&lt;=60,4))))</f>
        <v>#REF!</v>
      </c>
      <c r="C104" s="123">
        <v>354315586</v>
      </c>
      <c r="D104" s="57" t="s">
        <v>146</v>
      </c>
      <c r="E104" s="14">
        <f>467206</f>
        <v>467206</v>
      </c>
      <c r="F104" s="33">
        <v>46111</v>
      </c>
      <c r="G104" s="5" t="s">
        <v>12</v>
      </c>
      <c r="H104" s="5">
        <f>IF(OR(G104="Sin pagar",G104="Pagar"),NETWORKDAYS($I$11,F104,'Festivos Colombia'!$A$3:$A$22),0)</f>
        <v>0</v>
      </c>
      <c r="I104" s="36">
        <f t="shared" ref="I104" si="39">H104</f>
        <v>0</v>
      </c>
      <c r="J104" s="166" t="s">
        <v>310</v>
      </c>
    </row>
    <row r="105" spans="1:15" s="5" customFormat="1" ht="16.5" thickBot="1">
      <c r="D105" s="134" t="s">
        <v>31</v>
      </c>
      <c r="E105" s="135">
        <f>SUBTOTAL(9,E106:E109)</f>
        <v>1565377850</v>
      </c>
      <c r="K105" s="13"/>
      <c r="L105" s="13"/>
      <c r="M105" s="39"/>
      <c r="O105" s="13"/>
    </row>
    <row r="106" spans="1:15" s="12" customFormat="1" outlineLevel="1">
      <c r="A106" s="5" t="str">
        <f>G106</f>
        <v>Cancelado</v>
      </c>
      <c r="B106" s="5" t="e">
        <f>IF(#REF!&lt;=-1,1,IF(#REF!&lt;=5,2,IF(#REF!&lt;=15,3,IF(H106&lt;=60,4))))</f>
        <v>#REF!</v>
      </c>
      <c r="C106" s="37"/>
      <c r="D106" s="10" t="s">
        <v>303</v>
      </c>
      <c r="E106" s="11">
        <f>7879073</f>
        <v>7879073</v>
      </c>
      <c r="F106" s="33">
        <v>46087</v>
      </c>
      <c r="G106" s="5" t="s">
        <v>12</v>
      </c>
      <c r="H106" s="5">
        <f>IF(OR(G106="Sin pagar",G106="Pagar"),NETWORKDAYS($I$11,F106,'Festivos Colombia'!$A$3:$A$22),0)</f>
        <v>0</v>
      </c>
      <c r="I106" s="36">
        <f>H106</f>
        <v>0</v>
      </c>
      <c r="J106" s="128"/>
      <c r="K106" s="13"/>
      <c r="L106" s="5"/>
      <c r="M106" s="13"/>
      <c r="N106" s="129"/>
      <c r="O106" s="5"/>
    </row>
    <row r="107" spans="1:15" s="12" customFormat="1" outlineLevel="1">
      <c r="A107" s="5" t="str">
        <f t="shared" ref="A107:A108" si="40">G107</f>
        <v>Cancelado</v>
      </c>
      <c r="B107" s="5" t="e">
        <f>IF(#REF!&lt;=-1,1,IF(#REF!&lt;=5,2,IF(#REF!&lt;=15,3,IF(H107&lt;=60,4))))</f>
        <v>#REF!</v>
      </c>
      <c r="C107" s="9" t="s">
        <v>180</v>
      </c>
      <c r="D107" s="10" t="s">
        <v>157</v>
      </c>
      <c r="E107" s="11">
        <v>1547989240</v>
      </c>
      <c r="F107" s="157">
        <v>46108</v>
      </c>
      <c r="G107" s="5" t="s">
        <v>12</v>
      </c>
      <c r="H107" s="5">
        <f>IF(OR(G107="Sin pagar",G107="Pagar"),NETWORKDAYS($I$11,F107,'Festivos Colombia'!$A$3:$A$22),0)</f>
        <v>0</v>
      </c>
      <c r="I107" s="36">
        <f t="shared" ref="I107" si="41">H107</f>
        <v>0</v>
      </c>
      <c r="J107" s="5"/>
      <c r="K107" s="13"/>
      <c r="L107" s="13"/>
      <c r="M107" s="13"/>
      <c r="N107" s="5"/>
      <c r="O107" s="5"/>
    </row>
    <row r="108" spans="1:15" s="12" customFormat="1" outlineLevel="1">
      <c r="A108" s="5" t="str">
        <f t="shared" si="40"/>
        <v>Cancelado</v>
      </c>
      <c r="B108" s="5" t="e">
        <f>IF(#REF!&lt;=-1,1,IF(#REF!&lt;=5,2,IF(#REF!&lt;=15,3,IF(H108&lt;=60,4))))</f>
        <v>#REF!</v>
      </c>
      <c r="C108" s="9" t="s">
        <v>324</v>
      </c>
      <c r="D108" s="10" t="s">
        <v>130</v>
      </c>
      <c r="E108" s="11">
        <v>1630464</v>
      </c>
      <c r="F108" s="157">
        <v>46108</v>
      </c>
      <c r="G108" s="5" t="s">
        <v>12</v>
      </c>
      <c r="H108" s="5">
        <f>IF(OR(G108="Sin pagar",G108="Pagar"),NETWORKDAYS($I$11,F108,'Festivos Colombia'!$A$3:$A$22),0)</f>
        <v>0</v>
      </c>
      <c r="I108" s="36">
        <f t="shared" ref="I108" si="42">H108</f>
        <v>0</v>
      </c>
      <c r="J108" s="166"/>
      <c r="K108" s="13"/>
      <c r="L108" s="13"/>
      <c r="M108" s="13"/>
      <c r="N108" s="5"/>
      <c r="O108" s="5"/>
    </row>
    <row r="109" spans="1:15" s="12" customFormat="1" ht="15.75" outlineLevel="1" thickBot="1">
      <c r="A109" s="5" t="str">
        <f>G109</f>
        <v>Cancelado</v>
      </c>
      <c r="B109" s="5" t="e">
        <f>IF(#REF!&lt;=-1,1,IF(#REF!&lt;=5,2,IF(#REF!&lt;=15,3,IF(H109&lt;=60,4))))</f>
        <v>#REF!</v>
      </c>
      <c r="C109" s="37"/>
      <c r="D109" s="10" t="s">
        <v>338</v>
      </c>
      <c r="E109" s="11">
        <f>7879073</f>
        <v>7879073</v>
      </c>
      <c r="F109" s="33">
        <v>46113</v>
      </c>
      <c r="G109" s="5" t="s">
        <v>12</v>
      </c>
      <c r="H109" s="5">
        <f>IF(OR(G109="Sin pagar",G109="Pagar"),NETWORKDAYS($I$11,F109,'Festivos Colombia'!$A$3:$A$22),0)</f>
        <v>0</v>
      </c>
      <c r="I109" s="36">
        <f>H109</f>
        <v>0</v>
      </c>
      <c r="J109" s="128"/>
      <c r="K109" s="13"/>
      <c r="L109" s="5"/>
      <c r="M109" s="13"/>
      <c r="N109" s="129"/>
      <c r="O109" s="5"/>
    </row>
    <row r="110" spans="1:15" s="5" customFormat="1" ht="16.5" thickBot="1">
      <c r="C110" s="9"/>
      <c r="D110" s="134" t="s">
        <v>32</v>
      </c>
      <c r="E110" s="135">
        <f>SUBTOTAL(9,E111:E111)</f>
        <v>0</v>
      </c>
      <c r="J110" s="128"/>
      <c r="K110" s="11"/>
      <c r="L110" s="13"/>
      <c r="M110" s="13"/>
      <c r="N110" s="129"/>
    </row>
    <row r="111" spans="1:15" s="12" customFormat="1" ht="15.75" outlineLevel="1" thickBot="1">
      <c r="A111" s="5" t="str">
        <f>G111</f>
        <v>Cancelado</v>
      </c>
      <c r="B111" s="5" t="e">
        <f>IF(#REF!&lt;=-1,1,IF(#REF!&lt;=5,2,IF(#REF!&lt;=15,3,IF(H111&lt;=60,4))))</f>
        <v>#REF!</v>
      </c>
      <c r="C111" s="37" t="s">
        <v>100</v>
      </c>
      <c r="D111" s="10" t="s">
        <v>191</v>
      </c>
      <c r="E111" s="158">
        <v>0</v>
      </c>
      <c r="F111" s="33">
        <v>46111</v>
      </c>
      <c r="G111" s="5" t="s">
        <v>12</v>
      </c>
      <c r="H111" s="5">
        <f>IF(OR(G111="Sin pagar",G111="Pagar"),NETWORKDAYS($I$11,F111,'Festivos Colombia'!$A$3:$A$22),0)</f>
        <v>0</v>
      </c>
      <c r="I111" s="36">
        <f t="shared" ref="I111" si="43">H111</f>
        <v>0</v>
      </c>
      <c r="J111" s="128"/>
      <c r="K111" s="13"/>
      <c r="L111" s="5"/>
      <c r="M111" s="13"/>
      <c r="N111" s="129"/>
      <c r="O111" s="5"/>
    </row>
    <row r="112" spans="1:15" s="5" customFormat="1" ht="16.5" thickBot="1">
      <c r="C112" s="9"/>
      <c r="D112" s="134" t="s">
        <v>33</v>
      </c>
      <c r="E112" s="135">
        <f>SUBTOTAL(9,E113:E114)</f>
        <v>4505836</v>
      </c>
      <c r="F112" s="157"/>
      <c r="J112" s="130"/>
      <c r="K112" s="131"/>
      <c r="L112" s="13"/>
    </row>
    <row r="113" spans="1:24" s="5" customFormat="1" ht="15" customHeight="1" outlineLevel="1">
      <c r="A113" s="5" t="str">
        <f t="shared" ref="A113" si="44">G113</f>
        <v>Cancelado</v>
      </c>
      <c r="B113" s="5" t="e">
        <f>IF(#REF!&lt;=-1,1,IF(#REF!&lt;=5,2,IF(#REF!&lt;=15,3,IF(H113&lt;=60,4))))</f>
        <v>#REF!</v>
      </c>
      <c r="C113" s="9">
        <v>5070</v>
      </c>
      <c r="D113" s="10" t="s">
        <v>316</v>
      </c>
      <c r="E113" s="11">
        <v>1876336</v>
      </c>
      <c r="F113" s="33">
        <v>46094</v>
      </c>
      <c r="G113" s="5" t="s">
        <v>12</v>
      </c>
      <c r="H113" s="5">
        <f>IF(OR(G113="Sin pagar",G113="Pagar"),NETWORKDAYS($I$11,F113,'Festivos Colombia'!$A$3:$A$22),0)</f>
        <v>0</v>
      </c>
      <c r="I113" s="36">
        <f t="shared" ref="I113" si="45">H113</f>
        <v>0</v>
      </c>
      <c r="J113" s="132"/>
      <c r="K113" s="133"/>
      <c r="L113" s="131"/>
    </row>
    <row r="114" spans="1:24" s="5" customFormat="1" ht="15" customHeight="1" outlineLevel="1" thickBot="1">
      <c r="A114" s="5" t="str">
        <f t="shared" ref="A114" si="46">G114</f>
        <v>Cancelado</v>
      </c>
      <c r="B114" s="5" t="e">
        <f>IF(#REF!&lt;=-1,1,IF(#REF!&lt;=5,2,IF(#REF!&lt;=15,3,IF(H114&lt;=60,4))))</f>
        <v>#REF!</v>
      </c>
      <c r="C114" s="9"/>
      <c r="D114" s="10" t="s">
        <v>334</v>
      </c>
      <c r="E114" s="11">
        <v>2629500</v>
      </c>
      <c r="F114" s="33">
        <v>46111</v>
      </c>
      <c r="G114" s="5" t="s">
        <v>12</v>
      </c>
      <c r="H114" s="5">
        <f>IF(OR(G114="Sin pagar",G114="Pagar"),NETWORKDAYS($I$11,F114,'Festivos Colombia'!$A$3:$A$22),0)</f>
        <v>0</v>
      </c>
      <c r="I114" s="36">
        <f t="shared" ref="I114" si="47">H114</f>
        <v>0</v>
      </c>
      <c r="J114" s="132"/>
      <c r="K114" s="133"/>
      <c r="L114" s="131"/>
    </row>
    <row r="115" spans="1:24" s="5" customFormat="1" ht="15" customHeight="1">
      <c r="C115" s="9"/>
      <c r="D115" s="40" t="s">
        <v>34</v>
      </c>
      <c r="E115" s="137">
        <f>SUBTOTAL(9,E13:E114)</f>
        <v>2914099657.3099999</v>
      </c>
      <c r="F115" s="160"/>
      <c r="G115" s="161"/>
      <c r="L115" s="13"/>
      <c r="O115" s="1"/>
      <c r="S115" s="1"/>
      <c r="T115" s="1"/>
      <c r="U115" s="1"/>
    </row>
    <row r="116" spans="1:24" ht="15.75">
      <c r="B116" s="5"/>
      <c r="D116" s="118" t="s">
        <v>40</v>
      </c>
      <c r="E116" s="58">
        <f>(E115*4)/1000</f>
        <v>11656398.629240001</v>
      </c>
      <c r="F116" s="160"/>
      <c r="G116" s="161"/>
      <c r="H116" s="41"/>
      <c r="I116" s="41"/>
      <c r="J116" s="124"/>
    </row>
    <row r="117" spans="1:24" ht="15.75">
      <c r="B117" s="5"/>
      <c r="D117" s="120" t="s">
        <v>41</v>
      </c>
      <c r="E117" s="121">
        <f>E115+E116</f>
        <v>2925756055.93924</v>
      </c>
      <c r="F117" s="160"/>
      <c r="G117" s="161" t="s">
        <v>19</v>
      </c>
      <c r="H117" s="41"/>
      <c r="I117" s="41"/>
      <c r="J117" s="124"/>
    </row>
    <row r="118" spans="1:24" ht="6" customHeight="1">
      <c r="B118" s="5"/>
      <c r="D118" s="118"/>
      <c r="E118" s="58"/>
      <c r="F118" s="28"/>
      <c r="G118" s="28"/>
      <c r="H118" s="41"/>
      <c r="I118" s="41"/>
    </row>
    <row r="119" spans="1:24" ht="6" customHeight="1">
      <c r="B119" s="5"/>
      <c r="D119" s="118"/>
      <c r="E119" s="58"/>
      <c r="F119" s="28"/>
      <c r="G119" s="28"/>
      <c r="H119" s="41"/>
      <c r="I119" s="41"/>
    </row>
    <row r="120" spans="1:24" ht="6" customHeight="1">
      <c r="B120" s="5"/>
      <c r="D120" s="118"/>
      <c r="E120" s="58"/>
      <c r="F120" s="28"/>
      <c r="G120" s="28"/>
      <c r="H120" s="41"/>
      <c r="I120" s="41"/>
    </row>
    <row r="121" spans="1:24" ht="15.75">
      <c r="B121" s="5"/>
      <c r="D121" s="42" t="s">
        <v>35</v>
      </c>
      <c r="E121" s="43">
        <f>E8-E115</f>
        <v>1206859933.4319992</v>
      </c>
      <c r="F121" s="28"/>
      <c r="G121" s="28"/>
      <c r="I121" s="44"/>
    </row>
    <row r="122" spans="1:24" s="5" customFormat="1" ht="15.75">
      <c r="A122" s="45"/>
      <c r="C122" s="46"/>
      <c r="D122" s="42" t="s">
        <v>36</v>
      </c>
      <c r="E122" s="47">
        <f>IF($E$8=0,0,E121/$E$8)</f>
        <v>0.29285895841912346</v>
      </c>
      <c r="F122" s="28"/>
      <c r="G122" s="28"/>
      <c r="H122" s="45"/>
      <c r="I122" s="49"/>
      <c r="J122" s="45"/>
      <c r="K122" s="45"/>
      <c r="L122" s="45"/>
      <c r="M122" s="45"/>
      <c r="N122" s="45"/>
      <c r="O122" s="1"/>
      <c r="P122" s="45"/>
      <c r="Q122" s="45"/>
      <c r="R122" s="45"/>
      <c r="S122" s="1"/>
      <c r="T122" s="1"/>
      <c r="U122" s="1"/>
    </row>
    <row r="123" spans="1:24" s="5" customFormat="1">
      <c r="A123" s="1"/>
      <c r="C123" s="2"/>
      <c r="D123" s="1"/>
      <c r="E123" s="3"/>
      <c r="F123" s="48"/>
      <c r="G123" s="119"/>
      <c r="H123" s="1"/>
      <c r="I123" s="4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6.75" customHeight="1" thickBot="1"/>
    <row r="125" spans="1:24" ht="15.75" thickBot="1">
      <c r="D125" s="146" t="s">
        <v>95</v>
      </c>
      <c r="E125" s="147" t="s">
        <v>96</v>
      </c>
    </row>
    <row r="126" spans="1:24">
      <c r="J126" s="44"/>
    </row>
    <row r="127" spans="1:24" ht="15.75" thickBot="1"/>
    <row r="128" spans="1:24">
      <c r="D128" s="169">
        <v>46082</v>
      </c>
      <c r="E128" s="220">
        <v>46089</v>
      </c>
      <c r="F128" s="172">
        <f t="shared" ref="F128:F135" si="48">SUMIFS($E$12:$E$124,$F$12:$F$124,"&gt;="&amp;D128,$F$12:$F$124,"&lt;="&amp;E128,$G$12:$G$124,$E$147)</f>
        <v>0</v>
      </c>
      <c r="G128" s="122" t="s">
        <v>311</v>
      </c>
      <c r="H128" s="162"/>
      <c r="I128" s="162"/>
    </row>
    <row r="129" spans="4:11">
      <c r="D129" s="170">
        <v>46090</v>
      </c>
      <c r="E129" s="171">
        <v>46092</v>
      </c>
      <c r="F129" s="173">
        <f t="shared" si="48"/>
        <v>0</v>
      </c>
      <c r="G129" s="122"/>
      <c r="H129" s="162"/>
      <c r="I129" s="162"/>
    </row>
    <row r="130" spans="4:11">
      <c r="D130" s="170">
        <v>46093</v>
      </c>
      <c r="E130" s="171">
        <v>46093</v>
      </c>
      <c r="F130" s="173">
        <f t="shared" si="48"/>
        <v>0</v>
      </c>
    </row>
    <row r="131" spans="4:11">
      <c r="D131" s="170">
        <v>46094</v>
      </c>
      <c r="E131" s="171">
        <v>46096</v>
      </c>
      <c r="F131" s="173">
        <f t="shared" si="48"/>
        <v>0</v>
      </c>
    </row>
    <row r="132" spans="4:11">
      <c r="D132" s="170">
        <v>46097</v>
      </c>
      <c r="E132" s="178">
        <v>46104</v>
      </c>
      <c r="F132" s="173">
        <f t="shared" si="48"/>
        <v>0</v>
      </c>
      <c r="G132" s="122" t="s">
        <v>117</v>
      </c>
      <c r="I132" s="152"/>
    </row>
    <row r="133" spans="4:11">
      <c r="D133" s="170">
        <v>46105</v>
      </c>
      <c r="E133" s="178">
        <v>46110</v>
      </c>
      <c r="F133" s="173">
        <f t="shared" si="48"/>
        <v>0</v>
      </c>
      <c r="G133" s="162" t="s">
        <v>265</v>
      </c>
      <c r="I133" s="152"/>
    </row>
    <row r="134" spans="4:11">
      <c r="D134" s="170">
        <v>46111</v>
      </c>
      <c r="E134" s="178">
        <v>46112</v>
      </c>
      <c r="F134" s="173">
        <f t="shared" si="48"/>
        <v>0</v>
      </c>
      <c r="G134" s="162" t="s">
        <v>265</v>
      </c>
      <c r="I134" s="152"/>
    </row>
    <row r="135" spans="4:11" ht="15.75" thickBot="1">
      <c r="D135" s="167">
        <v>46113</v>
      </c>
      <c r="E135" s="188">
        <v>46124</v>
      </c>
      <c r="F135" s="174">
        <f t="shared" si="48"/>
        <v>0</v>
      </c>
      <c r="G135" s="162"/>
      <c r="I135" s="152"/>
    </row>
    <row r="136" spans="4:11" ht="15.75">
      <c r="D136" s="235" t="s">
        <v>98</v>
      </c>
      <c r="E136" s="236"/>
      <c r="F136" s="151">
        <f>SUM(F128:F135)</f>
        <v>0</v>
      </c>
      <c r="G136" s="44"/>
      <c r="I136" s="148"/>
    </row>
    <row r="137" spans="4:11">
      <c r="D137" s="237"/>
      <c r="E137" s="238"/>
    </row>
    <row r="138" spans="4:11">
      <c r="E138" s="1"/>
    </row>
    <row r="139" spans="4:11">
      <c r="D139" s="239" t="s">
        <v>322</v>
      </c>
      <c r="E139" s="232"/>
      <c r="F139" s="44">
        <f>SUM(F128:F135)</f>
        <v>0</v>
      </c>
      <c r="I139" s="44"/>
      <c r="J139" s="44"/>
    </row>
    <row r="140" spans="4:11" ht="15.75" thickBot="1">
      <c r="D140" s="239" t="s">
        <v>76</v>
      </c>
      <c r="E140" s="232"/>
      <c r="F140" s="221">
        <f>(F139*4)/1000</f>
        <v>0</v>
      </c>
    </row>
    <row r="141" spans="4:11" ht="15.75" thickTop="1">
      <c r="D141" s="229" t="s">
        <v>313</v>
      </c>
      <c r="E141" s="230"/>
      <c r="F141" s="49">
        <f>SUM(F139:F140)</f>
        <v>0</v>
      </c>
    </row>
    <row r="142" spans="4:11" ht="17.25" customHeight="1">
      <c r="F142" s="150"/>
      <c r="G142" s="165"/>
    </row>
    <row r="143" spans="4:11">
      <c r="D143" s="231">
        <v>46119</v>
      </c>
      <c r="E143" s="232"/>
      <c r="F143" s="223">
        <v>1206859933.4400001</v>
      </c>
      <c r="G143" s="182"/>
      <c r="I143" s="182"/>
      <c r="J143" s="182"/>
      <c r="K143" s="159"/>
    </row>
    <row r="144" spans="4:11">
      <c r="E144" s="186" t="s">
        <v>126</v>
      </c>
      <c r="F144" s="183">
        <f>F143-F141</f>
        <v>1206859933.4400001</v>
      </c>
      <c r="I144" s="44"/>
    </row>
    <row r="147" spans="5:6">
      <c r="E147" s="3" t="s">
        <v>19</v>
      </c>
      <c r="F147" s="44">
        <f>SUMIFS($E$12:$E$115,$F$12:$F$115,"&gt;="&amp;D128,$F$12:$F$115,"&lt;="&amp;E135,$G$12:$G$115,$E$147)</f>
        <v>0</v>
      </c>
    </row>
    <row r="148" spans="5:6">
      <c r="E148" s="3" t="s">
        <v>12</v>
      </c>
      <c r="F148" s="44">
        <f>SUMIFS($E$12:$E$115,$F$12:$F$115,"&gt;="&amp;D128,$F$12:$F$115,"&lt;="&amp;E135,$G$12:$G$115,$E$148)</f>
        <v>2914099657.3099999</v>
      </c>
    </row>
    <row r="149" spans="5:6">
      <c r="E149" s="58" t="s">
        <v>25</v>
      </c>
      <c r="F149" s="49">
        <f>SUM(F147:F148)</f>
        <v>2914099657.3099999</v>
      </c>
    </row>
    <row r="150" spans="5:6">
      <c r="E150" s="3" t="s">
        <v>143</v>
      </c>
      <c r="F150" s="44">
        <f>E115-F149</f>
        <v>0</v>
      </c>
    </row>
  </sheetData>
  <protectedRanges>
    <protectedRange sqref="F8:G8 E14 E123 F118:G122 E5:F5 E7:F7 E18:E19 E92:E93 E24:E29 E99:E104" name="Presupuestos"/>
    <protectedRange sqref="E12" name="Presupuestos_1"/>
    <protectedRange sqref="E95 J95" name="Presupuestos_7"/>
    <protectedRange sqref="K110 E97 E111 E106:E109" name="Presupuestos_6_1_1"/>
    <protectedRange sqref="K21:L22" name="Presupuestos_1_1_1_1_1_1_2_1_1"/>
    <protectedRange sqref="E31:E36" name="Presupuestos_3"/>
    <protectedRange sqref="E113:E114" name="Presupuestos_6_1_1_1_2_1"/>
    <protectedRange sqref="E21:E22" name="Presupuestos_1_1_1_1_1_1_2_1_1_3_1_1"/>
    <protectedRange sqref="E38:E84 E86:E90" name="Presupuestos_2_2_1_1_3"/>
  </protectedRanges>
  <autoFilter ref="C12:I122" xr:uid="{713DEDF4-24B5-48DE-A5F0-5E5AF7CE9B8E}"/>
  <mergeCells count="9">
    <mergeCell ref="D141:E141"/>
    <mergeCell ref="D143:E143"/>
    <mergeCell ref="C11:D11"/>
    <mergeCell ref="F11:G11"/>
    <mergeCell ref="T20:U20"/>
    <mergeCell ref="D136:E136"/>
    <mergeCell ref="D137:E137"/>
    <mergeCell ref="D139:E139"/>
    <mergeCell ref="D140:E140"/>
  </mergeCells>
  <conditionalFormatting sqref="I14 I16 I21:I114">
    <cfRule type="cellIs" dxfId="35" priority="5" operator="lessThan">
      <formula>0</formula>
    </cfRule>
    <cfRule type="cellIs" dxfId="34" priority="6" operator="between">
      <formula>6</formula>
      <formula>15</formula>
    </cfRule>
    <cfRule type="cellIs" dxfId="33" priority="7" operator="between">
      <formula>1</formula>
      <formula>5</formula>
    </cfRule>
    <cfRule type="cellIs" dxfId="32" priority="8" operator="between">
      <formula>16</formula>
      <formula>60</formula>
    </cfRule>
  </conditionalFormatting>
  <conditionalFormatting sqref="I18:I19">
    <cfRule type="cellIs" dxfId="31" priority="1" operator="lessThan">
      <formula>0</formula>
    </cfRule>
    <cfRule type="cellIs" dxfId="30" priority="2" operator="between">
      <formula>6</formula>
      <formula>15</formula>
    </cfRule>
    <cfRule type="cellIs" dxfId="29" priority="3" operator="between">
      <formula>1</formula>
      <formula>5</formula>
    </cfRule>
    <cfRule type="cellIs" dxfId="28" priority="4" operator="between">
      <formula>16</formula>
      <formula>60</formula>
    </cfRule>
  </conditionalFormatting>
  <conditionalFormatting sqref="I123">
    <cfRule type="cellIs" dxfId="27" priority="9" operator="lessThan">
      <formula>0</formula>
    </cfRule>
    <cfRule type="cellIs" dxfId="26" priority="10" operator="between">
      <formula>6</formula>
      <formula>15</formula>
    </cfRule>
    <cfRule type="cellIs" dxfId="25" priority="11" operator="between">
      <formula>1</formula>
      <formula>5</formula>
    </cfRule>
    <cfRule type="cellIs" dxfId="24" priority="12" operator="between">
      <formula>16</formula>
      <formula>60</formula>
    </cfRule>
  </conditionalFormatting>
  <dataValidations disablePrompts="1" count="3">
    <dataValidation type="list" allowBlank="1" showInputMessage="1" showErrorMessage="1" sqref="C18:C19" xr:uid="{20EEAA20-BD81-40A2-BB17-E34B61268A8A}">
      <formula1>"0,1"</formula1>
    </dataValidation>
    <dataValidation type="list" allowBlank="1" showInputMessage="1" showErrorMessage="1" sqref="G95 G14:G16 G99:G104 G18:G19 G97 G21:G22 G38:G84 E147:E148 G86:G93 G24:G29 G111:G117 G106:G109 G31:G36" xr:uid="{1C20B223-2082-43DD-933D-2215E6E9F821}">
      <formula1>"Cancelado,Pagar,Sin Pagar"</formula1>
    </dataValidation>
    <dataValidation type="list" allowBlank="1" showInputMessage="1" showErrorMessage="1" sqref="E11" xr:uid="{EAAF70BC-A41C-44DC-8866-90E85B217A39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ignoredErrors>
    <ignoredError sqref="I56 I114:I117 I34:I48 I110:I112 I90:I102 I104:I108 I85:I88 I14:I30" unlockedFormula="1"/>
    <ignoredError sqref="C2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184A-4789-46A9-BC52-F6610C92CF11}">
  <dimension ref="A1:X152"/>
  <sheetViews>
    <sheetView showGridLines="0" topLeftCell="C2" zoomScaleNormal="100" workbookViewId="0">
      <selection activeCell="E7" sqref="E7"/>
    </sheetView>
  </sheetViews>
  <sheetFormatPr baseColWidth="10" defaultColWidth="11.42578125" defaultRowHeight="15" outlineLevelRow="1"/>
  <cols>
    <col min="1" max="1" width="10.140625" style="1" hidden="1" customWidth="1"/>
    <col min="2" max="2" width="6.5703125" style="1" hidden="1" customWidth="1"/>
    <col min="3" max="3" width="19.140625" style="2" customWidth="1"/>
    <col min="4" max="4" width="95.7109375" style="1" customWidth="1"/>
    <col min="5" max="5" width="31.85546875" style="3" customWidth="1"/>
    <col min="6" max="6" width="21" style="1" customWidth="1"/>
    <col min="7" max="7" width="20" style="1" bestFit="1" customWidth="1"/>
    <col min="8" max="8" width="7.7109375" style="1" hidden="1" customWidth="1"/>
    <col min="9" max="9" width="19.42578125" style="1" bestFit="1" customWidth="1"/>
    <col min="10" max="10" width="31.28515625" style="1" customWidth="1"/>
    <col min="11" max="11" width="21.5703125" style="1" bestFit="1" customWidth="1"/>
    <col min="12" max="12" width="3.140625" style="1" customWidth="1"/>
    <col min="13" max="13" width="15.7109375" style="1" customWidth="1"/>
    <col min="14" max="14" width="15.28515625" style="1" bestFit="1" customWidth="1"/>
    <col min="15" max="15" width="13.85546875" style="1" bestFit="1" customWidth="1"/>
    <col min="16" max="16" width="13.28515625" style="1" bestFit="1" customWidth="1"/>
    <col min="17" max="17" width="14" style="1" bestFit="1" customWidth="1"/>
    <col min="18" max="18" width="11.42578125" style="1"/>
    <col min="19" max="19" width="9.140625" style="1" customWidth="1"/>
    <col min="20" max="20" width="26.140625" style="1" customWidth="1"/>
    <col min="21" max="21" width="19.28515625" style="1" bestFit="1" customWidth="1"/>
    <col min="22" max="22" width="15.28515625" style="1" bestFit="1" customWidth="1"/>
    <col min="23" max="23" width="14" style="1" bestFit="1" customWidth="1"/>
    <col min="24" max="24" width="13" style="1" bestFit="1" customWidth="1"/>
    <col min="25" max="16384" width="11.42578125" style="1"/>
  </cols>
  <sheetData>
    <row r="1" spans="1:24" hidden="1">
      <c r="E1" s="3">
        <v>42400</v>
      </c>
    </row>
    <row r="2" spans="1:24">
      <c r="E2" s="4"/>
    </row>
    <row r="3" spans="1:24">
      <c r="E3" s="4"/>
    </row>
    <row r="4" spans="1:24" s="6" customFormat="1" ht="15.75">
      <c r="D4" s="7" t="s">
        <v>0</v>
      </c>
      <c r="E4" s="8">
        <f>SUBTOTAL(9,E5:E5)</f>
        <v>1206859933.4319992</v>
      </c>
      <c r="F4" s="55"/>
      <c r="G4" s="1"/>
      <c r="H4" s="1"/>
      <c r="I4" s="1"/>
      <c r="J4" s="1"/>
      <c r="K4" s="1"/>
      <c r="L4" s="1"/>
      <c r="M4" s="1"/>
    </row>
    <row r="5" spans="1:24" s="5" customFormat="1" outlineLevel="1">
      <c r="C5" s="9"/>
      <c r="D5" s="10" t="s">
        <v>131</v>
      </c>
      <c r="E5" s="11">
        <f>MARZO!$E$121</f>
        <v>1206859933.4319992</v>
      </c>
      <c r="F5" s="11"/>
      <c r="G5" s="44"/>
      <c r="H5" s="1"/>
      <c r="I5" s="44"/>
      <c r="J5" s="44"/>
      <c r="K5" s="1"/>
      <c r="L5" s="1"/>
      <c r="M5" s="1"/>
    </row>
    <row r="6" spans="1:24" s="5" customFormat="1" ht="15.75">
      <c r="C6" s="9"/>
      <c r="D6" s="7" t="s">
        <v>97</v>
      </c>
      <c r="E6" s="8">
        <f>SUBTOTAL(9,E7:E7)</f>
        <v>3190885499.5299997</v>
      </c>
      <c r="G6" s="49"/>
      <c r="H6" s="1"/>
      <c r="I6" s="44"/>
      <c r="J6" s="1"/>
      <c r="K6" s="1"/>
      <c r="L6" s="1"/>
      <c r="M6" s="1"/>
    </row>
    <row r="7" spans="1:24" s="5" customFormat="1" outlineLevel="1">
      <c r="C7" s="9"/>
      <c r="D7" s="10" t="s">
        <v>341</v>
      </c>
      <c r="E7" s="11">
        <f>5553553.2+8903168.4+54058.69+279638141.4+2657714938.49+106046819.2+33451228+30169695.15+69353897</f>
        <v>3190885499.5299997</v>
      </c>
      <c r="F7" s="176"/>
      <c r="G7" s="44"/>
      <c r="H7" s="1"/>
      <c r="I7" s="44"/>
      <c r="J7" s="54"/>
      <c r="K7" s="1"/>
      <c r="L7" s="1"/>
      <c r="M7" s="1"/>
    </row>
    <row r="8" spans="1:24" s="5" customFormat="1" ht="15" customHeight="1">
      <c r="C8" s="9"/>
      <c r="D8" s="17" t="s">
        <v>127</v>
      </c>
      <c r="E8" s="18">
        <f>SUBTOTAL(9,E4:E7)</f>
        <v>4397745432.9619989</v>
      </c>
      <c r="F8" s="28"/>
      <c r="G8" s="28"/>
      <c r="H8" s="1"/>
      <c r="I8" s="1"/>
      <c r="J8" s="1"/>
      <c r="K8" s="1"/>
      <c r="L8" s="1"/>
      <c r="M8" s="1"/>
      <c r="T8" s="19"/>
      <c r="U8" s="20"/>
      <c r="V8" s="15"/>
    </row>
    <row r="9" spans="1:24" s="5" customFormat="1" ht="15.75">
      <c r="C9" s="9"/>
      <c r="D9" s="95"/>
      <c r="E9" s="96"/>
      <c r="G9" s="1"/>
      <c r="H9" s="1"/>
      <c r="I9" s="1"/>
      <c r="J9" s="1"/>
      <c r="K9" s="1"/>
      <c r="L9" s="1"/>
      <c r="M9" s="1"/>
      <c r="T9" s="20"/>
      <c r="U9" s="20"/>
    </row>
    <row r="10" spans="1:24" s="5" customFormat="1" ht="15.75">
      <c r="C10" s="9"/>
      <c r="J10" s="13"/>
      <c r="S10" s="21"/>
      <c r="T10" s="22"/>
      <c r="U10" s="23"/>
    </row>
    <row r="11" spans="1:24" s="5" customFormat="1" ht="15.75">
      <c r="C11" s="233" t="s">
        <v>1</v>
      </c>
      <c r="D11" s="233"/>
      <c r="E11" s="24" t="s">
        <v>342</v>
      </c>
      <c r="F11" s="233" t="s">
        <v>2</v>
      </c>
      <c r="G11" s="233"/>
      <c r="H11" s="24"/>
      <c r="I11" s="25">
        <v>46113</v>
      </c>
      <c r="J11" s="13"/>
      <c r="K11" s="23"/>
      <c r="L11" s="23"/>
      <c r="M11" s="23"/>
      <c r="N11" s="23"/>
      <c r="O11" s="23"/>
      <c r="S11" s="21"/>
      <c r="W11" s="13"/>
      <c r="X11" s="13"/>
    </row>
    <row r="12" spans="1:24" s="5" customFormat="1" ht="16.5" thickBot="1">
      <c r="C12" s="26" t="s">
        <v>3</v>
      </c>
      <c r="D12" s="27" t="s">
        <v>4</v>
      </c>
      <c r="E12" s="28" t="s">
        <v>5</v>
      </c>
      <c r="F12" s="29" t="s">
        <v>6</v>
      </c>
      <c r="G12" s="21" t="s">
        <v>7</v>
      </c>
      <c r="H12" s="21"/>
      <c r="I12" s="30" t="s">
        <v>8</v>
      </c>
      <c r="J12" s="30" t="s">
        <v>9</v>
      </c>
      <c r="S12" s="31"/>
      <c r="W12" s="13"/>
      <c r="X12" s="32"/>
    </row>
    <row r="13" spans="1:24" s="5" customFormat="1" ht="16.5" thickBot="1">
      <c r="D13" s="134" t="s">
        <v>10</v>
      </c>
      <c r="E13" s="135">
        <f>SUBTOTAL(9,E14)</f>
        <v>25815079</v>
      </c>
      <c r="J13" s="13"/>
    </row>
    <row r="14" spans="1:24" s="5" customFormat="1" ht="15.75" outlineLevel="1" thickBot="1">
      <c r="A14" s="5" t="str">
        <f>G14</f>
        <v>Cancelado</v>
      </c>
      <c r="B14" s="5" t="e">
        <f>IF(#REF!&lt;=-1,1,IF(#REF!&lt;=5,2,IF(#REF!&lt;=15,3,IF(H14&lt;=60,4))))</f>
        <v>#REF!</v>
      </c>
      <c r="C14" s="9" t="s">
        <v>100</v>
      </c>
      <c r="D14" s="10" t="s">
        <v>99</v>
      </c>
      <c r="E14" s="11">
        <v>25815079</v>
      </c>
      <c r="F14" s="163">
        <v>46140</v>
      </c>
      <c r="G14" s="5" t="s">
        <v>12</v>
      </c>
      <c r="H14" s="5">
        <f>IF(OR(G14="Sin pagar",G14="Pagar"),NETWORKDAYS($I$11,F14,'Festivos Colombia'!$A$3:$A$22),0)</f>
        <v>0</v>
      </c>
      <c r="I14" s="34">
        <f t="shared" ref="I14" si="0">H14</f>
        <v>0</v>
      </c>
    </row>
    <row r="15" spans="1:24" s="5" customFormat="1" ht="16.5" thickBot="1">
      <c r="C15" s="9"/>
      <c r="D15" s="134" t="s">
        <v>13</v>
      </c>
      <c r="E15" s="135">
        <f>SUBTOTAL(9,E16:E16)</f>
        <v>648657500</v>
      </c>
      <c r="F15" s="33"/>
      <c r="I15" s="34"/>
    </row>
    <row r="16" spans="1:24" s="5" customFormat="1" ht="15.75" outlineLevel="1" thickBot="1">
      <c r="A16" s="5" t="str">
        <f t="shared" ref="A16" si="1">G16</f>
        <v>Cancelado</v>
      </c>
      <c r="B16" s="5" t="e">
        <f>IF(#REF!&lt;=-1,1,IF(#REF!&lt;=5,2,IF(#REF!&lt;=15,3,IF(H16&lt;=60,4))))</f>
        <v>#REF!</v>
      </c>
      <c r="C16" s="9"/>
      <c r="D16" s="10" t="s">
        <v>103</v>
      </c>
      <c r="E16" s="11">
        <v>648657500</v>
      </c>
      <c r="F16" s="33">
        <v>46128</v>
      </c>
      <c r="G16" s="5" t="s">
        <v>12</v>
      </c>
      <c r="H16" s="5">
        <f>IF(OR(G16="Sin pagar",G16="Pagar"),NETWORKDAYS($I$11,F16,'Festivos Colombia'!$A$3:$A$22),0)</f>
        <v>0</v>
      </c>
      <c r="I16" s="34">
        <f t="shared" ref="I16" si="2">H16</f>
        <v>0</v>
      </c>
      <c r="J16" s="11">
        <v>648217000</v>
      </c>
      <c r="K16" s="13">
        <f>+J16-E16</f>
        <v>-440500</v>
      </c>
      <c r="L16" s="13"/>
      <c r="M16" s="144"/>
    </row>
    <row r="17" spans="1:21" s="5" customFormat="1" ht="16.5" thickBot="1">
      <c r="C17" s="9"/>
      <c r="D17" s="134" t="s">
        <v>14</v>
      </c>
      <c r="E17" s="135">
        <f>SUBTOTAL(9,E18:E19)</f>
        <v>77581011</v>
      </c>
      <c r="J17" s="35"/>
      <c r="K17" s="13"/>
      <c r="L17" s="13"/>
    </row>
    <row r="18" spans="1:21" s="5" customFormat="1" outlineLevel="1">
      <c r="A18" s="5" t="str">
        <f>G18</f>
        <v>Cancelado</v>
      </c>
      <c r="B18" s="5" t="e">
        <f>IF(#REF!&lt;=-1,1,IF(#REF!&lt;=5,2,IF(#REF!&lt;=15,3,IF(H18&lt;=60,4))))</f>
        <v>#REF!</v>
      </c>
      <c r="C18" s="9">
        <v>1</v>
      </c>
      <c r="D18" s="10" t="s">
        <v>109</v>
      </c>
      <c r="E18" s="11">
        <v>18566667</v>
      </c>
      <c r="F18" s="163">
        <v>46139</v>
      </c>
      <c r="G18" s="5" t="s">
        <v>12</v>
      </c>
      <c r="H18" s="5">
        <f>IF(OR(G18="Sin pagar",G18="Pagar"),NETWORKDAYS($I$11,F18,'Festivos Colombia'!$A$3:$A$22),0)</f>
        <v>0</v>
      </c>
      <c r="I18" s="36">
        <f>H18</f>
        <v>0</v>
      </c>
      <c r="K18" s="13"/>
      <c r="L18" s="13"/>
    </row>
    <row r="19" spans="1:21" s="5" customFormat="1" ht="15.75" outlineLevel="1" thickBot="1">
      <c r="A19" s="5" t="str">
        <f>G19</f>
        <v>Cancelado</v>
      </c>
      <c r="B19" s="5" t="e">
        <f>IF(#REF!&lt;=-1,1,IF(#REF!&lt;=5,2,IF(#REF!&lt;=15,3,IF(H19&lt;=60,4))))</f>
        <v>#REF!</v>
      </c>
      <c r="C19" s="9">
        <v>1</v>
      </c>
      <c r="D19" s="10" t="s">
        <v>101</v>
      </c>
      <c r="E19" s="11">
        <v>59014344</v>
      </c>
      <c r="F19" s="163">
        <v>46140</v>
      </c>
      <c r="G19" s="5" t="s">
        <v>12</v>
      </c>
      <c r="H19" s="5">
        <f>IF(OR(G19="Sin pagar",G19="Pagar"),NETWORKDAYS($I$11,F19,'Festivos Colombia'!$A$3:$A$22),0)</f>
        <v>0</v>
      </c>
      <c r="I19" s="36">
        <f>H19</f>
        <v>0</v>
      </c>
      <c r="J19" s="13"/>
      <c r="K19" s="13"/>
      <c r="L19" s="13"/>
      <c r="M19" s="13"/>
      <c r="N19" s="13"/>
      <c r="P19" s="13"/>
      <c r="Q19" s="13"/>
    </row>
    <row r="20" spans="1:21" s="5" customFormat="1" ht="16.5" thickBot="1">
      <c r="C20" s="9"/>
      <c r="D20" s="134" t="s">
        <v>15</v>
      </c>
      <c r="E20" s="135">
        <f>SUBTOTAL(9,E21:E21)</f>
        <v>340661000</v>
      </c>
      <c r="H20" s="5">
        <f>IF(OR(G20="Sin pagar",G20="Pagar"),NETWORKDAYS($I$11,F20,'Festivos Colombia'!$A$3:$A$22),0)</f>
        <v>0</v>
      </c>
      <c r="I20" s="34">
        <f t="shared" ref="I20:I21" si="3">H20</f>
        <v>0</v>
      </c>
      <c r="J20" s="13"/>
      <c r="T20" s="234"/>
      <c r="U20" s="234"/>
    </row>
    <row r="21" spans="1:21" s="5" customFormat="1" ht="15.75" outlineLevel="1" thickBot="1">
      <c r="A21" s="5" t="str">
        <f>G21</f>
        <v>Cancelado</v>
      </c>
      <c r="B21" s="5" t="e">
        <f>IF(#REF!&lt;=-1,1,IF(#REF!&lt;=5,2,IF(#REF!&lt;=15,3,IF(H21&lt;=60,4))))</f>
        <v>#REF!</v>
      </c>
      <c r="C21" s="9"/>
      <c r="D21" s="57" t="s">
        <v>16</v>
      </c>
      <c r="E21" s="11">
        <v>340661000</v>
      </c>
      <c r="F21" s="33">
        <v>46126</v>
      </c>
      <c r="G21" s="5" t="s">
        <v>12</v>
      </c>
      <c r="H21" s="5">
        <f>IF(OR(G21="Sin pagar",G21="Pagar"),NETWORKDAYS($I$11,F21,'Festivos Colombia'!$A$3:$A$22),0)</f>
        <v>0</v>
      </c>
      <c r="I21" s="34">
        <f t="shared" si="3"/>
        <v>0</v>
      </c>
      <c r="J21" s="145"/>
      <c r="K21" s="16"/>
      <c r="L21" s="16"/>
      <c r="M21" s="13"/>
      <c r="U21" s="56"/>
    </row>
    <row r="22" spans="1:21" s="5" customFormat="1" ht="16.5" thickBot="1">
      <c r="D22" s="134" t="s">
        <v>17</v>
      </c>
      <c r="E22" s="135">
        <f>SUBTOTAL(9,E23:E26)</f>
        <v>17294698</v>
      </c>
      <c r="H22" s="5">
        <f>IF(OR(G22="Sin pagar",G22="Pagar"),NETWORKDAYS($I$11,F22,'Festivos Colombia'!$A$3:$A$22),0)</f>
        <v>0</v>
      </c>
      <c r="K22" s="12"/>
      <c r="L22" s="12"/>
      <c r="M22" s="12"/>
      <c r="N22" s="12"/>
      <c r="O22" s="12"/>
      <c r="T22" s="12"/>
      <c r="U22" s="12"/>
    </row>
    <row r="23" spans="1:21" s="5" customFormat="1" ht="14.25" customHeight="1" outlineLevel="1">
      <c r="A23" s="5" t="str">
        <f t="shared" ref="A23" si="4">G23</f>
        <v>Cancelado</v>
      </c>
      <c r="B23" s="5" t="e">
        <f>IF(#REF!&lt;=-1,1,IF(#REF!&lt;=5,2,IF(#REF!&lt;=15,3,IF(H23&lt;=60,4))))</f>
        <v>#REF!</v>
      </c>
      <c r="C23" s="226" t="s">
        <v>360</v>
      </c>
      <c r="D23" s="10" t="s">
        <v>107</v>
      </c>
      <c r="E23" s="14">
        <v>15052</v>
      </c>
      <c r="F23" s="33">
        <v>46135</v>
      </c>
      <c r="G23" s="5" t="s">
        <v>12</v>
      </c>
      <c r="H23" s="5">
        <f>IF(OR(G23="Sin pagar",G23="Pagar"),NETWORKDAYS($I$11,F23,'Festivos Colombia'!$A$3:$A$22),0)</f>
        <v>0</v>
      </c>
      <c r="I23" s="36">
        <f t="shared" ref="I23" si="5">H23</f>
        <v>0</v>
      </c>
      <c r="J23" s="166"/>
      <c r="K23" s="154"/>
      <c r="L23" s="12"/>
      <c r="M23" s="12"/>
      <c r="N23" s="12"/>
      <c r="O23" s="12"/>
      <c r="T23" s="12"/>
      <c r="U23" s="12"/>
    </row>
    <row r="24" spans="1:21" s="5" customFormat="1" ht="14.25" customHeight="1" outlineLevel="1">
      <c r="A24" s="5" t="str">
        <f t="shared" ref="A24:A26" si="6">G24</f>
        <v>Cancelado</v>
      </c>
      <c r="B24" s="5" t="e">
        <f>IF(#REF!&lt;=-1,1,IF(#REF!&lt;=5,2,IF(#REF!&lt;=15,3,IF(H24&lt;=60,4))))</f>
        <v>#REF!</v>
      </c>
      <c r="C24" s="226" t="s">
        <v>362</v>
      </c>
      <c r="D24" s="10" t="s">
        <v>43</v>
      </c>
      <c r="E24" s="14">
        <v>1864800</v>
      </c>
      <c r="F24" s="33">
        <v>46139</v>
      </c>
      <c r="G24" s="5" t="s">
        <v>12</v>
      </c>
      <c r="H24" s="5">
        <f>IF(OR(G24="Sin pagar",G24="Pagar"),NETWORKDAYS($I$11,F24,'Festivos Colombia'!$A$3:$A$22),0)</f>
        <v>0</v>
      </c>
      <c r="I24" s="36">
        <f t="shared" ref="I24:I26" si="7">H24</f>
        <v>0</v>
      </c>
      <c r="J24" s="166"/>
      <c r="K24" s="154"/>
      <c r="L24" s="12"/>
      <c r="M24" s="12"/>
      <c r="N24" s="12"/>
      <c r="O24" s="12"/>
      <c r="T24" s="12"/>
      <c r="U24" s="12"/>
    </row>
    <row r="25" spans="1:21" s="5" customFormat="1" ht="14.25" customHeight="1" outlineLevel="1">
      <c r="A25" s="5" t="str">
        <f t="shared" si="6"/>
        <v>Cancelado</v>
      </c>
      <c r="B25" s="5" t="e">
        <f>IF(#REF!&lt;=-1,1,IF(#REF!&lt;=5,2,IF(#REF!&lt;=15,3,IF(H25&lt;=60,4))))</f>
        <v>#REF!</v>
      </c>
      <c r="C25" s="213" t="s">
        <v>368</v>
      </c>
      <c r="D25" s="10" t="s">
        <v>43</v>
      </c>
      <c r="E25" s="14">
        <v>14963656</v>
      </c>
      <c r="F25" s="33">
        <v>46141</v>
      </c>
      <c r="G25" s="5" t="s">
        <v>12</v>
      </c>
      <c r="H25" s="5">
        <f>IF(OR(G25="Sin pagar",G25="Pagar"),NETWORKDAYS($I$11,F25,'Festivos Colombia'!$A$3:$A$22),0)</f>
        <v>0</v>
      </c>
      <c r="I25" s="36">
        <f t="shared" si="7"/>
        <v>0</v>
      </c>
      <c r="J25" s="166"/>
      <c r="K25" s="154"/>
      <c r="L25" s="12"/>
      <c r="M25" s="12"/>
      <c r="N25" s="12"/>
      <c r="O25" s="12"/>
      <c r="T25" s="12"/>
      <c r="U25" s="12"/>
    </row>
    <row r="26" spans="1:21" s="5" customFormat="1" ht="14.25" customHeight="1" outlineLevel="1" thickBot="1">
      <c r="A26" s="5" t="str">
        <f t="shared" si="6"/>
        <v>Cancelado</v>
      </c>
      <c r="B26" s="5" t="e">
        <f>IF(#REF!&lt;=-1,1,IF(#REF!&lt;=5,2,IF(#REF!&lt;=15,3,IF(H26&lt;=60,4))))</f>
        <v>#REF!</v>
      </c>
      <c r="C26" s="226" t="s">
        <v>369</v>
      </c>
      <c r="D26" s="10" t="s">
        <v>107</v>
      </c>
      <c r="E26" s="14">
        <v>451190</v>
      </c>
      <c r="F26" s="33">
        <v>46141</v>
      </c>
      <c r="G26" s="5" t="s">
        <v>12</v>
      </c>
      <c r="H26" s="5">
        <f>IF(OR(G26="Sin pagar",G26="Pagar"),NETWORKDAYS($I$11,F26,'Festivos Colombia'!$A$3:$A$22),0)</f>
        <v>0</v>
      </c>
      <c r="I26" s="36">
        <f t="shared" si="7"/>
        <v>0</v>
      </c>
      <c r="J26" s="166"/>
      <c r="K26" s="154"/>
      <c r="L26" s="12"/>
      <c r="M26" s="12"/>
      <c r="N26" s="12"/>
      <c r="O26" s="12"/>
      <c r="T26" s="12"/>
      <c r="U26" s="12"/>
    </row>
    <row r="27" spans="1:21" s="12" customFormat="1" ht="16.5" thickBot="1">
      <c r="A27" s="5"/>
      <c r="B27" s="5"/>
      <c r="D27" s="134" t="s">
        <v>21</v>
      </c>
      <c r="E27" s="135">
        <f>SUBTOTAL(9,E28:E30)</f>
        <v>0</v>
      </c>
      <c r="H27" s="5">
        <f>IF(OR(G27="Sin pagar",G27="Pagar"),NETWORKDAYS($I$11,F27,'Festivos Colombia'!$A$3:$A$22),0)</f>
        <v>0</v>
      </c>
      <c r="J27" s="5"/>
      <c r="K27" s="5"/>
      <c r="L27" s="5"/>
      <c r="M27" s="5"/>
      <c r="N27" s="5"/>
      <c r="O27" s="5"/>
      <c r="S27" s="5"/>
      <c r="T27" s="5"/>
      <c r="U27" s="5"/>
    </row>
    <row r="28" spans="1:21" s="5" customFormat="1" ht="14.25" customHeight="1" outlineLevel="1">
      <c r="A28" s="5" t="str">
        <f t="shared" ref="A28:A30" si="8">G28</f>
        <v>Cancelado</v>
      </c>
      <c r="B28" s="5" t="e">
        <f>IF(#REF!&lt;=-1,1,IF(#REF!&lt;=5,2,IF(#REF!&lt;=15,3,IF(H28&lt;=60,4))))</f>
        <v>#REF!</v>
      </c>
      <c r="C28" s="37">
        <v>12310603651</v>
      </c>
      <c r="D28" s="10" t="s">
        <v>140</v>
      </c>
      <c r="E28" s="11">
        <f>1751400*0</f>
        <v>0</v>
      </c>
      <c r="F28" s="33">
        <v>46119</v>
      </c>
      <c r="G28" s="5" t="s">
        <v>12</v>
      </c>
      <c r="H28" s="5">
        <f>IF(OR(G28="Sin pagar",G28="Pagar"),NETWORKDAYS($I$11,F28,'Festivos Colombia'!$A$3:$A$22),0)</f>
        <v>0</v>
      </c>
      <c r="I28" s="36">
        <f t="shared" ref="I28:I30" si="9">H28</f>
        <v>0</v>
      </c>
      <c r="J28" s="166"/>
      <c r="K28" s="12"/>
      <c r="L28" s="12"/>
      <c r="M28" s="12"/>
      <c r="N28" s="12"/>
      <c r="O28" s="12"/>
      <c r="T28" s="12"/>
      <c r="U28" s="12"/>
    </row>
    <row r="29" spans="1:21" s="5" customFormat="1" ht="14.25" customHeight="1" outlineLevel="1">
      <c r="A29" s="5" t="str">
        <f t="shared" si="8"/>
        <v>Cancelado</v>
      </c>
      <c r="B29" s="5" t="e">
        <f>IF(#REF!&lt;=-1,1,IF(#REF!&lt;=5,2,IF(#REF!&lt;=15,3,IF(H29&lt;=60,4))))</f>
        <v>#REF!</v>
      </c>
      <c r="C29" s="37">
        <v>12310458522</v>
      </c>
      <c r="D29" s="10" t="s">
        <v>318</v>
      </c>
      <c r="E29" s="11">
        <f>1080034*0</f>
        <v>0</v>
      </c>
      <c r="F29" s="33">
        <v>46119</v>
      </c>
      <c r="G29" s="5" t="s">
        <v>12</v>
      </c>
      <c r="H29" s="5">
        <f>IF(OR(G29="Sin pagar",G29="Pagar"),NETWORKDAYS($I$11,F29,'Festivos Colombia'!$A$3:$A$22),0)</f>
        <v>0</v>
      </c>
      <c r="I29" s="36">
        <f t="shared" si="9"/>
        <v>0</v>
      </c>
      <c r="J29" s="166"/>
      <c r="K29" s="12"/>
      <c r="L29" s="12"/>
      <c r="M29" s="12"/>
      <c r="N29" s="12"/>
      <c r="O29" s="12"/>
      <c r="T29" s="12"/>
      <c r="U29" s="12"/>
    </row>
    <row r="30" spans="1:21" s="5" customFormat="1" ht="14.25" customHeight="1" outlineLevel="1" thickBot="1">
      <c r="A30" s="5" t="str">
        <f t="shared" si="8"/>
        <v>Cancelado</v>
      </c>
      <c r="B30" s="5" t="e">
        <f>IF(#REF!&lt;=-1,1,IF(#REF!&lt;=5,2,IF(#REF!&lt;=15,3,IF(H30&lt;=60,4))))</f>
        <v>#REF!</v>
      </c>
      <c r="C30" s="37">
        <v>12310459539</v>
      </c>
      <c r="D30" s="10" t="s">
        <v>319</v>
      </c>
      <c r="E30" s="11">
        <f>15703800*0</f>
        <v>0</v>
      </c>
      <c r="F30" s="33">
        <v>46119</v>
      </c>
      <c r="G30" s="5" t="s">
        <v>12</v>
      </c>
      <c r="H30" s="5">
        <f>IF(OR(G30="Sin pagar",G30="Pagar"),NETWORKDAYS($I$11,F30,'Festivos Colombia'!$A$3:$A$22),0)</f>
        <v>0</v>
      </c>
      <c r="I30" s="36">
        <f t="shared" si="9"/>
        <v>0</v>
      </c>
      <c r="J30" s="166"/>
      <c r="K30" s="12"/>
      <c r="L30" s="12"/>
      <c r="M30" s="12"/>
      <c r="N30" s="12"/>
      <c r="O30" s="12"/>
      <c r="T30" s="12"/>
      <c r="U30" s="12"/>
    </row>
    <row r="31" spans="1:21" s="5" customFormat="1" ht="16.5" thickBot="1">
      <c r="C31" s="38"/>
      <c r="D31" s="136" t="s">
        <v>23</v>
      </c>
      <c r="E31" s="135">
        <f>SUBTOTAL(9,E32:E83)</f>
        <v>100050032.59999999</v>
      </c>
      <c r="G31" s="13"/>
      <c r="I31" s="13"/>
      <c r="K31" s="13"/>
      <c r="L31" s="13"/>
    </row>
    <row r="32" spans="1:21" s="5" customFormat="1" outlineLevel="1">
      <c r="C32" s="38"/>
      <c r="D32" s="10" t="s">
        <v>219</v>
      </c>
      <c r="E32" s="158">
        <f>3861857*0</f>
        <v>0</v>
      </c>
      <c r="F32" s="33">
        <v>46113</v>
      </c>
      <c r="G32" s="5" t="s">
        <v>12</v>
      </c>
      <c r="H32" s="5">
        <f>IF(OR(G32="Sin pagar",G32="Pagar"),NETWORKDAYS($I$11,F32,'Festivos Colombia'!$A$3:$A$22),0)</f>
        <v>0</v>
      </c>
      <c r="I32" s="36">
        <f>H32</f>
        <v>0</v>
      </c>
      <c r="K32" s="13"/>
      <c r="L32" s="13"/>
    </row>
    <row r="33" spans="3:12" s="5" customFormat="1" outlineLevel="1">
      <c r="C33" s="38"/>
      <c r="D33" s="10" t="s">
        <v>370</v>
      </c>
      <c r="E33" s="158">
        <f>531900*0</f>
        <v>0</v>
      </c>
      <c r="F33" s="33">
        <v>46113</v>
      </c>
      <c r="G33" s="5" t="s">
        <v>12</v>
      </c>
      <c r="H33" s="5">
        <f>IF(OR(G33="Sin pagar",G33="Pagar"),NETWORKDAYS($I$11,F33,'Festivos Colombia'!$A$3:$A$22),0)</f>
        <v>0</v>
      </c>
      <c r="I33" s="36">
        <f>H33</f>
        <v>0</v>
      </c>
      <c r="K33" s="13"/>
      <c r="L33" s="13"/>
    </row>
    <row r="34" spans="3:12" s="5" customFormat="1" outlineLevel="1">
      <c r="C34" s="38"/>
      <c r="D34" s="10" t="s">
        <v>234</v>
      </c>
      <c r="E34" s="158">
        <f>51272*0</f>
        <v>0</v>
      </c>
      <c r="F34" s="33">
        <v>46113</v>
      </c>
      <c r="G34" s="5" t="s">
        <v>12</v>
      </c>
      <c r="H34" s="5">
        <f>IF(OR(G34="Sin pagar",G34="Pagar"),NETWORKDAYS($I$11,F34,'Festivos Colombia'!$A$3:$A$22),0)</f>
        <v>0</v>
      </c>
      <c r="I34" s="36">
        <f>H34</f>
        <v>0</v>
      </c>
      <c r="K34" s="13"/>
      <c r="L34" s="13"/>
    </row>
    <row r="35" spans="3:12" s="5" customFormat="1" outlineLevel="1">
      <c r="C35" s="38"/>
      <c r="D35" s="10" t="s">
        <v>118</v>
      </c>
      <c r="E35" s="158">
        <f>433968*0</f>
        <v>0</v>
      </c>
      <c r="F35" s="33">
        <v>46113</v>
      </c>
      <c r="G35" s="5" t="s">
        <v>12</v>
      </c>
      <c r="H35" s="5">
        <f>IF(OR(G35="Sin pagar",G35="Pagar"),NETWORKDAYS($I$11,F35,'Festivos Colombia'!$A$3:$A$22),0)</f>
        <v>0</v>
      </c>
      <c r="I35" s="36">
        <f>H35</f>
        <v>0</v>
      </c>
      <c r="K35" s="13"/>
      <c r="L35" s="13"/>
    </row>
    <row r="36" spans="3:12" s="5" customFormat="1" outlineLevel="1">
      <c r="C36" s="38"/>
      <c r="D36" s="10" t="s">
        <v>307</v>
      </c>
      <c r="E36" s="158">
        <f>4848643*0</f>
        <v>0</v>
      </c>
      <c r="F36" s="33">
        <v>46113</v>
      </c>
      <c r="G36" s="5" t="s">
        <v>12</v>
      </c>
      <c r="H36" s="5">
        <f>IF(OR(G36="Sin pagar",G36="Pagar"),NETWORKDAYS($I$11,F36,'Festivos Colombia'!$A$3:$A$22),0)</f>
        <v>0</v>
      </c>
      <c r="I36" s="36">
        <f>H36</f>
        <v>0</v>
      </c>
      <c r="K36" s="13"/>
      <c r="L36" s="13"/>
    </row>
    <row r="37" spans="3:12" s="5" customFormat="1" outlineLevel="1">
      <c r="C37" s="38"/>
      <c r="D37" s="10" t="s">
        <v>110</v>
      </c>
      <c r="E37" s="158">
        <f>104600*0</f>
        <v>0</v>
      </c>
      <c r="F37" s="33">
        <v>46113</v>
      </c>
      <c r="G37" s="5" t="s">
        <v>12</v>
      </c>
      <c r="H37" s="5">
        <f>IF(OR(G37="Sin pagar",G37="Pagar"),NETWORKDAYS($I$11,F37,'Festivos Colombia'!$A$3:$A$22),0)</f>
        <v>0</v>
      </c>
      <c r="I37" s="36">
        <f t="shared" ref="I37:I42" si="10">H37</f>
        <v>0</v>
      </c>
      <c r="K37" s="13"/>
      <c r="L37" s="13"/>
    </row>
    <row r="38" spans="3:12" s="5" customFormat="1" outlineLevel="1">
      <c r="C38" s="38"/>
      <c r="D38" s="10" t="s">
        <v>267</v>
      </c>
      <c r="E38" s="158">
        <f>4669650*0</f>
        <v>0</v>
      </c>
      <c r="F38" s="33">
        <v>46113</v>
      </c>
      <c r="G38" s="5" t="s">
        <v>12</v>
      </c>
      <c r="H38" s="5">
        <f>IF(OR(G38="Sin pagar",G38="Pagar"),NETWORKDAYS($I$11,F38,'Festivos Colombia'!$A$3:$A$22),0)</f>
        <v>0</v>
      </c>
      <c r="I38" s="36">
        <f t="shared" si="10"/>
        <v>0</v>
      </c>
      <c r="K38" s="13"/>
      <c r="L38" s="13"/>
    </row>
    <row r="39" spans="3:12" s="5" customFormat="1" outlineLevel="1">
      <c r="C39" s="38"/>
      <c r="D39" s="10" t="s">
        <v>291</v>
      </c>
      <c r="E39" s="158">
        <f>906118*0</f>
        <v>0</v>
      </c>
      <c r="F39" s="33">
        <v>46113</v>
      </c>
      <c r="G39" s="5" t="s">
        <v>12</v>
      </c>
      <c r="H39" s="5">
        <f>IF(OR(G39="Sin pagar",G39="Pagar"),NETWORKDAYS($I$11,F39,'Festivos Colombia'!$A$3:$A$22),0)</f>
        <v>0</v>
      </c>
      <c r="I39" s="36">
        <f t="shared" si="10"/>
        <v>0</v>
      </c>
      <c r="K39" s="13"/>
      <c r="L39" s="13"/>
    </row>
    <row r="40" spans="3:12" s="5" customFormat="1" outlineLevel="1">
      <c r="C40" s="38"/>
      <c r="D40" s="10" t="s">
        <v>244</v>
      </c>
      <c r="E40" s="158">
        <f>4672644*0</f>
        <v>0</v>
      </c>
      <c r="F40" s="33">
        <v>46113</v>
      </c>
      <c r="G40" s="5" t="s">
        <v>12</v>
      </c>
      <c r="H40" s="5">
        <f>IF(OR(G40="Sin pagar",G40="Pagar"),NETWORKDAYS($I$11,F40,'Festivos Colombia'!$A$3:$A$22),0)</f>
        <v>0</v>
      </c>
      <c r="I40" s="36">
        <f t="shared" si="10"/>
        <v>0</v>
      </c>
      <c r="K40" s="13"/>
      <c r="L40" s="13"/>
    </row>
    <row r="41" spans="3:12" s="5" customFormat="1" outlineLevel="1">
      <c r="C41" s="38"/>
      <c r="D41" s="10" t="s">
        <v>336</v>
      </c>
      <c r="E41" s="158">
        <f>5157482*0</f>
        <v>0</v>
      </c>
      <c r="F41" s="33">
        <v>46113</v>
      </c>
      <c r="G41" s="5" t="s">
        <v>12</v>
      </c>
      <c r="H41" s="5">
        <f>IF(OR(G41="Sin pagar",G41="Pagar"),NETWORKDAYS($I$11,F41,'Festivos Colombia'!$A$3:$A$22),0)</f>
        <v>0</v>
      </c>
      <c r="I41" s="36">
        <f t="shared" si="10"/>
        <v>0</v>
      </c>
      <c r="K41" s="13"/>
      <c r="L41" s="13"/>
    </row>
    <row r="42" spans="3:12" s="5" customFormat="1" outlineLevel="1">
      <c r="C42" s="38"/>
      <c r="D42" s="10" t="s">
        <v>337</v>
      </c>
      <c r="E42" s="158">
        <f>4756267*0</f>
        <v>0</v>
      </c>
      <c r="F42" s="33">
        <v>46113</v>
      </c>
      <c r="G42" s="5" t="s">
        <v>12</v>
      </c>
      <c r="H42" s="5">
        <f>IF(OR(G42="Sin pagar",G42="Pagar"),NETWORKDAYS($I$11,F42,'Festivos Colombia'!$A$3:$A$22),0)</f>
        <v>0</v>
      </c>
      <c r="I42" s="36">
        <f t="shared" si="10"/>
        <v>0</v>
      </c>
      <c r="K42" s="13"/>
      <c r="L42" s="13"/>
    </row>
    <row r="43" spans="3:12" s="5" customFormat="1" outlineLevel="1">
      <c r="C43" s="38"/>
      <c r="D43" s="10" t="s">
        <v>219</v>
      </c>
      <c r="E43" s="158">
        <v>278017</v>
      </c>
      <c r="F43" s="225">
        <v>46122</v>
      </c>
      <c r="G43" s="5" t="s">
        <v>12</v>
      </c>
      <c r="H43" s="5">
        <f>IF(OR(G43="Sin pagar",G43="Pagar"),NETWORKDAYS($I$11,F43,'Festivos Colombia'!$A$3:$A$22),0)</f>
        <v>0</v>
      </c>
      <c r="I43" s="36">
        <f>H43</f>
        <v>0</v>
      </c>
      <c r="K43" s="13"/>
      <c r="L43" s="13"/>
    </row>
    <row r="44" spans="3:12" s="5" customFormat="1" outlineLevel="1">
      <c r="C44" s="38"/>
      <c r="D44" s="10" t="s">
        <v>307</v>
      </c>
      <c r="E44" s="158">
        <v>8438461</v>
      </c>
      <c r="F44" s="225">
        <v>46122</v>
      </c>
      <c r="G44" s="5" t="s">
        <v>12</v>
      </c>
      <c r="H44" s="5">
        <f>IF(OR(G44="Sin pagar",G44="Pagar"),NETWORKDAYS($I$11,F44,'Festivos Colombia'!$A$3:$A$22),0)</f>
        <v>0</v>
      </c>
      <c r="I44" s="36">
        <f>H44</f>
        <v>0</v>
      </c>
      <c r="K44" s="13"/>
      <c r="L44" s="13"/>
    </row>
    <row r="45" spans="3:12" s="5" customFormat="1" outlineLevel="1">
      <c r="C45" s="38"/>
      <c r="D45" s="10" t="s">
        <v>287</v>
      </c>
      <c r="E45" s="158">
        <v>3448505</v>
      </c>
      <c r="F45" s="225">
        <v>46122</v>
      </c>
      <c r="G45" s="5" t="s">
        <v>12</v>
      </c>
      <c r="H45" s="5">
        <f>IF(OR(G45="Sin pagar",G45="Pagar"),NETWORKDAYS($I$11,F45,'Festivos Colombia'!$A$3:$A$22),0)</f>
        <v>0</v>
      </c>
      <c r="I45" s="36">
        <f>H45</f>
        <v>0</v>
      </c>
      <c r="K45" s="13"/>
      <c r="L45" s="13"/>
    </row>
    <row r="46" spans="3:12" s="5" customFormat="1" outlineLevel="1">
      <c r="C46" s="38"/>
      <c r="D46" s="10" t="s">
        <v>111</v>
      </c>
      <c r="E46" s="158">
        <v>11353279.51</v>
      </c>
      <c r="F46" s="225">
        <v>46122</v>
      </c>
      <c r="G46" s="5" t="s">
        <v>12</v>
      </c>
      <c r="H46" s="5">
        <f>IF(OR(G46="Sin pagar",G46="Pagar"),NETWORKDAYS($I$11,F46,'Festivos Colombia'!$A$3:$A$22),0)</f>
        <v>0</v>
      </c>
      <c r="I46" s="36">
        <f>H46</f>
        <v>0</v>
      </c>
      <c r="K46" s="13"/>
      <c r="L46" s="13"/>
    </row>
    <row r="47" spans="3:12" s="5" customFormat="1" outlineLevel="1">
      <c r="C47" s="38"/>
      <c r="D47" s="10" t="s">
        <v>124</v>
      </c>
      <c r="E47" s="158">
        <v>112480</v>
      </c>
      <c r="F47" s="225">
        <v>46122</v>
      </c>
      <c r="G47" s="5" t="s">
        <v>12</v>
      </c>
      <c r="H47" s="5">
        <f>IF(OR(G47="Sin pagar",G47="Pagar"),NETWORKDAYS($I$11,F47,'Festivos Colombia'!$A$3:$A$22),0)</f>
        <v>0</v>
      </c>
      <c r="I47" s="36">
        <f>H47</f>
        <v>0</v>
      </c>
      <c r="K47" s="13"/>
      <c r="L47" s="13"/>
    </row>
    <row r="48" spans="3:12" s="5" customFormat="1" outlineLevel="1">
      <c r="C48" s="38"/>
      <c r="D48" s="10" t="s">
        <v>337</v>
      </c>
      <c r="E48" s="158">
        <v>443901</v>
      </c>
      <c r="F48" s="225">
        <v>46122</v>
      </c>
      <c r="G48" s="5" t="s">
        <v>12</v>
      </c>
      <c r="H48" s="5">
        <f>IF(OR(G48="Sin pagar",G48="Pagar"),NETWORKDAYS($I$11,F48,'Festivos Colombia'!$A$3:$A$22),0)</f>
        <v>0</v>
      </c>
      <c r="I48" s="36">
        <f t="shared" ref="I48:I59" si="11">H48</f>
        <v>0</v>
      </c>
      <c r="K48" s="13"/>
      <c r="L48" s="13"/>
    </row>
    <row r="49" spans="3:12" s="5" customFormat="1" outlineLevel="1">
      <c r="C49" s="38"/>
      <c r="D49" s="10" t="s">
        <v>315</v>
      </c>
      <c r="E49" s="158">
        <v>1061505</v>
      </c>
      <c r="F49" s="225">
        <v>46122</v>
      </c>
      <c r="G49" s="5" t="s">
        <v>12</v>
      </c>
      <c r="H49" s="5">
        <f>IF(OR(G49="Sin pagar",G49="Pagar"),NETWORKDAYS($I$11,F49,'Festivos Colombia'!$A$3:$A$22),0)</f>
        <v>0</v>
      </c>
      <c r="I49" s="36">
        <f t="shared" si="11"/>
        <v>0</v>
      </c>
      <c r="K49" s="13"/>
      <c r="L49" s="13"/>
    </row>
    <row r="50" spans="3:12" s="5" customFormat="1" outlineLevel="1">
      <c r="C50" s="38"/>
      <c r="D50" s="10" t="s">
        <v>350</v>
      </c>
      <c r="E50" s="158">
        <v>9860073</v>
      </c>
      <c r="F50" s="225">
        <v>46122</v>
      </c>
      <c r="G50" s="5" t="s">
        <v>12</v>
      </c>
      <c r="H50" s="5">
        <f>IF(OR(G50="Sin pagar",G50="Pagar"),NETWORKDAYS($I$11,F50,'Festivos Colombia'!$A$3:$A$22),0)</f>
        <v>0</v>
      </c>
      <c r="I50" s="36">
        <f t="shared" si="11"/>
        <v>0</v>
      </c>
      <c r="K50" s="13"/>
      <c r="L50" s="13"/>
    </row>
    <row r="51" spans="3:12" s="5" customFormat="1" outlineLevel="1">
      <c r="C51" s="38"/>
      <c r="D51" s="10" t="s">
        <v>298</v>
      </c>
      <c r="E51" s="158">
        <v>1213734.78</v>
      </c>
      <c r="F51" s="225">
        <v>46122</v>
      </c>
      <c r="G51" s="5" t="s">
        <v>12</v>
      </c>
      <c r="H51" s="5">
        <f>IF(OR(G51="Sin pagar",G51="Pagar"),NETWORKDAYS($I$11,F51,'Festivos Colombia'!$A$3:$A$22),0)</f>
        <v>0</v>
      </c>
      <c r="I51" s="36">
        <f t="shared" si="11"/>
        <v>0</v>
      </c>
      <c r="K51" s="13"/>
      <c r="L51" s="13"/>
    </row>
    <row r="52" spans="3:12" s="5" customFormat="1" outlineLevel="1">
      <c r="C52" s="38"/>
      <c r="D52" s="10" t="s">
        <v>292</v>
      </c>
      <c r="E52" s="158">
        <v>1934628</v>
      </c>
      <c r="F52" s="225">
        <v>46122</v>
      </c>
      <c r="G52" s="5" t="s">
        <v>12</v>
      </c>
      <c r="H52" s="5">
        <f>IF(OR(G52="Sin pagar",G52="Pagar"),NETWORKDAYS($I$11,F52,'Festivos Colombia'!$A$3:$A$22),0)</f>
        <v>0</v>
      </c>
      <c r="I52" s="36">
        <f t="shared" si="11"/>
        <v>0</v>
      </c>
      <c r="K52" s="13"/>
      <c r="L52" s="13"/>
    </row>
    <row r="53" spans="3:12" s="5" customFormat="1" outlineLevel="1">
      <c r="C53" s="38"/>
      <c r="D53" s="10" t="s">
        <v>349</v>
      </c>
      <c r="E53" s="158">
        <v>1934628</v>
      </c>
      <c r="F53" s="225">
        <v>46122</v>
      </c>
      <c r="G53" s="5" t="s">
        <v>12</v>
      </c>
      <c r="H53" s="5">
        <f>IF(OR(G53="Sin pagar",G53="Pagar"),NETWORKDAYS($I$11,F53,'Festivos Colombia'!$A$3:$A$22),0)</f>
        <v>0</v>
      </c>
      <c r="I53" s="36">
        <f t="shared" si="11"/>
        <v>0</v>
      </c>
      <c r="K53" s="13"/>
      <c r="L53" s="13"/>
    </row>
    <row r="54" spans="3:12" s="5" customFormat="1" outlineLevel="1">
      <c r="C54" s="38"/>
      <c r="D54" s="10" t="s">
        <v>307</v>
      </c>
      <c r="E54" s="158">
        <v>33100</v>
      </c>
      <c r="F54" s="33">
        <v>46128</v>
      </c>
      <c r="G54" s="5" t="s">
        <v>12</v>
      </c>
      <c r="H54" s="5">
        <f>IF(OR(G54="Sin pagar",G54="Pagar"),NETWORKDAYS($I$11,F54,'Festivos Colombia'!$A$3:$A$22),0)</f>
        <v>0</v>
      </c>
      <c r="I54" s="36">
        <f t="shared" si="11"/>
        <v>0</v>
      </c>
      <c r="K54" s="13"/>
      <c r="L54" s="13"/>
    </row>
    <row r="55" spans="3:12" s="5" customFormat="1" outlineLevel="1">
      <c r="C55" s="38"/>
      <c r="D55" s="10" t="s">
        <v>113</v>
      </c>
      <c r="E55" s="158">
        <v>2062417</v>
      </c>
      <c r="F55" s="33">
        <v>46128</v>
      </c>
      <c r="G55" s="5" t="s">
        <v>12</v>
      </c>
      <c r="H55" s="5">
        <f>IF(OR(G55="Sin pagar",G55="Pagar"),NETWORKDAYS($I$11,F55,'Festivos Colombia'!$A$3:$A$22),0)</f>
        <v>0</v>
      </c>
      <c r="I55" s="36">
        <f t="shared" si="11"/>
        <v>0</v>
      </c>
      <c r="K55" s="13"/>
      <c r="L55" s="13"/>
    </row>
    <row r="56" spans="3:12" s="5" customFormat="1" outlineLevel="1">
      <c r="C56" s="38"/>
      <c r="D56" s="10" t="s">
        <v>110</v>
      </c>
      <c r="E56" s="158">
        <v>70300</v>
      </c>
      <c r="F56" s="33">
        <v>46128</v>
      </c>
      <c r="G56" s="5" t="s">
        <v>12</v>
      </c>
      <c r="H56" s="5">
        <f>IF(OR(G56="Sin pagar",G56="Pagar"),NETWORKDAYS($I$11,F56,'Festivos Colombia'!$A$3:$A$22),0)</f>
        <v>0</v>
      </c>
      <c r="I56" s="36">
        <f t="shared" si="11"/>
        <v>0</v>
      </c>
      <c r="K56" s="13"/>
      <c r="L56" s="13"/>
    </row>
    <row r="57" spans="3:12" s="5" customFormat="1" outlineLevel="1">
      <c r="C57" s="38"/>
      <c r="D57" s="10" t="s">
        <v>241</v>
      </c>
      <c r="E57" s="158">
        <v>10155931</v>
      </c>
      <c r="F57" s="33">
        <v>46128</v>
      </c>
      <c r="G57" s="5" t="s">
        <v>12</v>
      </c>
      <c r="H57" s="5">
        <f>IF(OR(G57="Sin pagar",G57="Pagar"),NETWORKDAYS($I$11,F57,'Festivos Colombia'!$A$3:$A$22),0)</f>
        <v>0</v>
      </c>
      <c r="I57" s="36">
        <f t="shared" si="11"/>
        <v>0</v>
      </c>
      <c r="K57" s="13"/>
      <c r="L57" s="13"/>
    </row>
    <row r="58" spans="3:12" s="5" customFormat="1" outlineLevel="1">
      <c r="C58" s="38"/>
      <c r="D58" s="10" t="s">
        <v>292</v>
      </c>
      <c r="E58" s="158">
        <v>1500000</v>
      </c>
      <c r="F58" s="33">
        <v>46128</v>
      </c>
      <c r="G58" s="5" t="s">
        <v>12</v>
      </c>
      <c r="H58" s="5">
        <f>IF(OR(G58="Sin pagar",G58="Pagar"),NETWORKDAYS($I$11,F58,'Festivos Colombia'!$A$3:$A$22),0)</f>
        <v>0</v>
      </c>
      <c r="I58" s="36">
        <f t="shared" si="11"/>
        <v>0</v>
      </c>
      <c r="K58" s="13"/>
      <c r="L58" s="13"/>
    </row>
    <row r="59" spans="3:12" s="5" customFormat="1" outlineLevel="1">
      <c r="C59" s="38"/>
      <c r="D59" s="10" t="s">
        <v>349</v>
      </c>
      <c r="E59" s="158">
        <v>3750803</v>
      </c>
      <c r="F59" s="33">
        <v>46128</v>
      </c>
      <c r="G59" s="5" t="s">
        <v>12</v>
      </c>
      <c r="H59" s="5">
        <f>IF(OR(G59="Sin pagar",G59="Pagar"),NETWORKDAYS($I$11,F59,'Festivos Colombia'!$A$3:$A$22),0)</f>
        <v>0</v>
      </c>
      <c r="I59" s="36">
        <f t="shared" si="11"/>
        <v>0</v>
      </c>
      <c r="K59" s="13"/>
      <c r="L59" s="13"/>
    </row>
    <row r="60" spans="3:12" s="5" customFormat="1" outlineLevel="1">
      <c r="C60" s="38"/>
      <c r="D60" s="10" t="s">
        <v>219</v>
      </c>
      <c r="E60" s="158">
        <v>368657</v>
      </c>
      <c r="F60" s="33">
        <v>46136</v>
      </c>
      <c r="G60" s="5" t="s">
        <v>12</v>
      </c>
      <c r="H60" s="5">
        <f>IF(OR(G60="Sin pagar",G60="Pagar"),NETWORKDAYS($I$11,F60,'Festivos Colombia'!$A$3:$A$22),0)</f>
        <v>0</v>
      </c>
      <c r="I60" s="36">
        <f t="shared" ref="I60:I75" si="12">H60</f>
        <v>0</v>
      </c>
      <c r="K60" s="13"/>
      <c r="L60" s="13"/>
    </row>
    <row r="61" spans="3:12" s="5" customFormat="1" outlineLevel="1">
      <c r="C61" s="38"/>
      <c r="D61" s="10" t="s">
        <v>234</v>
      </c>
      <c r="E61" s="158">
        <v>45753</v>
      </c>
      <c r="F61" s="33">
        <v>46136</v>
      </c>
      <c r="G61" s="5" t="s">
        <v>12</v>
      </c>
      <c r="H61" s="5">
        <f>IF(OR(G61="Sin pagar",G61="Pagar"),NETWORKDAYS($I$11,F61,'Festivos Colombia'!$A$3:$A$22),0)</f>
        <v>0</v>
      </c>
      <c r="I61" s="36">
        <f t="shared" si="12"/>
        <v>0</v>
      </c>
      <c r="K61" s="13"/>
      <c r="L61" s="13"/>
    </row>
    <row r="62" spans="3:12" s="5" customFormat="1" outlineLevel="1">
      <c r="C62" s="38"/>
      <c r="D62" s="10" t="s">
        <v>287</v>
      </c>
      <c r="E62" s="158">
        <v>4241600</v>
      </c>
      <c r="F62" s="33">
        <v>46136</v>
      </c>
      <c r="G62" s="5" t="s">
        <v>12</v>
      </c>
      <c r="H62" s="5">
        <f>IF(OR(G62="Sin pagar",G62="Pagar"),NETWORKDAYS($I$11,F62,'Festivos Colombia'!$A$3:$A$22),0)</f>
        <v>0</v>
      </c>
      <c r="I62" s="36">
        <f t="shared" si="12"/>
        <v>0</v>
      </c>
      <c r="K62" s="13"/>
      <c r="L62" s="13"/>
    </row>
    <row r="63" spans="3:12" s="5" customFormat="1" outlineLevel="1">
      <c r="C63" s="38"/>
      <c r="D63" s="10" t="s">
        <v>110</v>
      </c>
      <c r="E63" s="158">
        <v>2517086.77</v>
      </c>
      <c r="F63" s="33">
        <v>46136</v>
      </c>
      <c r="G63" s="5" t="s">
        <v>12</v>
      </c>
      <c r="H63" s="5">
        <f>IF(OR(G63="Sin pagar",G63="Pagar"),NETWORKDAYS($I$11,F63,'Festivos Colombia'!$A$3:$A$22),0)</f>
        <v>0</v>
      </c>
      <c r="I63" s="36">
        <f t="shared" si="12"/>
        <v>0</v>
      </c>
      <c r="K63" s="13"/>
      <c r="L63" s="13"/>
    </row>
    <row r="64" spans="3:12" s="5" customFormat="1" outlineLevel="1">
      <c r="C64" s="38"/>
      <c r="D64" s="10" t="s">
        <v>124</v>
      </c>
      <c r="E64" s="158">
        <v>69150</v>
      </c>
      <c r="F64" s="33">
        <v>46136</v>
      </c>
      <c r="G64" s="5" t="s">
        <v>12</v>
      </c>
      <c r="H64" s="5">
        <f>IF(OR(G64="Sin pagar",G64="Pagar"),NETWORKDAYS($I$11,F64,'Festivos Colombia'!$A$3:$A$22),0)</f>
        <v>0</v>
      </c>
      <c r="I64" s="36">
        <f t="shared" si="12"/>
        <v>0</v>
      </c>
      <c r="K64" s="13"/>
      <c r="L64" s="13"/>
    </row>
    <row r="65" spans="3:12" s="5" customFormat="1" outlineLevel="1">
      <c r="C65" s="38"/>
      <c r="D65" s="10" t="s">
        <v>244</v>
      </c>
      <c r="E65" s="158">
        <v>3578918</v>
      </c>
      <c r="F65" s="33">
        <v>46136</v>
      </c>
      <c r="G65" s="5" t="s">
        <v>12</v>
      </c>
      <c r="H65" s="5">
        <f>IF(OR(G65="Sin pagar",G65="Pagar"),NETWORKDAYS($I$11,F65,'Festivos Colombia'!$A$3:$A$22),0)</f>
        <v>0</v>
      </c>
      <c r="I65" s="36">
        <f t="shared" si="12"/>
        <v>0</v>
      </c>
      <c r="K65" s="13"/>
      <c r="L65" s="13"/>
    </row>
    <row r="66" spans="3:12" s="5" customFormat="1" outlineLevel="1">
      <c r="C66" s="38"/>
      <c r="D66" s="10" t="s">
        <v>365</v>
      </c>
      <c r="E66" s="158">
        <v>2022716</v>
      </c>
      <c r="F66" s="33">
        <v>46141</v>
      </c>
      <c r="G66" s="5" t="s">
        <v>12</v>
      </c>
      <c r="H66" s="5">
        <f>IF(OR(G66="Sin pagar",G66="Pagar"),NETWORKDAYS($I$11,F66,'Festivos Colombia'!$A$3:$A$22),0)</f>
        <v>0</v>
      </c>
      <c r="I66" s="36">
        <f t="shared" si="12"/>
        <v>0</v>
      </c>
      <c r="K66" s="13"/>
      <c r="L66" s="13"/>
    </row>
    <row r="67" spans="3:12" s="5" customFormat="1" outlineLevel="1">
      <c r="C67" s="38"/>
      <c r="D67" s="10" t="s">
        <v>116</v>
      </c>
      <c r="E67" s="158">
        <v>1200613</v>
      </c>
      <c r="F67" s="33">
        <v>46141</v>
      </c>
      <c r="G67" s="5" t="s">
        <v>12</v>
      </c>
      <c r="H67" s="5">
        <f>IF(OR(G67="Sin pagar",G67="Pagar"),NETWORKDAYS($I$11,F67,'Festivos Colombia'!$A$3:$A$22),0)</f>
        <v>0</v>
      </c>
      <c r="I67" s="36">
        <f t="shared" si="12"/>
        <v>0</v>
      </c>
      <c r="K67" s="13"/>
      <c r="L67" s="13"/>
    </row>
    <row r="68" spans="3:12" s="5" customFormat="1" outlineLevel="1">
      <c r="C68" s="38"/>
      <c r="D68" s="10" t="s">
        <v>239</v>
      </c>
      <c r="E68" s="158">
        <v>800000</v>
      </c>
      <c r="F68" s="33">
        <v>46141</v>
      </c>
      <c r="G68" s="5" t="s">
        <v>12</v>
      </c>
      <c r="H68" s="5">
        <f>IF(OR(G68="Sin pagar",G68="Pagar"),NETWORKDAYS($I$11,F68,'Festivos Colombia'!$A$3:$A$22),0)</f>
        <v>0</v>
      </c>
      <c r="I68" s="36">
        <f t="shared" si="12"/>
        <v>0</v>
      </c>
      <c r="K68" s="13"/>
      <c r="L68" s="13"/>
    </row>
    <row r="69" spans="3:12" s="5" customFormat="1" outlineLevel="1">
      <c r="C69" s="38"/>
      <c r="D69" s="10" t="s">
        <v>289</v>
      </c>
      <c r="E69" s="158">
        <v>937296</v>
      </c>
      <c r="F69" s="33">
        <v>46141</v>
      </c>
      <c r="G69" s="5" t="s">
        <v>12</v>
      </c>
      <c r="H69" s="5">
        <f>IF(OR(G69="Sin pagar",G69="Pagar"),NETWORKDAYS($I$11,F69,'Festivos Colombia'!$A$3:$A$22),0)</f>
        <v>0</v>
      </c>
      <c r="I69" s="36">
        <f t="shared" si="12"/>
        <v>0</v>
      </c>
      <c r="K69" s="13"/>
      <c r="L69" s="13"/>
    </row>
    <row r="70" spans="3:12" s="5" customFormat="1" outlineLevel="1">
      <c r="C70" s="38"/>
      <c r="D70" s="10" t="s">
        <v>282</v>
      </c>
      <c r="E70" s="158">
        <v>191329.06</v>
      </c>
      <c r="F70" s="33">
        <v>46141</v>
      </c>
      <c r="G70" s="5" t="s">
        <v>12</v>
      </c>
      <c r="H70" s="5">
        <f>IF(OR(G70="Sin pagar",G70="Pagar"),NETWORKDAYS($I$11,F70,'Festivos Colombia'!$A$3:$A$22),0)</f>
        <v>0</v>
      </c>
      <c r="I70" s="36">
        <f t="shared" si="12"/>
        <v>0</v>
      </c>
      <c r="K70" s="13"/>
      <c r="L70" s="13"/>
    </row>
    <row r="71" spans="3:12" s="5" customFormat="1" outlineLevel="1">
      <c r="C71" s="38"/>
      <c r="D71" s="10" t="s">
        <v>240</v>
      </c>
      <c r="E71" s="158">
        <v>4649259.58</v>
      </c>
      <c r="F71" s="33">
        <v>46141</v>
      </c>
      <c r="G71" s="5" t="s">
        <v>12</v>
      </c>
      <c r="H71" s="5">
        <f>IF(OR(G71="Sin pagar",G71="Pagar"),NETWORKDAYS($I$11,F71,'Festivos Colombia'!$A$3:$A$22),0)</f>
        <v>0</v>
      </c>
      <c r="I71" s="36">
        <f t="shared" si="12"/>
        <v>0</v>
      </c>
      <c r="K71" s="13"/>
      <c r="L71" s="13"/>
    </row>
    <row r="72" spans="3:12" s="5" customFormat="1" outlineLevel="1">
      <c r="C72" s="38"/>
      <c r="D72" s="10" t="s">
        <v>366</v>
      </c>
      <c r="E72" s="158">
        <v>14479613</v>
      </c>
      <c r="F72" s="33">
        <v>46141</v>
      </c>
      <c r="G72" s="5" t="s">
        <v>12</v>
      </c>
      <c r="H72" s="5">
        <f>IF(OR(G72="Sin pagar",G72="Pagar"),NETWORKDAYS($I$11,F72,'Festivos Colombia'!$A$3:$A$22),0)</f>
        <v>0</v>
      </c>
      <c r="I72" s="36">
        <f t="shared" si="12"/>
        <v>0</v>
      </c>
      <c r="K72" s="13"/>
      <c r="L72" s="13"/>
    </row>
    <row r="73" spans="3:12" s="5" customFormat="1" outlineLevel="1">
      <c r="C73" s="38"/>
      <c r="D73" s="10" t="s">
        <v>150</v>
      </c>
      <c r="E73" s="158">
        <v>520609</v>
      </c>
      <c r="F73" s="33">
        <v>46141</v>
      </c>
      <c r="G73" s="5" t="s">
        <v>12</v>
      </c>
      <c r="H73" s="5">
        <f>IF(OR(G73="Sin pagar",G73="Pagar"),NETWORKDAYS($I$11,F73,'Festivos Colombia'!$A$3:$A$22),0)</f>
        <v>0</v>
      </c>
      <c r="I73" s="36">
        <f t="shared" si="12"/>
        <v>0</v>
      </c>
      <c r="K73" s="13"/>
      <c r="L73" s="13"/>
    </row>
    <row r="74" spans="3:12" s="5" customFormat="1" outlineLevel="1">
      <c r="C74" s="38"/>
      <c r="D74" s="10" t="s">
        <v>367</v>
      </c>
      <c r="E74" s="158">
        <v>42587.98</v>
      </c>
      <c r="F74" s="33">
        <v>46141</v>
      </c>
      <c r="G74" s="5" t="s">
        <v>12</v>
      </c>
      <c r="H74" s="5">
        <f>IF(OR(G74="Sin pagar",G74="Pagar"),NETWORKDAYS($I$11,F74,'Festivos Colombia'!$A$3:$A$22),0)</f>
        <v>0</v>
      </c>
      <c r="I74" s="36">
        <f t="shared" si="12"/>
        <v>0</v>
      </c>
      <c r="K74" s="13"/>
      <c r="L74" s="13"/>
    </row>
    <row r="75" spans="3:12" s="5" customFormat="1" outlineLevel="1">
      <c r="C75" s="38"/>
      <c r="D75" s="10" t="s">
        <v>349</v>
      </c>
      <c r="E75" s="158">
        <v>2257066</v>
      </c>
      <c r="F75" s="33">
        <v>46142</v>
      </c>
      <c r="G75" s="5" t="s">
        <v>12</v>
      </c>
      <c r="H75" s="5">
        <f>IF(OR(G75="Sin pagar",G75="Pagar"),NETWORKDAYS($I$11,F75,'Festivos Colombia'!$A$3:$A$22),0)</f>
        <v>0</v>
      </c>
      <c r="I75" s="36">
        <f t="shared" si="12"/>
        <v>0</v>
      </c>
      <c r="K75" s="13"/>
      <c r="L75" s="13"/>
    </row>
    <row r="76" spans="3:12" s="5" customFormat="1" outlineLevel="1">
      <c r="C76" s="38"/>
      <c r="D76" s="10" t="s">
        <v>370</v>
      </c>
      <c r="E76" s="158">
        <v>370716.6</v>
      </c>
      <c r="F76" s="33">
        <v>46142</v>
      </c>
      <c r="G76" s="5" t="s">
        <v>12</v>
      </c>
      <c r="H76" s="5">
        <f>IF(OR(G76="Sin pagar",G76="Pagar"),NETWORKDAYS($I$11,F76,'Festivos Colombia'!$A$3:$A$22),0)</f>
        <v>0</v>
      </c>
      <c r="I76" s="36">
        <f t="shared" ref="I76:I83" si="13">H76</f>
        <v>0</v>
      </c>
      <c r="K76" s="13"/>
      <c r="L76" s="13"/>
    </row>
    <row r="77" spans="3:12" s="5" customFormat="1" outlineLevel="1">
      <c r="C77" s="38"/>
      <c r="D77" s="10" t="s">
        <v>307</v>
      </c>
      <c r="E77" s="158">
        <v>2216709</v>
      </c>
      <c r="F77" s="33">
        <v>46142</v>
      </c>
      <c r="G77" s="5" t="s">
        <v>12</v>
      </c>
      <c r="H77" s="5">
        <f>IF(OR(G77="Sin pagar",G77="Pagar"),NETWORKDAYS($I$11,F77,'Festivos Colombia'!$A$3:$A$22),0)</f>
        <v>0</v>
      </c>
      <c r="I77" s="36">
        <f t="shared" si="13"/>
        <v>0</v>
      </c>
      <c r="K77" s="13"/>
      <c r="L77" s="13"/>
    </row>
    <row r="78" spans="3:12" s="5" customFormat="1" outlineLevel="1">
      <c r="C78" s="38"/>
      <c r="D78" s="10" t="s">
        <v>113</v>
      </c>
      <c r="E78" s="158">
        <v>614574.32000000007</v>
      </c>
      <c r="F78" s="33">
        <v>46142</v>
      </c>
      <c r="G78" s="5" t="s">
        <v>12</v>
      </c>
      <c r="H78" s="5">
        <f>IF(OR(G78="Sin pagar",G78="Pagar"),NETWORKDAYS($I$11,F78,'Festivos Colombia'!$A$3:$A$22),0)</f>
        <v>0</v>
      </c>
      <c r="I78" s="36">
        <f t="shared" si="13"/>
        <v>0</v>
      </c>
      <c r="K78" s="13"/>
      <c r="L78" s="13"/>
    </row>
    <row r="79" spans="3:12" s="5" customFormat="1" outlineLevel="1">
      <c r="C79" s="38"/>
      <c r="D79" s="10" t="s">
        <v>106</v>
      </c>
      <c r="E79" s="158">
        <v>198096</v>
      </c>
      <c r="F79" s="33">
        <v>46142</v>
      </c>
      <c r="G79" s="5" t="s">
        <v>12</v>
      </c>
      <c r="H79" s="5">
        <f>IF(OR(G79="Sin pagar",G79="Pagar"),NETWORKDAYS($I$11,F79,'Festivos Colombia'!$A$3:$A$22),0)</f>
        <v>0</v>
      </c>
      <c r="I79" s="36">
        <f t="shared" si="13"/>
        <v>0</v>
      </c>
      <c r="K79" s="13"/>
      <c r="L79" s="13"/>
    </row>
    <row r="80" spans="3:12" s="5" customFormat="1" outlineLevel="1">
      <c r="C80" s="38"/>
      <c r="D80" s="10" t="s">
        <v>287</v>
      </c>
      <c r="E80" s="158">
        <v>814117</v>
      </c>
      <c r="F80" s="33">
        <v>46142</v>
      </c>
      <c r="G80" s="5" t="s">
        <v>12</v>
      </c>
      <c r="H80" s="5">
        <f>IF(OR(G80="Sin pagar",G80="Pagar"),NETWORKDAYS($I$11,F80,'Festivos Colombia'!$A$3:$A$22),0)</f>
        <v>0</v>
      </c>
      <c r="I80" s="36">
        <f t="shared" si="13"/>
        <v>0</v>
      </c>
      <c r="K80" s="13"/>
      <c r="L80" s="13"/>
    </row>
    <row r="81" spans="1:19" s="5" customFormat="1" outlineLevel="1">
      <c r="C81" s="38"/>
      <c r="D81" s="10" t="s">
        <v>291</v>
      </c>
      <c r="E81" s="158">
        <v>60430</v>
      </c>
      <c r="F81" s="33">
        <v>46142</v>
      </c>
      <c r="G81" s="5" t="s">
        <v>12</v>
      </c>
      <c r="H81" s="5">
        <f>IF(OR(G81="Sin pagar",G81="Pagar"),NETWORKDAYS($I$11,F81,'Festivos Colombia'!$A$3:$A$22),0)</f>
        <v>0</v>
      </c>
      <c r="I81" s="36">
        <f t="shared" si="13"/>
        <v>0</v>
      </c>
      <c r="K81" s="13"/>
      <c r="L81" s="13"/>
    </row>
    <row r="82" spans="1:19" s="5" customFormat="1" outlineLevel="1">
      <c r="C82" s="38"/>
      <c r="D82" s="10" t="s">
        <v>371</v>
      </c>
      <c r="E82" s="158">
        <v>88892</v>
      </c>
      <c r="F82" s="33">
        <v>46142</v>
      </c>
      <c r="G82" s="5" t="s">
        <v>12</v>
      </c>
      <c r="H82" s="5">
        <f>IF(OR(G82="Sin pagar",G82="Pagar"),NETWORKDAYS($I$11,F82,'Festivos Colombia'!$A$3:$A$22),0)</f>
        <v>0</v>
      </c>
      <c r="I82" s="36">
        <f t="shared" si="13"/>
        <v>0</v>
      </c>
      <c r="K82" s="13"/>
      <c r="L82" s="13"/>
    </row>
    <row r="83" spans="1:19" s="5" customFormat="1" ht="15.75" outlineLevel="1" thickBot="1">
      <c r="C83" s="38"/>
      <c r="D83" s="10" t="s">
        <v>124</v>
      </c>
      <c r="E83" s="158">
        <v>112480</v>
      </c>
      <c r="F83" s="33">
        <v>46142</v>
      </c>
      <c r="G83" s="5" t="s">
        <v>12</v>
      </c>
      <c r="H83" s="5">
        <f>IF(OR(G83="Sin pagar",G83="Pagar"),NETWORKDAYS($I$11,F83,'Festivos Colombia'!$A$3:$A$22),0)</f>
        <v>0</v>
      </c>
      <c r="I83" s="36">
        <f t="shared" si="13"/>
        <v>0</v>
      </c>
      <c r="K83" s="13"/>
      <c r="L83" s="13"/>
    </row>
    <row r="84" spans="1:19" s="5" customFormat="1" ht="16.5" thickBot="1">
      <c r="C84" s="9"/>
      <c r="D84" s="134" t="s">
        <v>24</v>
      </c>
      <c r="E84" s="135">
        <f>SUBTOTAL(9,E85:E87)</f>
        <v>16446730</v>
      </c>
    </row>
    <row r="85" spans="1:19" s="5" customFormat="1" outlineLevel="1">
      <c r="C85" s="38"/>
      <c r="D85" s="10" t="s">
        <v>353</v>
      </c>
      <c r="E85" s="158">
        <v>5213840</v>
      </c>
      <c r="F85" s="33">
        <v>46128</v>
      </c>
      <c r="G85" s="5" t="s">
        <v>12</v>
      </c>
      <c r="H85" s="5">
        <f>IF(OR(G85="Sin pagar",G85="Pagar"),NETWORKDAYS($I$11,F85,'Festivos Colombia'!$A$3:$A$22),0)</f>
        <v>0</v>
      </c>
      <c r="I85" s="36">
        <f t="shared" ref="I85:I86" si="14">H85</f>
        <v>0</v>
      </c>
      <c r="K85" s="13"/>
      <c r="L85" s="13"/>
    </row>
    <row r="86" spans="1:19" s="5" customFormat="1" outlineLevel="1">
      <c r="C86" s="38"/>
      <c r="D86" s="10" t="s">
        <v>354</v>
      </c>
      <c r="E86" s="158">
        <v>5739280</v>
      </c>
      <c r="F86" s="33">
        <v>46129</v>
      </c>
      <c r="G86" s="5" t="s">
        <v>12</v>
      </c>
      <c r="H86" s="5">
        <f>IF(OR(G86="Sin pagar",G86="Pagar"),NETWORKDAYS($I$11,F86,'Festivos Colombia'!$A$3:$A$22),0)</f>
        <v>0</v>
      </c>
      <c r="I86" s="36">
        <f t="shared" si="14"/>
        <v>0</v>
      </c>
      <c r="K86" s="13"/>
      <c r="L86" s="13"/>
    </row>
    <row r="87" spans="1:19" s="5" customFormat="1" ht="15.75" outlineLevel="1" thickBot="1">
      <c r="C87" s="38"/>
      <c r="D87" s="10" t="s">
        <v>372</v>
      </c>
      <c r="E87" s="158">
        <v>5493610</v>
      </c>
      <c r="F87" s="33">
        <v>46147</v>
      </c>
      <c r="G87" s="5" t="s">
        <v>12</v>
      </c>
      <c r="H87" s="5">
        <f>IF(OR(G87="Sin pagar",G87="Pagar"),NETWORKDAYS($I$11,F87,'Festivos Colombia'!$A$3:$A$22),0)</f>
        <v>0</v>
      </c>
      <c r="I87" s="36">
        <f t="shared" ref="I87" si="15">H87</f>
        <v>0</v>
      </c>
      <c r="K87" s="13"/>
      <c r="L87" s="13"/>
    </row>
    <row r="88" spans="1:19" s="5" customFormat="1" ht="15.75" customHeight="1" thickBot="1">
      <c r="C88" s="9"/>
      <c r="D88" s="134" t="s">
        <v>26</v>
      </c>
      <c r="E88" s="135">
        <f>SUBTOTAL(9,E89:E90)</f>
        <v>20244754.300000001</v>
      </c>
      <c r="F88" s="33"/>
    </row>
    <row r="89" spans="1:19" s="5" customFormat="1" outlineLevel="1">
      <c r="A89" s="5" t="str">
        <f>G89</f>
        <v>Cancelado</v>
      </c>
      <c r="B89" s="5" t="e">
        <f>IF(#REF!&lt;=-1,1,IF(#REF!&lt;=5,2,IF(#REF!&lt;=15,3,IF(H89&lt;=60,4))))</f>
        <v>#REF!</v>
      </c>
      <c r="C89" s="180" t="s">
        <v>344</v>
      </c>
      <c r="D89" s="57" t="s">
        <v>343</v>
      </c>
      <c r="E89" s="224">
        <v>19853587.300000001</v>
      </c>
      <c r="F89" s="33">
        <v>46122</v>
      </c>
      <c r="G89" s="5" t="s">
        <v>12</v>
      </c>
      <c r="H89" s="5">
        <f>IF(OR(G89="Sin pagar",G89="Pagar"),NETWORKDAYS($I$11,F89,'Festivos Colombia'!$A$3:$A$22),0)</f>
        <v>0</v>
      </c>
      <c r="I89" s="36">
        <f>H89</f>
        <v>0</v>
      </c>
      <c r="J89" s="166"/>
      <c r="K89" s="131"/>
      <c r="P89" s="12"/>
      <c r="Q89" s="12"/>
      <c r="R89" s="12"/>
      <c r="S89" s="12"/>
    </row>
    <row r="90" spans="1:19" s="5" customFormat="1" ht="15.75" outlineLevel="1" thickBot="1">
      <c r="A90" s="5" t="str">
        <f>G90</f>
        <v>Cancelado</v>
      </c>
      <c r="B90" s="5" t="e">
        <f>IF(#REF!&lt;=-1,1,IF(#REF!&lt;=5,2,IF(#REF!&lt;=15,3,IF(H90&lt;=60,4))))</f>
        <v>#REF!</v>
      </c>
      <c r="C90" s="180" t="s">
        <v>345</v>
      </c>
      <c r="D90" s="57" t="s">
        <v>346</v>
      </c>
      <c r="E90" s="224">
        <v>391167</v>
      </c>
      <c r="F90" s="33">
        <v>46122</v>
      </c>
      <c r="G90" s="5" t="s">
        <v>12</v>
      </c>
      <c r="H90" s="5">
        <f>IF(OR(G90="Sin pagar",G90="Pagar"),NETWORKDAYS($I$11,F90,'Festivos Colombia'!$A$3:$A$22),0)</f>
        <v>0</v>
      </c>
      <c r="I90" s="36">
        <f>H90</f>
        <v>0</v>
      </c>
      <c r="J90" s="166"/>
      <c r="K90" s="131"/>
      <c r="P90" s="12"/>
      <c r="Q90" s="12"/>
      <c r="R90" s="12"/>
      <c r="S90" s="12"/>
    </row>
    <row r="91" spans="1:19" s="5" customFormat="1" ht="16.5" thickBot="1">
      <c r="D91" s="134" t="s">
        <v>27</v>
      </c>
      <c r="E91" s="135">
        <f>SUBTOTAL(9,E92)</f>
        <v>13545478.330000004</v>
      </c>
    </row>
    <row r="92" spans="1:19" s="5" customFormat="1" ht="15.75" outlineLevel="1" thickBot="1">
      <c r="A92" s="5" t="str">
        <f>G92</f>
        <v>Cancelado</v>
      </c>
      <c r="B92" s="5" t="e">
        <f>IF(#REF!&lt;=-1,1,IF(#REF!&lt;=5,2,IF(#REF!&lt;=15,3,IF(H92&lt;=60,4))))</f>
        <v>#REF!</v>
      </c>
      <c r="C92" s="9"/>
      <c r="D92" s="10" t="s">
        <v>28</v>
      </c>
      <c r="E92" s="11">
        <v>13545478.330000004</v>
      </c>
      <c r="F92" s="33">
        <v>46142</v>
      </c>
      <c r="G92" s="5" t="s">
        <v>12</v>
      </c>
      <c r="H92" s="5">
        <f>IF(OR(G92="Sin pagar",G92="Pagar"),NETWORKDAYS($I$11,F92,'Festivos Colombia'!$A$3:$A$22),0)</f>
        <v>0</v>
      </c>
      <c r="I92" s="36">
        <f t="shared" ref="I92" si="16">H92</f>
        <v>0</v>
      </c>
    </row>
    <row r="93" spans="1:19" s="5" customFormat="1" ht="16.5" thickBot="1">
      <c r="D93" s="134" t="s">
        <v>29</v>
      </c>
      <c r="E93" s="135">
        <f>SUBTOTAL(9,E94)</f>
        <v>2209861</v>
      </c>
    </row>
    <row r="94" spans="1:19" s="12" customFormat="1" ht="15.75" outlineLevel="1" thickBot="1">
      <c r="A94" s="5" t="str">
        <f t="shared" ref="A94" si="17">G94</f>
        <v>Cancelado</v>
      </c>
      <c r="B94" s="5" t="e">
        <f>IF(#REF!&lt;=-1,1,IF(#REF!&lt;=5,2,IF(#REF!&lt;=15,3,IF(H94&lt;=60,4))))</f>
        <v>#REF!</v>
      </c>
      <c r="C94" s="9"/>
      <c r="D94" s="10" t="s">
        <v>134</v>
      </c>
      <c r="E94" s="11">
        <v>2209861</v>
      </c>
      <c r="F94" s="33">
        <v>46142</v>
      </c>
      <c r="G94" s="5" t="s">
        <v>12</v>
      </c>
      <c r="H94" s="5">
        <f>IF(OR(G94="Sin pagar",G94="Pagar"),NETWORKDAYS($I$11,F94,'Festivos Colombia'!$A$3:$A$22),0)</f>
        <v>0</v>
      </c>
      <c r="I94" s="36">
        <f t="shared" ref="I94" si="18">H94</f>
        <v>0</v>
      </c>
      <c r="J94" s="5"/>
      <c r="K94" s="13"/>
      <c r="L94" s="13"/>
      <c r="M94" s="13"/>
      <c r="N94" s="5"/>
      <c r="O94" s="5"/>
    </row>
    <row r="95" spans="1:19" s="5" customFormat="1" ht="16.5" thickBot="1">
      <c r="D95" s="134" t="s">
        <v>144</v>
      </c>
      <c r="E95" s="135">
        <f>SUBTOTAL(9,E96:E102)</f>
        <v>1014706</v>
      </c>
      <c r="J95" s="13"/>
    </row>
    <row r="96" spans="1:19" s="5" customFormat="1" outlineLevel="1">
      <c r="A96" s="5" t="str">
        <f t="shared" ref="A96:A101" si="19">G96</f>
        <v>Cancelado</v>
      </c>
      <c r="B96" s="5" t="e">
        <f>IF(#REF!&lt;=-1,1,IF(#REF!&lt;=5,2,IF(#REF!&lt;=15,3,IF(H96&lt;=60,4))))</f>
        <v>#REF!</v>
      </c>
      <c r="C96" s="123">
        <v>6993</v>
      </c>
      <c r="D96" s="57" t="s">
        <v>30</v>
      </c>
      <c r="E96" s="14">
        <f>235000</f>
        <v>235000</v>
      </c>
      <c r="F96" s="33">
        <v>46135</v>
      </c>
      <c r="G96" s="5" t="s">
        <v>12</v>
      </c>
      <c r="H96" s="5">
        <f>IF(OR(G96="Sin pagar",G96="Pagar"),NETWORKDAYS($I$11,F96,'Festivos Colombia'!$A$3:$A$22),0)</f>
        <v>0</v>
      </c>
      <c r="I96" s="36">
        <f t="shared" ref="I96:I101" si="20">H96</f>
        <v>0</v>
      </c>
      <c r="J96" s="166"/>
    </row>
    <row r="97" spans="1:15" s="5" customFormat="1" outlineLevel="1">
      <c r="A97" s="5" t="str">
        <f t="shared" si="19"/>
        <v>Cancelado</v>
      </c>
      <c r="B97" s="5" t="e">
        <f>IF(#REF!&lt;=-1,1,IF(#REF!&lt;=5,2,IF(#REF!&lt;=15,3,IF(H97&lt;=60,4))))</f>
        <v>#REF!</v>
      </c>
      <c r="C97" s="123">
        <v>7003</v>
      </c>
      <c r="D97" s="57" t="s">
        <v>30</v>
      </c>
      <c r="E97" s="14">
        <v>312500</v>
      </c>
      <c r="F97" s="33">
        <v>46141</v>
      </c>
      <c r="G97" s="5" t="s">
        <v>12</v>
      </c>
      <c r="H97" s="5">
        <f>IF(OR(G97="Sin pagar",G97="Pagar"),NETWORKDAYS($I$11,F97,'Festivos Colombia'!$A$3:$A$22),0)</f>
        <v>0</v>
      </c>
      <c r="I97" s="36">
        <f t="shared" si="20"/>
        <v>0</v>
      </c>
      <c r="J97" s="166"/>
    </row>
    <row r="98" spans="1:15" s="5" customFormat="1" outlineLevel="1">
      <c r="A98" s="5" t="str">
        <f t="shared" si="19"/>
        <v>Sin Pagar</v>
      </c>
      <c r="B98" s="5" t="e">
        <f>IF(#REF!&lt;=-1,1,IF(#REF!&lt;=5,2,IF(#REF!&lt;=15,3,IF(H98&lt;=60,4))))</f>
        <v>#REF!</v>
      </c>
      <c r="C98" s="123">
        <v>7014</v>
      </c>
      <c r="D98" s="57" t="s">
        <v>30</v>
      </c>
      <c r="E98" s="14">
        <f>315500*0</f>
        <v>0</v>
      </c>
      <c r="F98" s="33">
        <v>46149</v>
      </c>
      <c r="G98" s="5" t="s">
        <v>19</v>
      </c>
      <c r="H98" s="5">
        <f>IF(OR(G98="Sin pagar",G98="Pagar"),NETWORKDAYS($I$11,F98,'Festivos Colombia'!$A$3:$A$22),0)</f>
        <v>24</v>
      </c>
      <c r="I98" s="36">
        <f t="shared" si="20"/>
        <v>24</v>
      </c>
      <c r="J98" s="166"/>
    </row>
    <row r="99" spans="1:15" s="5" customFormat="1" ht="14.25" customHeight="1" outlineLevel="1">
      <c r="A99" s="5" t="str">
        <f t="shared" si="19"/>
        <v>Sin Pagar</v>
      </c>
      <c r="B99" s="5" t="e">
        <f>IF(#REF!&lt;=-1,1,IF(#REF!&lt;=5,2,IF(#REF!&lt;=15,3,IF(H99&lt;=60,4))))</f>
        <v>#REF!</v>
      </c>
      <c r="C99" s="123">
        <v>7033</v>
      </c>
      <c r="D99" s="57" t="s">
        <v>30</v>
      </c>
      <c r="E99" s="14">
        <f>107500*0</f>
        <v>0</v>
      </c>
      <c r="F99" s="33">
        <v>46159</v>
      </c>
      <c r="G99" s="5" t="s">
        <v>19</v>
      </c>
      <c r="H99" s="5">
        <f>IF(OR(G99="Sin pagar",G99="Pagar"),NETWORKDAYS($I$11,F99,'Festivos Colombia'!$A$3:$A$22),0)</f>
        <v>30</v>
      </c>
      <c r="I99" s="36">
        <f t="shared" si="20"/>
        <v>30</v>
      </c>
      <c r="J99" s="166"/>
    </row>
    <row r="100" spans="1:15" s="5" customFormat="1" ht="14.25" customHeight="1" outlineLevel="1">
      <c r="A100" s="5" t="str">
        <f t="shared" si="19"/>
        <v>Sin Pagar</v>
      </c>
      <c r="B100" s="5" t="e">
        <f>IF(#REF!&lt;=-1,1,IF(#REF!&lt;=5,2,IF(#REF!&lt;=15,3,IF(H100&lt;=60,4))))</f>
        <v>#REF!</v>
      </c>
      <c r="C100" s="123">
        <v>7047</v>
      </c>
      <c r="D100" s="57" t="s">
        <v>30</v>
      </c>
      <c r="E100" s="14">
        <f>117500*0</f>
        <v>0</v>
      </c>
      <c r="F100" s="33">
        <v>46165</v>
      </c>
      <c r="G100" s="5" t="s">
        <v>19</v>
      </c>
      <c r="H100" s="5">
        <f>IF(OR(G100="Sin pagar",G100="Pagar"),NETWORKDAYS($I$11,F100,'Festivos Colombia'!$A$3:$A$22),0)</f>
        <v>34</v>
      </c>
      <c r="I100" s="36">
        <f t="shared" si="20"/>
        <v>34</v>
      </c>
      <c r="J100" s="166"/>
    </row>
    <row r="101" spans="1:15" s="5" customFormat="1" ht="14.25" customHeight="1" outlineLevel="1">
      <c r="A101" s="5" t="str">
        <f t="shared" si="19"/>
        <v>Sin Pagar</v>
      </c>
      <c r="B101" s="5" t="e">
        <f>IF(#REF!&lt;=-1,1,IF(#REF!&lt;=5,2,IF(#REF!&lt;=15,3,IF(H101&lt;=60,4))))</f>
        <v>#REF!</v>
      </c>
      <c r="C101" s="123">
        <v>7052</v>
      </c>
      <c r="D101" s="57" t="s">
        <v>30</v>
      </c>
      <c r="E101" s="14">
        <f>117500*0</f>
        <v>0</v>
      </c>
      <c r="F101" s="33">
        <v>46170</v>
      </c>
      <c r="G101" s="5" t="s">
        <v>19</v>
      </c>
      <c r="H101" s="5">
        <f>IF(OR(G101="Sin pagar",G101="Pagar"),NETWORKDAYS($I$11,F101,'Festivos Colombia'!$A$3:$A$22),0)</f>
        <v>38</v>
      </c>
      <c r="I101" s="36">
        <f t="shared" si="20"/>
        <v>38</v>
      </c>
      <c r="J101" s="166"/>
    </row>
    <row r="102" spans="1:15" s="5" customFormat="1" ht="14.25" customHeight="1" outlineLevel="1" thickBot="1">
      <c r="A102" s="5" t="str">
        <f t="shared" ref="A102" si="21">G102</f>
        <v>Cancelado</v>
      </c>
      <c r="B102" s="5" t="e">
        <f>IF(#REF!&lt;=-1,1,IF(#REF!&lt;=5,2,IF(#REF!&lt;=15,3,IF(H102&lt;=60,4))))</f>
        <v>#REF!</v>
      </c>
      <c r="C102" s="9">
        <v>356015978</v>
      </c>
      <c r="D102" s="57" t="s">
        <v>146</v>
      </c>
      <c r="E102" s="14">
        <f>467206</f>
        <v>467206</v>
      </c>
      <c r="F102" s="33">
        <v>46142</v>
      </c>
      <c r="G102" s="5" t="s">
        <v>12</v>
      </c>
      <c r="H102" s="5">
        <f>IF(OR(G102="Sin pagar",G102="Pagar"),NETWORKDAYS($I$11,F102,'Festivos Colombia'!$A$3:$A$22),0)</f>
        <v>0</v>
      </c>
      <c r="I102" s="36">
        <f t="shared" ref="I102" si="22">H102</f>
        <v>0</v>
      </c>
      <c r="J102" s="166"/>
    </row>
    <row r="103" spans="1:15" s="5" customFormat="1" ht="16.5" thickBot="1">
      <c r="D103" s="134" t="s">
        <v>31</v>
      </c>
      <c r="E103" s="135">
        <f>SUBTOTAL(9,E104:E106)</f>
        <v>1625960577</v>
      </c>
      <c r="K103" s="13"/>
      <c r="L103" s="13"/>
      <c r="M103" s="39"/>
      <c r="O103" s="13"/>
    </row>
    <row r="104" spans="1:15" s="12" customFormat="1" outlineLevel="1">
      <c r="A104" s="5" t="str">
        <f>G104</f>
        <v>Cancelado</v>
      </c>
      <c r="B104" s="5" t="e">
        <f>IF(#REF!&lt;=-1,1,IF(#REF!&lt;=5,2,IF(#REF!&lt;=15,3,IF(H104&lt;=60,4))))</f>
        <v>#REF!</v>
      </c>
      <c r="C104" s="37"/>
      <c r="D104" s="10" t="s">
        <v>338</v>
      </c>
      <c r="E104" s="11">
        <f>7879073*0</f>
        <v>0</v>
      </c>
      <c r="F104" s="33">
        <v>46113</v>
      </c>
      <c r="G104" s="5" t="s">
        <v>12</v>
      </c>
      <c r="H104" s="5">
        <f>IF(OR(G104="Sin pagar",G104="Pagar"),NETWORKDAYS($I$11,F104,'Festivos Colombia'!$A$3:$A$22),0)</f>
        <v>0</v>
      </c>
      <c r="I104" s="36">
        <f>H104</f>
        <v>0</v>
      </c>
      <c r="J104" s="128"/>
      <c r="K104" s="13"/>
      <c r="L104" s="5"/>
      <c r="M104" s="13"/>
      <c r="N104" s="129"/>
      <c r="O104" s="5"/>
    </row>
    <row r="105" spans="1:15" s="12" customFormat="1" outlineLevel="1">
      <c r="A105" s="5" t="str">
        <f t="shared" ref="A105:A106" si="23">G105</f>
        <v>Cancelado</v>
      </c>
      <c r="B105" s="5" t="e">
        <f>IF(#REF!&lt;=-1,1,IF(#REF!&lt;=5,2,IF(#REF!&lt;=15,3,IF(H105&lt;=60,4))))</f>
        <v>#REF!</v>
      </c>
      <c r="C105" s="123" t="s">
        <v>180</v>
      </c>
      <c r="D105" s="10" t="s">
        <v>157</v>
      </c>
      <c r="E105" s="11">
        <v>1624330113</v>
      </c>
      <c r="F105" s="157">
        <v>46140</v>
      </c>
      <c r="G105" s="5" t="s">
        <v>12</v>
      </c>
      <c r="H105" s="5">
        <f>IF(OR(G105="Sin pagar",G105="Pagar"),NETWORKDAYS($I$11,F105,'Festivos Colombia'!$A$3:$A$22),0)</f>
        <v>0</v>
      </c>
      <c r="I105" s="36">
        <f t="shared" ref="I105:I106" si="24">H105</f>
        <v>0</v>
      </c>
      <c r="J105" s="5"/>
      <c r="K105" s="13"/>
      <c r="L105" s="13"/>
      <c r="M105" s="13"/>
      <c r="N105" s="5"/>
      <c r="O105" s="5"/>
    </row>
    <row r="106" spans="1:15" s="12" customFormat="1" ht="15.75" outlineLevel="1" thickBot="1">
      <c r="A106" s="5" t="str">
        <f t="shared" si="23"/>
        <v>Cancelado</v>
      </c>
      <c r="B106" s="5" t="e">
        <f>IF(#REF!&lt;=-1,1,IF(#REF!&lt;=5,2,IF(#REF!&lt;=15,3,IF(H106&lt;=60,4))))</f>
        <v>#REF!</v>
      </c>
      <c r="C106" s="164" t="s">
        <v>363</v>
      </c>
      <c r="D106" s="10" t="s">
        <v>130</v>
      </c>
      <c r="E106" s="11">
        <v>1630464</v>
      </c>
      <c r="F106" s="157">
        <v>46140</v>
      </c>
      <c r="G106" s="5" t="s">
        <v>12</v>
      </c>
      <c r="H106" s="5">
        <f>IF(OR(G106="Sin pagar",G106="Pagar"),NETWORKDAYS($I$11,F106,'Festivos Colombia'!$A$3:$A$22),0)</f>
        <v>0</v>
      </c>
      <c r="I106" s="36">
        <f t="shared" si="24"/>
        <v>0</v>
      </c>
      <c r="J106" s="166"/>
      <c r="K106" s="13"/>
      <c r="L106" s="13"/>
      <c r="M106" s="13"/>
      <c r="N106" s="5"/>
      <c r="O106" s="5"/>
    </row>
    <row r="107" spans="1:15" s="5" customFormat="1" ht="16.5" thickBot="1">
      <c r="C107" s="9"/>
      <c r="D107" s="134" t="s">
        <v>32</v>
      </c>
      <c r="E107" s="135">
        <f>SUBTOTAL(9,E108:E109)</f>
        <v>101480304</v>
      </c>
      <c r="J107" s="128"/>
      <c r="K107" s="11"/>
      <c r="L107" s="13"/>
      <c r="M107" s="13"/>
      <c r="N107" s="129"/>
    </row>
    <row r="108" spans="1:15" s="12" customFormat="1" outlineLevel="1">
      <c r="A108" s="5" t="str">
        <f>G108</f>
        <v>Cancelado</v>
      </c>
      <c r="B108" s="5" t="e">
        <f>IF(#REF!&lt;=-1,1,IF(#REF!&lt;=5,2,IF(#REF!&lt;=15,3,IF(H108&lt;=60,4))))</f>
        <v>#REF!</v>
      </c>
      <c r="C108" s="37" t="s">
        <v>100</v>
      </c>
      <c r="D108" s="10" t="s">
        <v>351</v>
      </c>
      <c r="E108" s="158">
        <v>90497092</v>
      </c>
      <c r="F108" s="33">
        <v>46122</v>
      </c>
      <c r="G108" s="5" t="s">
        <v>12</v>
      </c>
      <c r="H108" s="5">
        <f>IF(OR(G108="Sin pagar",G108="Pagar"),NETWORKDAYS($I$11,F108,'Festivos Colombia'!$A$3:$A$22),0)</f>
        <v>0</v>
      </c>
      <c r="I108" s="36">
        <f t="shared" ref="I108" si="25">H108</f>
        <v>0</v>
      </c>
      <c r="J108" s="128"/>
      <c r="K108" s="13"/>
      <c r="L108" s="5"/>
      <c r="M108" s="13"/>
      <c r="N108" s="129"/>
      <c r="O108" s="5"/>
    </row>
    <row r="109" spans="1:15" s="12" customFormat="1" ht="15.75" outlineLevel="1" thickBot="1">
      <c r="A109" s="5" t="str">
        <f>G109</f>
        <v>Cancelado</v>
      </c>
      <c r="B109" s="5" t="e">
        <f>IF(#REF!&lt;=-1,1,IF(#REF!&lt;=5,2,IF(#REF!&lt;=15,3,IF(H109&lt;=60,4))))</f>
        <v>#REF!</v>
      </c>
      <c r="C109" s="37" t="s">
        <v>100</v>
      </c>
      <c r="D109" s="10" t="s">
        <v>364</v>
      </c>
      <c r="E109" s="158">
        <v>10983212</v>
      </c>
      <c r="F109" s="33">
        <v>46141</v>
      </c>
      <c r="G109" s="5" t="s">
        <v>12</v>
      </c>
      <c r="H109" s="5">
        <f>IF(OR(G109="Sin pagar",G109="Pagar"),NETWORKDAYS($I$11,F109,'Festivos Colombia'!$A$3:$A$22),0)</f>
        <v>0</v>
      </c>
      <c r="I109" s="36">
        <f t="shared" ref="I109" si="26">H109</f>
        <v>0</v>
      </c>
      <c r="J109" s="128"/>
      <c r="K109" s="13"/>
      <c r="L109" s="5"/>
      <c r="M109" s="13"/>
      <c r="N109" s="129"/>
      <c r="O109" s="5"/>
    </row>
    <row r="110" spans="1:15" s="5" customFormat="1" ht="16.5" thickBot="1">
      <c r="C110" s="9"/>
      <c r="D110" s="134" t="s">
        <v>33</v>
      </c>
      <c r="E110" s="135">
        <f>SUBTOTAL(9,E111:E117)</f>
        <v>123007156</v>
      </c>
      <c r="F110" s="157"/>
      <c r="J110" s="130"/>
      <c r="K110" s="131"/>
      <c r="L110" s="13"/>
    </row>
    <row r="111" spans="1:15" s="5" customFormat="1" ht="15" customHeight="1" outlineLevel="1">
      <c r="A111" s="5" t="str">
        <f t="shared" ref="A111:A114" si="27">G111</f>
        <v>Cancelado</v>
      </c>
      <c r="B111" s="5" t="e">
        <f>IF(#REF!&lt;=-1,1,IF(#REF!&lt;=5,2,IF(#REF!&lt;=15,3,IF(H111&lt;=60,4))))</f>
        <v>#REF!</v>
      </c>
      <c r="C111" s="9"/>
      <c r="D111" s="10" t="s">
        <v>348</v>
      </c>
      <c r="E111" s="11">
        <v>222050</v>
      </c>
      <c r="F111" s="33">
        <v>46121</v>
      </c>
      <c r="G111" s="5" t="s">
        <v>12</v>
      </c>
      <c r="H111" s="5">
        <f>IF(OR(G111="Sin pagar",G111="Pagar"),NETWORKDAYS($I$11,F111,'Festivos Colombia'!$A$3:$A$22),0)</f>
        <v>0</v>
      </c>
      <c r="I111" s="36">
        <f t="shared" ref="I111:I114" si="28">H111</f>
        <v>0</v>
      </c>
      <c r="J111" s="132"/>
      <c r="K111" s="133"/>
      <c r="L111" s="131"/>
    </row>
    <row r="112" spans="1:15" s="5" customFormat="1" ht="15" customHeight="1" outlineLevel="1">
      <c r="A112" s="5" t="str">
        <f t="shared" si="27"/>
        <v>Cancelado</v>
      </c>
      <c r="B112" s="5" t="e">
        <f>IF(#REF!&lt;=-1,1,IF(#REF!&lt;=5,2,IF(#REF!&lt;=15,3,IF(H112&lt;=60,4))))</f>
        <v>#REF!</v>
      </c>
      <c r="C112" s="9"/>
      <c r="D112" s="10" t="s">
        <v>352</v>
      </c>
      <c r="E112" s="11">
        <v>115566758</v>
      </c>
      <c r="F112" s="33">
        <v>46122</v>
      </c>
      <c r="G112" s="5" t="s">
        <v>12</v>
      </c>
      <c r="H112" s="5">
        <f>IF(OR(G112="Sin pagar",G112="Pagar"),NETWORKDAYS($I$11,F112,'Festivos Colombia'!$A$3:$A$22),0)</f>
        <v>0</v>
      </c>
      <c r="I112" s="36">
        <f t="shared" si="28"/>
        <v>0</v>
      </c>
      <c r="J112" s="132"/>
      <c r="K112" s="133"/>
      <c r="L112" s="131"/>
    </row>
    <row r="113" spans="1:24" s="5" customFormat="1" ht="15" customHeight="1" outlineLevel="1">
      <c r="A113" s="5" t="str">
        <f t="shared" si="27"/>
        <v>Cancelado</v>
      </c>
      <c r="B113" s="5" t="e">
        <f>IF(#REF!&lt;=-1,1,IF(#REF!&lt;=5,2,IF(#REF!&lt;=15,3,IF(H113&lt;=60,4))))</f>
        <v>#REF!</v>
      </c>
      <c r="C113" s="9">
        <v>10466184</v>
      </c>
      <c r="D113" s="10" t="s">
        <v>355</v>
      </c>
      <c r="E113" s="11">
        <v>12100</v>
      </c>
      <c r="F113" s="33">
        <v>46133</v>
      </c>
      <c r="G113" s="5" t="s">
        <v>12</v>
      </c>
      <c r="H113" s="5">
        <f>IF(OR(G113="Sin pagar",G113="Pagar"),NETWORKDAYS($I$11,F113,'Festivos Colombia'!$A$3:$A$22),0)</f>
        <v>0</v>
      </c>
      <c r="I113" s="36">
        <f t="shared" si="28"/>
        <v>0</v>
      </c>
      <c r="J113" s="132"/>
      <c r="K113" s="133"/>
      <c r="L113" s="131"/>
    </row>
    <row r="114" spans="1:24" s="5" customFormat="1" ht="15" customHeight="1" outlineLevel="1">
      <c r="A114" s="5" t="str">
        <f t="shared" si="27"/>
        <v>Cancelado</v>
      </c>
      <c r="B114" s="5" t="e">
        <f>IF(#REF!&lt;=-1,1,IF(#REF!&lt;=5,2,IF(#REF!&lt;=15,3,IF(H114&lt;=60,4))))</f>
        <v>#REF!</v>
      </c>
      <c r="C114" s="9"/>
      <c r="D114" s="10" t="s">
        <v>356</v>
      </c>
      <c r="E114" s="11">
        <v>3377500</v>
      </c>
      <c r="F114" s="33">
        <v>46133</v>
      </c>
      <c r="G114" s="5" t="s">
        <v>12</v>
      </c>
      <c r="H114" s="5">
        <f>IF(OR(G114="Sin pagar",G114="Pagar"),NETWORKDAYS($I$11,F114,'Festivos Colombia'!$A$3:$A$22),0)</f>
        <v>0</v>
      </c>
      <c r="I114" s="36">
        <f t="shared" si="28"/>
        <v>0</v>
      </c>
      <c r="J114" s="132"/>
      <c r="K114" s="133"/>
      <c r="L114" s="131"/>
    </row>
    <row r="115" spans="1:24" s="5" customFormat="1" ht="15" customHeight="1" outlineLevel="1">
      <c r="A115" s="5" t="str">
        <f t="shared" ref="A115" si="29">G115</f>
        <v>Cancelado</v>
      </c>
      <c r="B115" s="5" t="e">
        <f>IF(#REF!&lt;=-1,1,IF(#REF!&lt;=5,2,IF(#REF!&lt;=15,3,IF(H115&lt;=60,4))))</f>
        <v>#REF!</v>
      </c>
      <c r="C115" s="9"/>
      <c r="D115" s="10" t="s">
        <v>358</v>
      </c>
      <c r="E115" s="11">
        <f>(47400*1.19)*3</f>
        <v>169218</v>
      </c>
      <c r="F115" s="33">
        <v>46135</v>
      </c>
      <c r="G115" s="5" t="s">
        <v>12</v>
      </c>
      <c r="H115" s="5">
        <f>IF(OR(G115="Sin pagar",G115="Pagar"),NETWORKDAYS($I$11,F115,'Festivos Colombia'!$A$3:$A$22),0)</f>
        <v>0</v>
      </c>
      <c r="I115" s="36">
        <f t="shared" ref="I115" si="30">H115</f>
        <v>0</v>
      </c>
      <c r="J115" s="132"/>
      <c r="K115" s="133"/>
      <c r="L115" s="131"/>
    </row>
    <row r="116" spans="1:24" s="5" customFormat="1" ht="15" customHeight="1" outlineLevel="1">
      <c r="A116" s="5" t="str">
        <f t="shared" ref="A116:A117" si="31">G116</f>
        <v>Cancelado</v>
      </c>
      <c r="B116" s="5" t="e">
        <f>IF(#REF!&lt;=-1,1,IF(#REF!&lt;=5,2,IF(#REF!&lt;=15,3,IF(H116&lt;=60,4))))</f>
        <v>#REF!</v>
      </c>
      <c r="C116" s="9"/>
      <c r="D116" s="10" t="s">
        <v>359</v>
      </c>
      <c r="E116" s="11">
        <f>(47400*1.19)*5</f>
        <v>282030</v>
      </c>
      <c r="F116" s="33">
        <v>46135</v>
      </c>
      <c r="G116" s="5" t="s">
        <v>12</v>
      </c>
      <c r="H116" s="5">
        <f>IF(OR(G116="Sin pagar",G116="Pagar"),NETWORKDAYS($I$11,F116,'Festivos Colombia'!$A$3:$A$22),0)</f>
        <v>0</v>
      </c>
      <c r="I116" s="36">
        <f t="shared" ref="I116:I117" si="32">H116</f>
        <v>0</v>
      </c>
      <c r="J116" s="132"/>
      <c r="K116" s="133"/>
      <c r="L116" s="131"/>
    </row>
    <row r="117" spans="1:24" s="5" customFormat="1" ht="15" customHeight="1" outlineLevel="1" thickBot="1">
      <c r="A117" s="5" t="str">
        <f t="shared" si="31"/>
        <v>Cancelado</v>
      </c>
      <c r="B117" s="5" t="e">
        <f>IF(#REF!&lt;=-1,1,IF(#REF!&lt;=5,2,IF(#REF!&lt;=15,3,IF(H117&lt;=60,4))))</f>
        <v>#REF!</v>
      </c>
      <c r="C117" s="9"/>
      <c r="D117" s="10" t="s">
        <v>357</v>
      </c>
      <c r="E117" s="11">
        <f>3377500</f>
        <v>3377500</v>
      </c>
      <c r="F117" s="33">
        <v>46146</v>
      </c>
      <c r="G117" s="5" t="s">
        <v>12</v>
      </c>
      <c r="H117" s="5">
        <f>IF(OR(G117="Sin pagar",G117="Pagar"),NETWORKDAYS($I$11,F117,'Festivos Colombia'!$A$3:$A$22),0)</f>
        <v>0</v>
      </c>
      <c r="I117" s="36">
        <f t="shared" si="32"/>
        <v>0</v>
      </c>
      <c r="J117" s="132"/>
      <c r="K117" s="133"/>
      <c r="L117" s="131"/>
    </row>
    <row r="118" spans="1:24" s="5" customFormat="1" ht="15" customHeight="1">
      <c r="C118" s="9"/>
      <c r="D118" s="40" t="s">
        <v>34</v>
      </c>
      <c r="E118" s="137">
        <f>SUBTOTAL(9,E13:E117)</f>
        <v>3113968887.2299995</v>
      </c>
      <c r="F118" s="160"/>
      <c r="G118" s="161"/>
      <c r="L118" s="13"/>
      <c r="O118" s="1"/>
      <c r="S118" s="1"/>
      <c r="T118" s="1"/>
      <c r="U118" s="1"/>
    </row>
    <row r="119" spans="1:24" ht="15.75">
      <c r="B119" s="5"/>
      <c r="D119" s="118" t="s">
        <v>40</v>
      </c>
      <c r="E119" s="58">
        <f>(E118*4)/1000</f>
        <v>12455875.548919998</v>
      </c>
      <c r="F119" s="160"/>
      <c r="G119" s="161"/>
      <c r="H119" s="41"/>
      <c r="I119" s="41"/>
      <c r="J119" s="124"/>
    </row>
    <row r="120" spans="1:24" ht="15.75">
      <c r="B120" s="5"/>
      <c r="D120" s="120" t="s">
        <v>41</v>
      </c>
      <c r="E120" s="121">
        <f>E118+E119</f>
        <v>3126424762.7789197</v>
      </c>
      <c r="F120" s="160"/>
      <c r="G120" s="161" t="s">
        <v>19</v>
      </c>
      <c r="H120" s="41"/>
      <c r="I120" s="41"/>
      <c r="J120" s="124"/>
    </row>
    <row r="121" spans="1:24" ht="6" customHeight="1">
      <c r="B121" s="5"/>
      <c r="D121" s="118"/>
      <c r="E121" s="58"/>
      <c r="F121" s="28"/>
      <c r="G121" s="28"/>
      <c r="H121" s="41"/>
      <c r="I121" s="41"/>
    </row>
    <row r="122" spans="1:24" ht="6" customHeight="1">
      <c r="B122" s="5"/>
      <c r="D122" s="118"/>
      <c r="E122" s="58"/>
      <c r="F122" s="28"/>
      <c r="G122" s="28"/>
      <c r="H122" s="41"/>
      <c r="I122" s="41"/>
    </row>
    <row r="123" spans="1:24" ht="6" customHeight="1">
      <c r="B123" s="5"/>
      <c r="D123" s="118"/>
      <c r="E123" s="58"/>
      <c r="F123" s="28"/>
      <c r="G123" s="28"/>
      <c r="H123" s="41"/>
      <c r="I123" s="41"/>
    </row>
    <row r="124" spans="1:24" ht="15.75">
      <c r="B124" s="5"/>
      <c r="D124" s="42" t="s">
        <v>35</v>
      </c>
      <c r="E124" s="43">
        <f>E8-E118</f>
        <v>1283776545.7319994</v>
      </c>
      <c r="F124" s="28"/>
      <c r="G124" s="28"/>
      <c r="I124" s="44"/>
    </row>
    <row r="125" spans="1:24" s="5" customFormat="1" ht="15.75">
      <c r="A125" s="45"/>
      <c r="C125" s="46"/>
      <c r="D125" s="42" t="s">
        <v>36</v>
      </c>
      <c r="E125" s="47">
        <f>IF($E$8=0,0,E124/$E$8)</f>
        <v>0.29191697548244433</v>
      </c>
      <c r="F125" s="28"/>
      <c r="G125" s="28"/>
      <c r="H125" s="45"/>
      <c r="I125" s="49"/>
      <c r="J125" s="45"/>
      <c r="K125" s="45"/>
      <c r="L125" s="45"/>
      <c r="M125" s="45"/>
      <c r="N125" s="45"/>
      <c r="O125" s="1"/>
      <c r="P125" s="45"/>
      <c r="Q125" s="45"/>
      <c r="R125" s="45"/>
      <c r="S125" s="1"/>
      <c r="T125" s="1"/>
      <c r="U125" s="1"/>
    </row>
    <row r="126" spans="1:24" s="5" customFormat="1">
      <c r="A126" s="1"/>
      <c r="C126" s="2"/>
      <c r="D126" s="1"/>
      <c r="E126" s="3"/>
      <c r="F126" s="48"/>
      <c r="G126" s="119"/>
      <c r="H126" s="1"/>
      <c r="I126" s="4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6.75" customHeight="1" thickBot="1"/>
    <row r="128" spans="1:24" ht="15.75" thickBot="1">
      <c r="D128" s="146" t="s">
        <v>95</v>
      </c>
      <c r="E128" s="147" t="s">
        <v>96</v>
      </c>
    </row>
    <row r="129" spans="4:10">
      <c r="J129" s="44"/>
    </row>
    <row r="130" spans="4:10" ht="15.75" thickBot="1"/>
    <row r="131" spans="4:10">
      <c r="D131" s="169">
        <v>46113</v>
      </c>
      <c r="E131" s="220">
        <v>46124</v>
      </c>
      <c r="F131" s="172">
        <f t="shared" ref="F131:F137" si="33">SUMIFS($E$12:$E$127,$F$12:$F$127,"&gt;="&amp;D131,$F$12:$F$127,"&lt;="&amp;E131,$G$12:$G$127,$E$149)</f>
        <v>0</v>
      </c>
      <c r="G131" s="122" t="s">
        <v>117</v>
      </c>
      <c r="H131" s="162"/>
      <c r="I131" s="162"/>
    </row>
    <row r="132" spans="4:10">
      <c r="D132" s="170">
        <v>46125</v>
      </c>
      <c r="E132" s="171">
        <v>46126</v>
      </c>
      <c r="F132" s="173">
        <f t="shared" si="33"/>
        <v>0</v>
      </c>
      <c r="G132" s="122"/>
      <c r="H132" s="162"/>
      <c r="I132" s="162"/>
    </row>
    <row r="133" spans="4:10">
      <c r="D133" s="170">
        <v>46127</v>
      </c>
      <c r="E133" s="171">
        <v>46127</v>
      </c>
      <c r="F133" s="173">
        <f t="shared" si="33"/>
        <v>0</v>
      </c>
      <c r="G133" s="122" t="s">
        <v>347</v>
      </c>
    </row>
    <row r="134" spans="4:10">
      <c r="D134" s="170">
        <v>46128</v>
      </c>
      <c r="E134" s="171">
        <v>46131</v>
      </c>
      <c r="F134" s="173">
        <f t="shared" si="33"/>
        <v>0</v>
      </c>
      <c r="G134" s="122" t="s">
        <v>117</v>
      </c>
    </row>
    <row r="135" spans="4:10">
      <c r="D135" s="170">
        <v>46132</v>
      </c>
      <c r="E135" s="178">
        <v>46138</v>
      </c>
      <c r="F135" s="173">
        <f t="shared" si="33"/>
        <v>0</v>
      </c>
      <c r="G135" s="122" t="s">
        <v>117</v>
      </c>
      <c r="I135" s="152"/>
    </row>
    <row r="136" spans="4:10">
      <c r="D136" s="170">
        <v>46139</v>
      </c>
      <c r="E136" s="178">
        <v>46142</v>
      </c>
      <c r="F136" s="173">
        <f t="shared" si="33"/>
        <v>0</v>
      </c>
      <c r="G136" s="162" t="s">
        <v>265</v>
      </c>
      <c r="I136" s="152"/>
    </row>
    <row r="137" spans="4:10">
      <c r="D137" s="170">
        <v>46143</v>
      </c>
      <c r="E137" s="178">
        <v>46148</v>
      </c>
      <c r="F137" s="173">
        <f t="shared" si="33"/>
        <v>0</v>
      </c>
      <c r="G137" s="162"/>
      <c r="I137" s="152"/>
    </row>
    <row r="138" spans="4:10" ht="15.75">
      <c r="D138" s="235" t="s">
        <v>98</v>
      </c>
      <c r="E138" s="236"/>
      <c r="F138" s="151">
        <f>SUM(F131:F137)</f>
        <v>0</v>
      </c>
      <c r="G138" s="44"/>
      <c r="I138" s="148"/>
    </row>
    <row r="139" spans="4:10">
      <c r="D139" s="237"/>
      <c r="E139" s="238"/>
    </row>
    <row r="140" spans="4:10">
      <c r="E140" s="1"/>
      <c r="I140" s="228"/>
      <c r="J140" s="228"/>
    </row>
    <row r="141" spans="4:10">
      <c r="D141" s="239" t="s">
        <v>361</v>
      </c>
      <c r="E141" s="232"/>
      <c r="F141" s="44">
        <f>SUM(F131:F137)</f>
        <v>0</v>
      </c>
      <c r="I141" s="44"/>
      <c r="J141" s="44"/>
    </row>
    <row r="142" spans="4:10" ht="15.75" thickBot="1">
      <c r="D142" s="239" t="s">
        <v>76</v>
      </c>
      <c r="E142" s="232"/>
      <c r="F142" s="221">
        <f>(F141*4)/1000</f>
        <v>0</v>
      </c>
      <c r="I142" s="44"/>
      <c r="J142" s="44"/>
    </row>
    <row r="143" spans="4:10" ht="15.75" thickTop="1">
      <c r="D143" s="229" t="s">
        <v>313</v>
      </c>
      <c r="E143" s="230"/>
      <c r="F143" s="49">
        <f>SUM(F141:F142)</f>
        <v>0</v>
      </c>
      <c r="I143" s="49"/>
      <c r="J143" s="49"/>
    </row>
    <row r="144" spans="4:10" ht="17.25" customHeight="1">
      <c r="F144" s="150"/>
      <c r="G144" s="165"/>
    </row>
    <row r="145" spans="4:14">
      <c r="D145" s="231">
        <v>46147</v>
      </c>
      <c r="E145" s="232"/>
      <c r="F145" s="227">
        <v>1283776485.9000001</v>
      </c>
      <c r="G145" s="182"/>
      <c r="I145" s="182"/>
      <c r="J145" s="182"/>
      <c r="K145" s="159"/>
    </row>
    <row r="146" spans="4:14">
      <c r="E146" s="186" t="s">
        <v>126</v>
      </c>
      <c r="F146" s="183">
        <f>F145-F143</f>
        <v>1283776485.9000001</v>
      </c>
      <c r="I146" s="44"/>
      <c r="J146" s="44"/>
      <c r="M146" s="44"/>
      <c r="N146" s="44"/>
    </row>
    <row r="149" spans="4:14">
      <c r="E149" s="3" t="s">
        <v>19</v>
      </c>
      <c r="F149" s="44">
        <f>SUMIFS($E$12:$E$118,$F$12:$F$118,"&gt;="&amp;D131,$F$12:$F$118,"&lt;="&amp;$E$136,$G$12:$G$118,$E$149)</f>
        <v>0</v>
      </c>
    </row>
    <row r="150" spans="4:14">
      <c r="E150" s="3" t="s">
        <v>12</v>
      </c>
      <c r="F150" s="44">
        <f>SUMIFS($E$12:$E$118,$F$12:$F$118,"&gt;="&amp;D131,$F$12:$F$118,"&lt;="&amp;$E$137,$G$12:$G$118,$E$150)</f>
        <v>3113968887.2299995</v>
      </c>
    </row>
    <row r="151" spans="4:14">
      <c r="E151" s="58" t="s">
        <v>25</v>
      </c>
      <c r="F151" s="49">
        <f>SUM(F149:F150)</f>
        <v>3113968887.2299995</v>
      </c>
    </row>
    <row r="152" spans="4:14">
      <c r="E152" s="3" t="s">
        <v>143</v>
      </c>
      <c r="F152" s="44">
        <f>E118-F151</f>
        <v>0</v>
      </c>
    </row>
  </sheetData>
  <protectedRanges>
    <protectedRange sqref="F8:G8 E14 E126 F121:G125 E5:F5 E7:F7 E18:E19 E89:E90 E96:E102 E23:E26" name="Presupuestos"/>
    <protectedRange sqref="E12" name="Presupuestos_1"/>
    <protectedRange sqref="E92 J92" name="Presupuestos_7"/>
    <protectedRange sqref="K107 E94 E104:E106 E108:E109" name="Presupuestos_6_1_1"/>
    <protectedRange sqref="K21:L21" name="Presupuestos_1_1_1_1_1_1_2_1_1"/>
    <protectedRange sqref="E28:E30" name="Presupuestos_3"/>
    <protectedRange sqref="E111:E117" name="Presupuestos_6_1_1_1_2_1"/>
    <protectedRange sqref="E21" name="Presupuestos_1_1_1_1_1_1_2_1_1_3_1_1"/>
    <protectedRange sqref="E32:E83 E85:E87" name="Presupuestos_2_2_1_1_3"/>
  </protectedRanges>
  <autoFilter ref="C12:I125" xr:uid="{713DEDF4-24B5-48DE-A5F0-5E5AF7CE9B8E}"/>
  <mergeCells count="9">
    <mergeCell ref="D143:E143"/>
    <mergeCell ref="D145:E145"/>
    <mergeCell ref="C11:D11"/>
    <mergeCell ref="F11:G11"/>
    <mergeCell ref="T20:U20"/>
    <mergeCell ref="D138:E138"/>
    <mergeCell ref="D139:E139"/>
    <mergeCell ref="D141:E141"/>
    <mergeCell ref="D142:E142"/>
  </mergeCells>
  <conditionalFormatting sqref="I14 I16 I21:I117">
    <cfRule type="cellIs" dxfId="23" priority="5" operator="lessThan">
      <formula>0</formula>
    </cfRule>
    <cfRule type="cellIs" dxfId="22" priority="6" operator="between">
      <formula>6</formula>
      <formula>15</formula>
    </cfRule>
    <cfRule type="cellIs" dxfId="21" priority="7" operator="between">
      <formula>1</formula>
      <formula>5</formula>
    </cfRule>
    <cfRule type="cellIs" dxfId="20" priority="8" operator="between">
      <formula>16</formula>
      <formula>60</formula>
    </cfRule>
  </conditionalFormatting>
  <conditionalFormatting sqref="I18:I19">
    <cfRule type="cellIs" dxfId="19" priority="1" operator="lessThan">
      <formula>0</formula>
    </cfRule>
    <cfRule type="cellIs" dxfId="18" priority="2" operator="between">
      <formula>6</formula>
      <formula>15</formula>
    </cfRule>
    <cfRule type="cellIs" dxfId="17" priority="3" operator="between">
      <formula>1</formula>
      <formula>5</formula>
    </cfRule>
    <cfRule type="cellIs" dxfId="16" priority="4" operator="between">
      <formula>16</formula>
      <formula>60</formula>
    </cfRule>
  </conditionalFormatting>
  <conditionalFormatting sqref="I126">
    <cfRule type="cellIs" dxfId="15" priority="9" operator="lessThan">
      <formula>0</formula>
    </cfRule>
    <cfRule type="cellIs" dxfId="14" priority="10" operator="between">
      <formula>6</formula>
      <formula>15</formula>
    </cfRule>
    <cfRule type="cellIs" dxfId="13" priority="11" operator="between">
      <formula>1</formula>
      <formula>5</formula>
    </cfRule>
    <cfRule type="cellIs" dxfId="12" priority="12" operator="between">
      <formula>16</formula>
      <formula>60</formula>
    </cfRule>
  </conditionalFormatting>
  <dataValidations disablePrompts="1" count="3">
    <dataValidation type="list" allowBlank="1" showInputMessage="1" showErrorMessage="1" sqref="E11" xr:uid="{C008385D-9253-421C-8744-411A5B4E2E4C}">
      <formula1>"ENERO,FEBRERO,MARZO,ABRIL,MAYO,JUNIO,JULIO,AGOSTO,SEPTIEMBRE,OCTUBRE,NOVIEMBRE,DICIEMBRE"</formula1>
    </dataValidation>
    <dataValidation type="list" allowBlank="1" showInputMessage="1" showErrorMessage="1" sqref="G14:G16 G94 G18:G19 E149:E150 G21 G96:G102 G28:G30 G92 G104:G106 G23:G26 G32:G83 G108:G120 G85:G90" xr:uid="{BA670C34-DB47-4959-AC54-C5A0DE570915}">
      <formula1>"Cancelado,Pagar,Sin Pagar"</formula1>
    </dataValidation>
    <dataValidation type="list" allowBlank="1" showInputMessage="1" showErrorMessage="1" sqref="C18:C19" xr:uid="{6BFAD2C5-1DB3-4DB6-ABE5-662F12A8E303}">
      <formula1>"0,1"</formula1>
    </dataValidation>
  </dataValidations>
  <pageMargins left="0.7" right="0.7" top="0.75" bottom="0.75" header="0.3" footer="0.3"/>
  <pageSetup paperSize="9" orientation="portrait" r:id="rId1"/>
  <ignoredErrors>
    <ignoredError sqref="I24:I25 K16 I110:I111 I43:I53 I14:I22 I60:I65 I102:I108 I84:I85 I88:I98 I66:I74 I99:I101 I87 I109 I27:I31" unlockedFormula="1"/>
    <ignoredError sqref="C23:C2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8FEB-7DA9-4C3C-8C23-8D1DAE7DF827}">
  <dimension ref="A1:X112"/>
  <sheetViews>
    <sheetView showGridLines="0" topLeftCell="D2" zoomScaleNormal="100" workbookViewId="0">
      <selection activeCell="E7" sqref="E7"/>
    </sheetView>
  </sheetViews>
  <sheetFormatPr baseColWidth="10" defaultColWidth="11.42578125" defaultRowHeight="15" outlineLevelRow="1"/>
  <cols>
    <col min="1" max="1" width="10.140625" style="1" hidden="1" customWidth="1"/>
    <col min="2" max="2" width="6.5703125" style="1" hidden="1" customWidth="1"/>
    <col min="3" max="3" width="19.140625" style="2" customWidth="1"/>
    <col min="4" max="4" width="95.7109375" style="1" customWidth="1"/>
    <col min="5" max="5" width="31.85546875" style="3" customWidth="1"/>
    <col min="6" max="6" width="21" style="1" customWidth="1"/>
    <col min="7" max="7" width="20" style="1" bestFit="1" customWidth="1"/>
    <col min="8" max="8" width="7.7109375" style="1" hidden="1" customWidth="1"/>
    <col min="9" max="9" width="19.42578125" style="1" bestFit="1" customWidth="1"/>
    <col min="10" max="10" width="31.28515625" style="1" customWidth="1"/>
    <col min="11" max="11" width="21.5703125" style="1" bestFit="1" customWidth="1"/>
    <col min="12" max="12" width="3.140625" style="1" customWidth="1"/>
    <col min="13" max="13" width="15.7109375" style="1" customWidth="1"/>
    <col min="14" max="14" width="15.28515625" style="1" bestFit="1" customWidth="1"/>
    <col min="15" max="15" width="13.85546875" style="1" bestFit="1" customWidth="1"/>
    <col min="16" max="16" width="13.28515625" style="1" bestFit="1" customWidth="1"/>
    <col min="17" max="17" width="14" style="1" bestFit="1" customWidth="1"/>
    <col min="18" max="18" width="11.42578125" style="1"/>
    <col min="19" max="19" width="9.140625" style="1" customWidth="1"/>
    <col min="20" max="20" width="26.140625" style="1" customWidth="1"/>
    <col min="21" max="21" width="19.28515625" style="1" bestFit="1" customWidth="1"/>
    <col min="22" max="22" width="15.28515625" style="1" bestFit="1" customWidth="1"/>
    <col min="23" max="23" width="14" style="1" bestFit="1" customWidth="1"/>
    <col min="24" max="24" width="13" style="1" bestFit="1" customWidth="1"/>
    <col min="25" max="16384" width="11.42578125" style="1"/>
  </cols>
  <sheetData>
    <row r="1" spans="1:24" hidden="1">
      <c r="E1" s="3">
        <v>42400</v>
      </c>
    </row>
    <row r="2" spans="1:24">
      <c r="E2" s="4"/>
    </row>
    <row r="3" spans="1:24">
      <c r="E3" s="4"/>
    </row>
    <row r="4" spans="1:24" s="6" customFormat="1" ht="15.75">
      <c r="D4" s="7" t="s">
        <v>0</v>
      </c>
      <c r="E4" s="8">
        <f>SUBTOTAL(9,E5:E5)</f>
        <v>1283776485.9000001</v>
      </c>
      <c r="F4" s="55"/>
      <c r="G4" s="1"/>
      <c r="H4" s="1"/>
      <c r="I4" s="1"/>
      <c r="J4" s="1"/>
      <c r="K4" s="1"/>
      <c r="L4" s="1"/>
      <c r="M4" s="1"/>
    </row>
    <row r="5" spans="1:24" s="5" customFormat="1" outlineLevel="1">
      <c r="C5" s="9"/>
      <c r="D5" s="10" t="s">
        <v>131</v>
      </c>
      <c r="E5" s="11">
        <f>ABRIL!$F$146</f>
        <v>1283776485.9000001</v>
      </c>
      <c r="F5" s="11"/>
      <c r="G5" s="44"/>
      <c r="H5" s="1"/>
      <c r="I5" s="44"/>
      <c r="J5" s="44"/>
      <c r="K5" s="1"/>
      <c r="L5" s="1"/>
      <c r="M5" s="1"/>
    </row>
    <row r="6" spans="1:24" s="5" customFormat="1" ht="15.75">
      <c r="C6" s="9"/>
      <c r="D6" s="7" t="s">
        <v>97</v>
      </c>
      <c r="E6" s="8">
        <f>SUBTOTAL(9,E7:E7)</f>
        <v>10328391.449999999</v>
      </c>
      <c r="G6" s="49"/>
      <c r="H6" s="1"/>
      <c r="I6" s="44"/>
      <c r="J6" s="1"/>
      <c r="K6" s="1"/>
      <c r="L6" s="1"/>
      <c r="M6" s="1"/>
    </row>
    <row r="7" spans="1:24" s="5" customFormat="1" outlineLevel="1">
      <c r="C7" s="9"/>
      <c r="D7" s="10" t="s">
        <v>373</v>
      </c>
      <c r="E7" s="11">
        <v>10328391.449999999</v>
      </c>
      <c r="F7" s="176"/>
      <c r="G7" s="44"/>
      <c r="H7" s="1"/>
      <c r="I7" s="44"/>
      <c r="J7" s="54"/>
      <c r="K7" s="1"/>
      <c r="L7" s="1"/>
      <c r="M7" s="1"/>
    </row>
    <row r="8" spans="1:24" s="5" customFormat="1" ht="15" customHeight="1">
      <c r="C8" s="9"/>
      <c r="D8" s="17" t="s">
        <v>127</v>
      </c>
      <c r="E8" s="18">
        <f>SUBTOTAL(9,E4:E7)</f>
        <v>1294104877.3500001</v>
      </c>
      <c r="F8" s="28"/>
      <c r="G8" s="28"/>
      <c r="H8" s="1"/>
      <c r="I8" s="1"/>
      <c r="J8" s="1"/>
      <c r="K8" s="1"/>
      <c r="L8" s="1"/>
      <c r="M8" s="1"/>
      <c r="T8" s="19"/>
      <c r="U8" s="20"/>
      <c r="V8" s="15"/>
    </row>
    <row r="9" spans="1:24" s="5" customFormat="1" ht="15.75">
      <c r="C9" s="9"/>
      <c r="D9" s="95"/>
      <c r="E9" s="96"/>
      <c r="G9" s="1"/>
      <c r="H9" s="1"/>
      <c r="I9" s="1"/>
      <c r="J9" s="1"/>
      <c r="K9" s="1"/>
      <c r="L9" s="1"/>
      <c r="M9" s="1"/>
      <c r="T9" s="20"/>
      <c r="U9" s="20"/>
    </row>
    <row r="10" spans="1:24" s="5" customFormat="1" ht="15.75">
      <c r="C10" s="9"/>
      <c r="J10" s="13"/>
      <c r="S10" s="21"/>
      <c r="T10" s="22"/>
      <c r="U10" s="23"/>
    </row>
    <row r="11" spans="1:24" s="5" customFormat="1" ht="15.75">
      <c r="C11" s="233" t="s">
        <v>1</v>
      </c>
      <c r="D11" s="233"/>
      <c r="E11" s="24" t="s">
        <v>374</v>
      </c>
      <c r="F11" s="233" t="s">
        <v>2</v>
      </c>
      <c r="G11" s="233"/>
      <c r="H11" s="24"/>
      <c r="I11" s="25">
        <v>46143</v>
      </c>
      <c r="J11" s="13"/>
      <c r="K11" s="23"/>
      <c r="L11" s="23"/>
      <c r="M11" s="23"/>
      <c r="N11" s="23"/>
      <c r="O11" s="23"/>
      <c r="S11" s="21"/>
      <c r="W11" s="13"/>
      <c r="X11" s="13"/>
    </row>
    <row r="12" spans="1:24" s="5" customFormat="1" ht="16.5" thickBot="1">
      <c r="C12" s="26" t="s">
        <v>3</v>
      </c>
      <c r="D12" s="27" t="s">
        <v>4</v>
      </c>
      <c r="E12" s="28" t="s">
        <v>5</v>
      </c>
      <c r="F12" s="29" t="s">
        <v>6</v>
      </c>
      <c r="G12" s="21" t="s">
        <v>7</v>
      </c>
      <c r="H12" s="21"/>
      <c r="I12" s="30" t="s">
        <v>8</v>
      </c>
      <c r="J12" s="30" t="s">
        <v>9</v>
      </c>
      <c r="S12" s="31"/>
      <c r="W12" s="13"/>
      <c r="X12" s="32"/>
    </row>
    <row r="13" spans="1:24" s="5" customFormat="1" ht="16.5" thickBot="1">
      <c r="D13" s="134" t="s">
        <v>10</v>
      </c>
      <c r="E13" s="135">
        <f>SUBTOTAL(9,E14)</f>
        <v>25815079</v>
      </c>
      <c r="J13" s="13"/>
    </row>
    <row r="14" spans="1:24" s="5" customFormat="1" ht="15.75" outlineLevel="1" thickBot="1">
      <c r="A14" s="5" t="str">
        <f>G14</f>
        <v>Sin Pagar</v>
      </c>
      <c r="B14" s="5" t="e">
        <f>IF(#REF!&lt;=-1,1,IF(#REF!&lt;=5,2,IF(#REF!&lt;=15,3,IF(H14&lt;=60,4))))</f>
        <v>#REF!</v>
      </c>
      <c r="C14" s="9" t="s">
        <v>100</v>
      </c>
      <c r="D14" s="10" t="s">
        <v>99</v>
      </c>
      <c r="E14" s="11">
        <v>25815079</v>
      </c>
      <c r="F14" s="163">
        <v>46170</v>
      </c>
      <c r="G14" s="5" t="s">
        <v>19</v>
      </c>
      <c r="H14" s="5">
        <f>IF(OR(G14="Sin pagar",G14="Pagar"),NETWORKDAYS($I$11,F14,'Festivos Colombia'!$A$3:$A$22),0)</f>
        <v>18</v>
      </c>
      <c r="I14" s="34">
        <f t="shared" ref="I14" si="0">H14</f>
        <v>18</v>
      </c>
    </row>
    <row r="15" spans="1:24" s="5" customFormat="1" ht="16.5" thickBot="1">
      <c r="C15" s="9"/>
      <c r="D15" s="134" t="s">
        <v>13</v>
      </c>
      <c r="E15" s="135">
        <f>SUBTOTAL(9,E16:E16)</f>
        <v>652981100</v>
      </c>
      <c r="F15" s="33"/>
      <c r="I15" s="34"/>
    </row>
    <row r="16" spans="1:24" s="5" customFormat="1" ht="15.75" outlineLevel="1" thickBot="1">
      <c r="A16" s="5" t="str">
        <f t="shared" ref="A16" si="1">G16</f>
        <v>Cancelado</v>
      </c>
      <c r="B16" s="5" t="e">
        <f>IF(#REF!&lt;=-1,1,IF(#REF!&lt;=5,2,IF(#REF!&lt;=15,3,IF(H16&lt;=60,4))))</f>
        <v>#REF!</v>
      </c>
      <c r="C16" s="9"/>
      <c r="D16" s="10" t="s">
        <v>103</v>
      </c>
      <c r="E16" s="11">
        <v>652981100</v>
      </c>
      <c r="F16" s="33">
        <v>46155</v>
      </c>
      <c r="G16" s="5" t="s">
        <v>12</v>
      </c>
      <c r="H16" s="5">
        <f>IF(OR(G16="Sin pagar",G16="Pagar"),NETWORKDAYS($I$11,F16,'Festivos Colombia'!$A$3:$A$22),0)</f>
        <v>0</v>
      </c>
      <c r="I16" s="34">
        <f t="shared" ref="I16" si="2">H16</f>
        <v>0</v>
      </c>
      <c r="J16" s="11"/>
      <c r="K16" s="13"/>
      <c r="L16" s="13"/>
      <c r="M16" s="144"/>
    </row>
    <row r="17" spans="1:21" s="5" customFormat="1" ht="16.5" thickBot="1">
      <c r="C17" s="9"/>
      <c r="D17" s="134" t="s">
        <v>14</v>
      </c>
      <c r="E17" s="135">
        <f>SUBTOTAL(9,E18:E20)</f>
        <v>81747678</v>
      </c>
      <c r="J17" s="35"/>
      <c r="K17" s="13"/>
      <c r="L17" s="13"/>
    </row>
    <row r="18" spans="1:21" s="5" customFormat="1" outlineLevel="1">
      <c r="A18" s="5" t="str">
        <f>G18</f>
        <v>Cancelado</v>
      </c>
      <c r="B18" s="5" t="e">
        <f>IF(#REF!&lt;=-1,1,IF(#REF!&lt;=5,2,IF(#REF!&lt;=15,3,IF(H18&lt;=60,4))))</f>
        <v>#REF!</v>
      </c>
      <c r="C18" s="9">
        <v>1</v>
      </c>
      <c r="D18" s="10" t="s">
        <v>388</v>
      </c>
      <c r="E18" s="11">
        <v>4166667</v>
      </c>
      <c r="F18" s="163">
        <v>46154</v>
      </c>
      <c r="G18" s="5" t="s">
        <v>12</v>
      </c>
      <c r="H18" s="5">
        <f>IF(OR(G18="Sin pagar",G18="Pagar"),NETWORKDAYS($I$11,F18,'Festivos Colombia'!$A$3:$A$22),0)</f>
        <v>0</v>
      </c>
      <c r="I18" s="36">
        <f>H18</f>
        <v>0</v>
      </c>
      <c r="J18" s="13"/>
      <c r="K18" s="13"/>
      <c r="L18" s="13"/>
      <c r="M18" s="13"/>
      <c r="N18" s="13"/>
      <c r="P18" s="13"/>
      <c r="Q18" s="13"/>
    </row>
    <row r="19" spans="1:21" s="5" customFormat="1" outlineLevel="1">
      <c r="A19" s="5" t="str">
        <f>G19</f>
        <v>Sin Pagar</v>
      </c>
      <c r="B19" s="5" t="e">
        <f>IF(#REF!&lt;=-1,1,IF(#REF!&lt;=5,2,IF(#REF!&lt;=15,3,IF(H19&lt;=60,4))))</f>
        <v>#REF!</v>
      </c>
      <c r="C19" s="9">
        <v>1</v>
      </c>
      <c r="D19" s="10" t="s">
        <v>109</v>
      </c>
      <c r="E19" s="11">
        <v>18566667</v>
      </c>
      <c r="F19" s="163">
        <v>46171</v>
      </c>
      <c r="G19" s="5" t="s">
        <v>19</v>
      </c>
      <c r="H19" s="5">
        <f>IF(OR(G19="Sin pagar",G19="Pagar"),NETWORKDAYS($I$11,F19,'Festivos Colombia'!$A$3:$A$22),0)</f>
        <v>19</v>
      </c>
      <c r="I19" s="36">
        <f>H19</f>
        <v>19</v>
      </c>
      <c r="K19" s="13"/>
      <c r="L19" s="13"/>
    </row>
    <row r="20" spans="1:21" s="5" customFormat="1" ht="15.75" outlineLevel="1" thickBot="1">
      <c r="A20" s="5" t="str">
        <f>G20</f>
        <v>Sin Pagar</v>
      </c>
      <c r="B20" s="5" t="e">
        <f>IF(#REF!&lt;=-1,1,IF(#REF!&lt;=5,2,IF(#REF!&lt;=15,3,IF(H20&lt;=60,4))))</f>
        <v>#REF!</v>
      </c>
      <c r="C20" s="9">
        <v>1</v>
      </c>
      <c r="D20" s="10" t="s">
        <v>101</v>
      </c>
      <c r="E20" s="11">
        <v>59014344</v>
      </c>
      <c r="F20" s="163">
        <v>46171</v>
      </c>
      <c r="G20" s="5" t="s">
        <v>19</v>
      </c>
      <c r="H20" s="5">
        <f>IF(OR(G20="Sin pagar",G20="Pagar"),NETWORKDAYS($I$11,F20,'Festivos Colombia'!$A$3:$A$22),0)</f>
        <v>19</v>
      </c>
      <c r="I20" s="36">
        <f>H20</f>
        <v>19</v>
      </c>
      <c r="J20" s="13"/>
      <c r="K20" s="13"/>
      <c r="L20" s="13"/>
      <c r="M20" s="13"/>
      <c r="N20" s="13"/>
      <c r="P20" s="13"/>
      <c r="Q20" s="13"/>
    </row>
    <row r="21" spans="1:21" s="5" customFormat="1" ht="16.5" thickBot="1">
      <c r="C21" s="9"/>
      <c r="D21" s="134" t="s">
        <v>15</v>
      </c>
      <c r="E21" s="135">
        <f>SUBTOTAL(9,E22:E24)</f>
        <v>437515000</v>
      </c>
      <c r="H21" s="5">
        <f>IF(OR(G21="Sin pagar",G21="Pagar"),NETWORKDAYS($I$11,F21,'Festivos Colombia'!$A$3:$A$22),0)</f>
        <v>0</v>
      </c>
      <c r="I21" s="34">
        <f t="shared" ref="I21:I22" si="3">H21</f>
        <v>0</v>
      </c>
      <c r="J21" s="13"/>
      <c r="T21" s="234"/>
      <c r="U21" s="234"/>
    </row>
    <row r="22" spans="1:21" s="5" customFormat="1" outlineLevel="1">
      <c r="A22" s="5" t="str">
        <f>G22</f>
        <v>Cancelado</v>
      </c>
      <c r="B22" s="5" t="e">
        <f>IF(#REF!&lt;=-1,1,IF(#REF!&lt;=5,2,IF(#REF!&lt;=15,3,IF(H22&lt;=60,4))))</f>
        <v>#REF!</v>
      </c>
      <c r="C22" s="9"/>
      <c r="D22" s="57" t="s">
        <v>16</v>
      </c>
      <c r="E22" s="11">
        <v>400001000</v>
      </c>
      <c r="F22" s="33">
        <v>46156</v>
      </c>
      <c r="G22" s="5" t="s">
        <v>12</v>
      </c>
      <c r="H22" s="5">
        <f>IF(OR(G22="Sin pagar",G22="Pagar"),NETWORKDAYS($I$11,F22,'Festivos Colombia'!$A$3:$A$22),0)</f>
        <v>0</v>
      </c>
      <c r="I22" s="34">
        <f t="shared" si="3"/>
        <v>0</v>
      </c>
      <c r="J22" s="145">
        <f>E22+E23</f>
        <v>437109000</v>
      </c>
      <c r="K22" s="16"/>
      <c r="L22" s="16"/>
      <c r="M22" s="13"/>
      <c r="U22" s="56"/>
    </row>
    <row r="23" spans="1:21" s="5" customFormat="1" outlineLevel="1">
      <c r="A23" s="5" t="str">
        <f>G23</f>
        <v>Cancelado</v>
      </c>
      <c r="B23" s="5" t="e">
        <f>IF(#REF!&lt;=-1,1,IF(#REF!&lt;=5,2,IF(#REF!&lt;=15,3,IF(H23&lt;=60,4))))</f>
        <v>#REF!</v>
      </c>
      <c r="C23" s="9"/>
      <c r="D23" s="57" t="s">
        <v>375</v>
      </c>
      <c r="E23" s="11">
        <v>37108000</v>
      </c>
      <c r="F23" s="33">
        <v>46156</v>
      </c>
      <c r="G23" s="5" t="s">
        <v>12</v>
      </c>
      <c r="H23" s="5">
        <f>IF(OR(G23="Sin pagar",G23="Pagar"),NETWORKDAYS($I$11,F23,'Festivos Colombia'!$A$3:$A$22),0)</f>
        <v>0</v>
      </c>
      <c r="I23" s="34">
        <f t="shared" ref="I23" si="4">H23</f>
        <v>0</v>
      </c>
      <c r="J23" s="145"/>
      <c r="K23" s="16"/>
      <c r="L23" s="16"/>
      <c r="M23" s="13"/>
      <c r="U23" s="56"/>
    </row>
    <row r="24" spans="1:21" s="5" customFormat="1" ht="15.75" outlineLevel="1" thickBot="1">
      <c r="A24" s="5" t="str">
        <f>G24</f>
        <v>Sin Pagar</v>
      </c>
      <c r="B24" s="5" t="e">
        <f>IF(#REF!&lt;=-1,1,IF(#REF!&lt;=5,2,IF(#REF!&lt;=15,3,IF(H24&lt;=60,4))))</f>
        <v>#REF!</v>
      </c>
      <c r="C24" s="9"/>
      <c r="D24" s="57" t="s">
        <v>389</v>
      </c>
      <c r="E24" s="11">
        <v>406000</v>
      </c>
      <c r="F24" s="33">
        <v>46164</v>
      </c>
      <c r="G24" s="5" t="s">
        <v>19</v>
      </c>
      <c r="H24" s="5">
        <f>IF(OR(G24="Sin pagar",G24="Pagar"),NETWORKDAYS($I$11,F24,'Festivos Colombia'!$A$3:$A$22),0)</f>
        <v>14</v>
      </c>
      <c r="I24" s="34">
        <f t="shared" ref="I24" si="5">H24</f>
        <v>14</v>
      </c>
      <c r="J24" s="145"/>
      <c r="K24" s="16"/>
      <c r="L24" s="16"/>
      <c r="M24" s="13"/>
      <c r="U24" s="56"/>
    </row>
    <row r="25" spans="1:21" s="5" customFormat="1" ht="16.5" thickBot="1">
      <c r="D25" s="134" t="s">
        <v>17</v>
      </c>
      <c r="E25" s="135">
        <f>SUBTOTAL(9,E26:E28)</f>
        <v>1712130</v>
      </c>
      <c r="H25" s="5">
        <f>IF(OR(G25="Sin pagar",G25="Pagar"),NETWORKDAYS($I$11,F25,'Festivos Colombia'!$A$3:$A$22),0)</f>
        <v>0</v>
      </c>
      <c r="K25" s="12"/>
      <c r="L25" s="12"/>
      <c r="M25" s="12"/>
      <c r="N25" s="12"/>
      <c r="O25" s="12"/>
      <c r="T25" s="12"/>
      <c r="U25" s="12"/>
    </row>
    <row r="26" spans="1:21" s="5" customFormat="1" ht="14.25" customHeight="1" outlineLevel="1">
      <c r="A26" s="5" t="str">
        <f>G26</f>
        <v>Cancelado</v>
      </c>
      <c r="B26" s="5" t="e">
        <f>IF(#REF!&lt;=-1,1,IF(#REF!&lt;=5,2,IF(#REF!&lt;=15,3,IF(H26&lt;=60,4))))</f>
        <v>#REF!</v>
      </c>
      <c r="C26" s="226" t="s">
        <v>385</v>
      </c>
      <c r="D26" s="10" t="s">
        <v>43</v>
      </c>
      <c r="E26" s="14">
        <v>471136</v>
      </c>
      <c r="F26" s="33">
        <v>46159</v>
      </c>
      <c r="G26" s="5" t="s">
        <v>12</v>
      </c>
      <c r="H26" s="5">
        <f>IF(OR(G26="Sin pagar",G26="Pagar"),NETWORKDAYS($I$11,F26,'Festivos Colombia'!$A$3:$A$22),0)</f>
        <v>0</v>
      </c>
      <c r="I26" s="36">
        <f>H26</f>
        <v>0</v>
      </c>
      <c r="J26" s="166"/>
      <c r="K26" s="154"/>
      <c r="L26" s="12"/>
      <c r="M26" s="12"/>
      <c r="N26" s="12"/>
      <c r="O26" s="12"/>
      <c r="T26" s="12"/>
      <c r="U26" s="12"/>
    </row>
    <row r="27" spans="1:21" s="5" customFormat="1" ht="14.25" customHeight="1" outlineLevel="1">
      <c r="A27" s="5" t="str">
        <f>G27</f>
        <v>Cancelado</v>
      </c>
      <c r="B27" s="5" t="e">
        <f>IF(#REF!&lt;=-1,1,IF(#REF!&lt;=5,2,IF(#REF!&lt;=15,3,IF(H27&lt;=60,4))))</f>
        <v>#REF!</v>
      </c>
      <c r="C27" s="175" t="s">
        <v>387</v>
      </c>
      <c r="D27" s="10" t="s">
        <v>43</v>
      </c>
      <c r="E27" s="14">
        <v>828400</v>
      </c>
      <c r="F27" s="33">
        <v>46155</v>
      </c>
      <c r="G27" s="5" t="s">
        <v>12</v>
      </c>
      <c r="H27" s="5">
        <f>IF(OR(G27="Sin pagar",G27="Pagar"),NETWORKDAYS($I$11,F27,'Festivos Colombia'!$A$3:$A$22),0)</f>
        <v>0</v>
      </c>
      <c r="I27" s="36">
        <f>H27</f>
        <v>0</v>
      </c>
      <c r="J27" s="166"/>
      <c r="K27" s="154"/>
      <c r="L27" s="12"/>
      <c r="M27" s="12"/>
      <c r="N27" s="12"/>
      <c r="O27" s="12"/>
      <c r="T27" s="12"/>
      <c r="U27" s="12"/>
    </row>
    <row r="28" spans="1:21" s="5" customFormat="1" ht="14.25" customHeight="1" outlineLevel="1" thickBot="1">
      <c r="A28" s="5" t="str">
        <f>G28</f>
        <v>Cancelado</v>
      </c>
      <c r="B28" s="5" t="e">
        <f>IF(#REF!&lt;=-1,1,IF(#REF!&lt;=5,2,IF(#REF!&lt;=15,3,IF(H28&lt;=60,4))))</f>
        <v>#REF!</v>
      </c>
      <c r="C28" s="175" t="s">
        <v>386</v>
      </c>
      <c r="D28" s="10" t="s">
        <v>43</v>
      </c>
      <c r="E28" s="14">
        <v>412594</v>
      </c>
      <c r="F28" s="33">
        <v>46155</v>
      </c>
      <c r="G28" s="5" t="s">
        <v>12</v>
      </c>
      <c r="H28" s="5">
        <f>IF(OR(G28="Sin pagar",G28="Pagar"),NETWORKDAYS($I$11,F28,'Festivos Colombia'!$A$3:$A$22),0)</f>
        <v>0</v>
      </c>
      <c r="I28" s="36">
        <f>H28</f>
        <v>0</v>
      </c>
      <c r="J28" s="166"/>
      <c r="K28" s="154"/>
      <c r="L28" s="12"/>
      <c r="M28" s="12"/>
      <c r="N28" s="12"/>
      <c r="O28" s="12"/>
      <c r="T28" s="12"/>
      <c r="U28" s="12"/>
    </row>
    <row r="29" spans="1:21" s="12" customFormat="1" ht="16.5" thickBot="1">
      <c r="A29" s="5"/>
      <c r="B29" s="5"/>
      <c r="D29" s="134" t="s">
        <v>21</v>
      </c>
      <c r="E29" s="135">
        <f>SUBTOTAL(9,E30:E31)</f>
        <v>16795651</v>
      </c>
      <c r="H29" s="5">
        <f>IF(OR(G29="Sin pagar",G29="Pagar"),NETWORKDAYS($I$11,F29,'Festivos Colombia'!$A$3:$A$22),0)</f>
        <v>0</v>
      </c>
      <c r="J29" s="5"/>
      <c r="K29" s="5"/>
      <c r="L29" s="5"/>
      <c r="M29" s="5"/>
      <c r="N29" s="5"/>
      <c r="O29" s="5"/>
      <c r="S29" s="5"/>
      <c r="T29" s="5"/>
      <c r="U29" s="5"/>
    </row>
    <row r="30" spans="1:21" s="5" customFormat="1" ht="14.25" customHeight="1" outlineLevel="1">
      <c r="A30" s="5" t="str">
        <f t="shared" ref="A30:A31" si="6">G30</f>
        <v>Cancelado</v>
      </c>
      <c r="B30" s="5" t="e">
        <f>IF(#REF!&lt;=-1,1,IF(#REF!&lt;=5,2,IF(#REF!&lt;=15,3,IF(H30&lt;=60,4))))</f>
        <v>#REF!</v>
      </c>
      <c r="C30" s="37">
        <v>12310648205</v>
      </c>
      <c r="D30" s="10" t="s">
        <v>318</v>
      </c>
      <c r="E30" s="11">
        <v>1081351</v>
      </c>
      <c r="F30" s="33">
        <v>46154</v>
      </c>
      <c r="G30" s="5" t="s">
        <v>12</v>
      </c>
      <c r="H30" s="5">
        <f>IF(OR(G30="Sin pagar",G30="Pagar"),NETWORKDAYS($I$11,F30,'Festivos Colombia'!$A$3:$A$22),0)</f>
        <v>0</v>
      </c>
      <c r="I30" s="36">
        <f t="shared" ref="I30:I31" si="7">H30</f>
        <v>0</v>
      </c>
      <c r="J30" s="166"/>
      <c r="K30" s="12"/>
      <c r="L30" s="12"/>
      <c r="M30" s="12"/>
      <c r="N30" s="12"/>
      <c r="O30" s="12"/>
      <c r="T30" s="12"/>
      <c r="U30" s="12"/>
    </row>
    <row r="31" spans="1:21" s="5" customFormat="1" ht="14.25" customHeight="1" outlineLevel="1" thickBot="1">
      <c r="A31" s="5" t="str">
        <f t="shared" si="6"/>
        <v>Cancelado</v>
      </c>
      <c r="B31" s="5" t="e">
        <f>IF(#REF!&lt;=-1,1,IF(#REF!&lt;=5,2,IF(#REF!&lt;=15,3,IF(H31&lt;=60,4))))</f>
        <v>#REF!</v>
      </c>
      <c r="C31" s="37">
        <v>12310649246</v>
      </c>
      <c r="D31" s="10" t="s">
        <v>319</v>
      </c>
      <c r="E31" s="11">
        <v>15714300</v>
      </c>
      <c r="F31" s="33">
        <v>46154</v>
      </c>
      <c r="G31" s="5" t="s">
        <v>12</v>
      </c>
      <c r="H31" s="5">
        <f>IF(OR(G31="Sin pagar",G31="Pagar"),NETWORKDAYS($I$11,F31,'Festivos Colombia'!$A$3:$A$22),0)</f>
        <v>0</v>
      </c>
      <c r="I31" s="36">
        <f t="shared" si="7"/>
        <v>0</v>
      </c>
      <c r="J31" s="166"/>
      <c r="K31" s="12"/>
      <c r="L31" s="12"/>
      <c r="M31" s="12"/>
      <c r="N31" s="12"/>
      <c r="O31" s="12"/>
      <c r="T31" s="12"/>
      <c r="U31" s="12"/>
    </row>
    <row r="32" spans="1:21" s="5" customFormat="1" ht="16.5" thickBot="1">
      <c r="C32" s="38"/>
      <c r="D32" s="136" t="s">
        <v>23</v>
      </c>
      <c r="E32" s="135">
        <f>SUBTOTAL(9,E33:E52)</f>
        <v>131346035.53999999</v>
      </c>
      <c r="G32" s="13"/>
      <c r="I32" s="13"/>
      <c r="K32" s="13"/>
      <c r="L32" s="13"/>
    </row>
    <row r="33" spans="3:12" s="5" customFormat="1" outlineLevel="1">
      <c r="C33" s="38"/>
      <c r="D33" s="10" t="s">
        <v>305</v>
      </c>
      <c r="E33" s="158">
        <v>7658879</v>
      </c>
      <c r="F33" s="33">
        <v>46149</v>
      </c>
      <c r="G33" s="5" t="s">
        <v>12</v>
      </c>
      <c r="H33" s="5">
        <f>IF(OR(G33="Sin pagar",G33="Pagar"),NETWORKDAYS($I$11,F33,'Festivos Colombia'!$A$3:$A$22),0)</f>
        <v>0</v>
      </c>
      <c r="I33" s="36">
        <f>H33</f>
        <v>0</v>
      </c>
      <c r="K33" s="13"/>
      <c r="L33" s="13"/>
    </row>
    <row r="34" spans="3:12" s="5" customFormat="1" outlineLevel="1">
      <c r="C34" s="38"/>
      <c r="D34" s="10" t="s">
        <v>219</v>
      </c>
      <c r="E34" s="158">
        <v>1337160</v>
      </c>
      <c r="F34" s="33">
        <v>46149</v>
      </c>
      <c r="G34" s="5" t="s">
        <v>12</v>
      </c>
      <c r="H34" s="5">
        <f>IF(OR(G34="Sin pagar",G34="Pagar"),NETWORKDAYS($I$11,F34,'Festivos Colombia'!$A$3:$A$22),0)</f>
        <v>0</v>
      </c>
      <c r="I34" s="36">
        <f t="shared" ref="I34:I36" si="8">H34</f>
        <v>0</v>
      </c>
      <c r="K34" s="13"/>
      <c r="L34" s="13"/>
    </row>
    <row r="35" spans="3:12" s="5" customFormat="1" outlineLevel="1">
      <c r="C35" s="38"/>
      <c r="D35" s="10" t="s">
        <v>118</v>
      </c>
      <c r="E35" s="158">
        <v>518478</v>
      </c>
      <c r="F35" s="33">
        <v>46149</v>
      </c>
      <c r="G35" s="5" t="s">
        <v>12</v>
      </c>
      <c r="H35" s="5">
        <f>IF(OR(G35="Sin pagar",G35="Pagar"),NETWORKDAYS($I$11,F35,'Festivos Colombia'!$A$3:$A$22),0)</f>
        <v>0</v>
      </c>
      <c r="I35" s="36">
        <f t="shared" si="8"/>
        <v>0</v>
      </c>
      <c r="K35" s="13"/>
      <c r="L35" s="13"/>
    </row>
    <row r="36" spans="3:12" s="5" customFormat="1" outlineLevel="1">
      <c r="C36" s="38"/>
      <c r="D36" s="10" t="s">
        <v>307</v>
      </c>
      <c r="E36" s="158">
        <v>5242497.57</v>
      </c>
      <c r="F36" s="33">
        <v>46149</v>
      </c>
      <c r="G36" s="5" t="s">
        <v>12</v>
      </c>
      <c r="H36" s="5">
        <f>IF(OR(G36="Sin pagar",G36="Pagar"),NETWORKDAYS($I$11,F36,'Festivos Colombia'!$A$3:$A$22),0)</f>
        <v>0</v>
      </c>
      <c r="I36" s="36">
        <f t="shared" si="8"/>
        <v>0</v>
      </c>
      <c r="K36" s="13"/>
      <c r="L36" s="13"/>
    </row>
    <row r="37" spans="3:12" s="5" customFormat="1" outlineLevel="1">
      <c r="C37" s="38"/>
      <c r="D37" s="10" t="s">
        <v>287</v>
      </c>
      <c r="E37" s="158">
        <v>1944281</v>
      </c>
      <c r="F37" s="33">
        <v>46149</v>
      </c>
      <c r="G37" s="5" t="s">
        <v>12</v>
      </c>
      <c r="H37" s="5">
        <f>IF(OR(G37="Sin pagar",G37="Pagar"),NETWORKDAYS($I$11,F37,'Festivos Colombia'!$A$3:$A$22),0)</f>
        <v>0</v>
      </c>
      <c r="I37" s="36">
        <f>H37</f>
        <v>0</v>
      </c>
      <c r="K37" s="13"/>
      <c r="L37" s="13"/>
    </row>
    <row r="38" spans="3:12" s="5" customFormat="1" outlineLevel="1">
      <c r="C38" s="38"/>
      <c r="D38" s="10" t="s">
        <v>244</v>
      </c>
      <c r="E38" s="158">
        <v>1270939</v>
      </c>
      <c r="F38" s="33">
        <v>46149</v>
      </c>
      <c r="G38" s="5" t="s">
        <v>12</v>
      </c>
      <c r="H38" s="5">
        <f>IF(OR(G38="Sin pagar",G38="Pagar"),NETWORKDAYS($I$11,F38,'Festivos Colombia'!$A$3:$A$22),0)</f>
        <v>0</v>
      </c>
      <c r="I38" s="36">
        <f t="shared" ref="I38:I49" si="9">H38</f>
        <v>0</v>
      </c>
      <c r="K38" s="13"/>
      <c r="L38" s="13"/>
    </row>
    <row r="39" spans="3:12" s="5" customFormat="1" outlineLevel="1">
      <c r="C39" s="38"/>
      <c r="D39" s="10" t="s">
        <v>337</v>
      </c>
      <c r="E39" s="158">
        <v>9648516</v>
      </c>
      <c r="F39" s="33">
        <v>46149</v>
      </c>
      <c r="G39" s="5" t="s">
        <v>12</v>
      </c>
      <c r="H39" s="5">
        <f>IF(OR(G39="Sin pagar",G39="Pagar"),NETWORKDAYS($I$11,F39,'Festivos Colombia'!$A$3:$A$22),0)</f>
        <v>0</v>
      </c>
      <c r="I39" s="36">
        <f t="shared" si="9"/>
        <v>0</v>
      </c>
      <c r="K39" s="13"/>
      <c r="L39" s="13"/>
    </row>
    <row r="40" spans="3:12" s="5" customFormat="1" outlineLevel="1">
      <c r="C40" s="38"/>
      <c r="D40" s="10" t="s">
        <v>314</v>
      </c>
      <c r="E40" s="158">
        <v>9022977</v>
      </c>
      <c r="F40" s="33">
        <v>46149</v>
      </c>
      <c r="G40" s="5" t="s">
        <v>12</v>
      </c>
      <c r="H40" s="5">
        <f>IF(OR(G40="Sin pagar",G40="Pagar"),NETWORKDAYS($I$11,F40,'Festivos Colombia'!$A$3:$A$22),0)</f>
        <v>0</v>
      </c>
      <c r="I40" s="36">
        <f t="shared" si="9"/>
        <v>0</v>
      </c>
      <c r="K40" s="13"/>
      <c r="L40" s="13"/>
    </row>
    <row r="41" spans="3:12" s="5" customFormat="1" outlineLevel="1">
      <c r="C41" s="38"/>
      <c r="D41" s="10" t="s">
        <v>305</v>
      </c>
      <c r="E41" s="158">
        <v>2214750</v>
      </c>
      <c r="F41" s="33">
        <v>46157</v>
      </c>
      <c r="G41" s="5" t="s">
        <v>12</v>
      </c>
      <c r="H41" s="5">
        <f>IF(OR(G41="Sin pagar",G41="Pagar"),NETWORKDAYS($I$11,F41,'Festivos Colombia'!$A$3:$A$22),0)</f>
        <v>0</v>
      </c>
      <c r="I41" s="36">
        <f t="shared" si="9"/>
        <v>0</v>
      </c>
      <c r="K41" s="13"/>
      <c r="L41" s="13"/>
    </row>
    <row r="42" spans="3:12" s="5" customFormat="1" outlineLevel="1">
      <c r="C42" s="38"/>
      <c r="D42" s="10" t="s">
        <v>219</v>
      </c>
      <c r="E42" s="158">
        <v>63900</v>
      </c>
      <c r="F42" s="33">
        <v>46157</v>
      </c>
      <c r="G42" s="5" t="s">
        <v>12</v>
      </c>
      <c r="H42" s="5">
        <f>IF(OR(G42="Sin pagar",G42="Pagar"),NETWORKDAYS($I$11,F42,'Festivos Colombia'!$A$3:$A$22),0)</f>
        <v>0</v>
      </c>
      <c r="I42" s="36">
        <f t="shared" si="9"/>
        <v>0</v>
      </c>
      <c r="K42" s="13"/>
      <c r="L42" s="13"/>
    </row>
    <row r="43" spans="3:12" s="5" customFormat="1" outlineLevel="1">
      <c r="C43" s="38"/>
      <c r="D43" s="10" t="s">
        <v>234</v>
      </c>
      <c r="E43" s="158">
        <v>1679100</v>
      </c>
      <c r="F43" s="33">
        <v>46157</v>
      </c>
      <c r="G43" s="5" t="s">
        <v>12</v>
      </c>
      <c r="H43" s="5">
        <f>IF(OR(G43="Sin pagar",G43="Pagar"),NETWORKDAYS($I$11,F43,'Festivos Colombia'!$A$3:$A$22),0)</f>
        <v>0</v>
      </c>
      <c r="I43" s="36">
        <f t="shared" si="9"/>
        <v>0</v>
      </c>
      <c r="K43" s="13"/>
      <c r="L43" s="13"/>
    </row>
    <row r="44" spans="3:12" s="5" customFormat="1" outlineLevel="1">
      <c r="C44" s="38"/>
      <c r="D44" s="10" t="s">
        <v>118</v>
      </c>
      <c r="E44" s="158">
        <v>79400</v>
      </c>
      <c r="F44" s="33">
        <v>46157</v>
      </c>
      <c r="G44" s="5" t="s">
        <v>12</v>
      </c>
      <c r="H44" s="5">
        <f>IF(OR(G44="Sin pagar",G44="Pagar"),NETWORKDAYS($I$11,F44,'Festivos Colombia'!$A$3:$A$22),0)</f>
        <v>0</v>
      </c>
      <c r="I44" s="36">
        <f t="shared" si="9"/>
        <v>0</v>
      </c>
      <c r="K44" s="13"/>
      <c r="L44" s="13"/>
    </row>
    <row r="45" spans="3:12" s="5" customFormat="1" outlineLevel="1">
      <c r="C45" s="38"/>
      <c r="D45" s="10" t="s">
        <v>113</v>
      </c>
      <c r="E45" s="158">
        <v>2229958</v>
      </c>
      <c r="F45" s="33">
        <v>46157</v>
      </c>
      <c r="G45" s="5" t="s">
        <v>12</v>
      </c>
      <c r="H45" s="5">
        <f>IF(OR(G45="Sin pagar",G45="Pagar"),NETWORKDAYS($I$11,F45,'Festivos Colombia'!$A$3:$A$22),0)</f>
        <v>0</v>
      </c>
      <c r="I45" s="36">
        <f t="shared" si="9"/>
        <v>0</v>
      </c>
      <c r="K45" s="13"/>
      <c r="L45" s="13"/>
    </row>
    <row r="46" spans="3:12" s="5" customFormat="1" outlineLevel="1">
      <c r="C46" s="38"/>
      <c r="D46" s="10" t="s">
        <v>287</v>
      </c>
      <c r="E46" s="158">
        <v>1485361</v>
      </c>
      <c r="F46" s="33">
        <v>46157</v>
      </c>
      <c r="G46" s="5" t="s">
        <v>12</v>
      </c>
      <c r="H46" s="5">
        <f>IF(OR(G46="Sin pagar",G46="Pagar"),NETWORKDAYS($I$11,F46,'Festivos Colombia'!$A$3:$A$22),0)</f>
        <v>0</v>
      </c>
      <c r="I46" s="36">
        <f t="shared" si="9"/>
        <v>0</v>
      </c>
      <c r="K46" s="13"/>
      <c r="L46" s="13"/>
    </row>
    <row r="47" spans="3:12" s="5" customFormat="1" outlineLevel="1">
      <c r="C47" s="38"/>
      <c r="D47" s="10" t="s">
        <v>110</v>
      </c>
      <c r="E47" s="158">
        <v>8594261.8599999994</v>
      </c>
      <c r="F47" s="33">
        <v>46157</v>
      </c>
      <c r="G47" s="5" t="s">
        <v>12</v>
      </c>
      <c r="H47" s="5">
        <f>IF(OR(G47="Sin pagar",G47="Pagar"),NETWORKDAYS($I$11,F47,'Festivos Colombia'!$A$3:$A$22),0)</f>
        <v>0</v>
      </c>
      <c r="I47" s="36">
        <f t="shared" si="9"/>
        <v>0</v>
      </c>
      <c r="K47" s="13"/>
      <c r="L47" s="13"/>
    </row>
    <row r="48" spans="3:12" s="5" customFormat="1" outlineLevel="1">
      <c r="C48" s="38"/>
      <c r="D48" s="10" t="s">
        <v>124</v>
      </c>
      <c r="E48" s="158">
        <v>1679100</v>
      </c>
      <c r="F48" s="33">
        <v>46157</v>
      </c>
      <c r="G48" s="5" t="s">
        <v>12</v>
      </c>
      <c r="H48" s="5">
        <f>IF(OR(G48="Sin pagar",G48="Pagar"),NETWORKDAYS($I$11,F48,'Festivos Colombia'!$A$3:$A$22),0)</f>
        <v>0</v>
      </c>
      <c r="I48" s="36">
        <f t="shared" si="9"/>
        <v>0</v>
      </c>
      <c r="K48" s="13"/>
      <c r="L48" s="13"/>
    </row>
    <row r="49" spans="1:19" s="5" customFormat="1" outlineLevel="1">
      <c r="C49" s="38"/>
      <c r="D49" s="10" t="s">
        <v>314</v>
      </c>
      <c r="E49" s="158">
        <v>1802824.11</v>
      </c>
      <c r="F49" s="33">
        <v>46157</v>
      </c>
      <c r="G49" s="5" t="s">
        <v>12</v>
      </c>
      <c r="H49" s="5">
        <f>IF(OR(G49="Sin pagar",G49="Pagar"),NETWORKDAYS($I$11,F49,'Festivos Colombia'!$A$3:$A$22),0)</f>
        <v>0</v>
      </c>
      <c r="I49" s="36">
        <f t="shared" si="9"/>
        <v>0</v>
      </c>
      <c r="K49" s="13"/>
      <c r="L49" s="13"/>
    </row>
    <row r="50" spans="1:19" s="5" customFormat="1" outlineLevel="1">
      <c r="C50" s="38"/>
      <c r="D50" s="10" t="s">
        <v>390</v>
      </c>
      <c r="E50" s="158">
        <v>1873653</v>
      </c>
      <c r="F50" s="33">
        <v>46157</v>
      </c>
      <c r="G50" s="5" t="s">
        <v>12</v>
      </c>
      <c r="H50" s="5">
        <f>IF(OR(G50="Sin pagar",G50="Pagar"),NETWORKDAYS($I$11,F50,'Festivos Colombia'!$A$3:$A$22),0)</f>
        <v>0</v>
      </c>
      <c r="I50" s="36">
        <f t="shared" ref="I50" si="10">H50</f>
        <v>0</v>
      </c>
      <c r="K50" s="13"/>
      <c r="L50" s="13"/>
    </row>
    <row r="51" spans="1:19" s="5" customFormat="1" outlineLevel="1">
      <c r="C51" s="38"/>
      <c r="D51" s="10" t="s">
        <v>376</v>
      </c>
      <c r="E51" s="158">
        <v>33000000</v>
      </c>
      <c r="F51" s="33">
        <v>46164</v>
      </c>
      <c r="G51" s="5" t="s">
        <v>19</v>
      </c>
      <c r="H51" s="5">
        <f>IF(OR(G51="Sin pagar",G51="Pagar"),NETWORKDAYS($I$11,F51,'Festivos Colombia'!$A$3:$A$22),0)</f>
        <v>14</v>
      </c>
      <c r="I51" s="36">
        <f t="shared" ref="I51:I52" si="11">H51</f>
        <v>14</v>
      </c>
      <c r="K51" s="13"/>
      <c r="L51" s="13"/>
    </row>
    <row r="52" spans="1:19" s="5" customFormat="1" ht="15.75" outlineLevel="1" thickBot="1">
      <c r="C52" s="38"/>
      <c r="D52" s="10" t="s">
        <v>376</v>
      </c>
      <c r="E52" s="158">
        <f>160000000/4</f>
        <v>40000000</v>
      </c>
      <c r="F52" s="33">
        <v>46171</v>
      </c>
      <c r="G52" s="5" t="s">
        <v>19</v>
      </c>
      <c r="H52" s="5">
        <f>IF(OR(G52="Sin pagar",G52="Pagar"),NETWORKDAYS($I$11,F52,'Festivos Colombia'!$A$3:$A$22),0)</f>
        <v>19</v>
      </c>
      <c r="I52" s="36">
        <f t="shared" si="11"/>
        <v>19</v>
      </c>
      <c r="K52" s="13"/>
      <c r="L52" s="13"/>
    </row>
    <row r="53" spans="1:19" s="5" customFormat="1" ht="16.5" thickBot="1">
      <c r="C53" s="9"/>
      <c r="D53" s="134" t="s">
        <v>24</v>
      </c>
      <c r="E53" s="135">
        <f>SUBTOTAL(9,E54:E55)</f>
        <v>10491352</v>
      </c>
    </row>
    <row r="54" spans="1:19" s="5" customFormat="1" outlineLevel="1">
      <c r="C54" s="38"/>
      <c r="D54" s="10" t="s">
        <v>391</v>
      </c>
      <c r="E54" s="158">
        <v>2991352</v>
      </c>
      <c r="F54" s="33">
        <v>46156</v>
      </c>
      <c r="G54" s="5" t="s">
        <v>12</v>
      </c>
      <c r="H54" s="5">
        <f>IF(OR(G54="Sin pagar",G54="Pagar"),NETWORKDAYS($I$11,F54,'Festivos Colombia'!$A$3:$A$22),0)</f>
        <v>0</v>
      </c>
      <c r="I54" s="36">
        <f t="shared" ref="I54" si="12">H54</f>
        <v>0</v>
      </c>
      <c r="K54" s="13"/>
      <c r="L54" s="13"/>
    </row>
    <row r="55" spans="1:19" s="5" customFormat="1" ht="15.75" outlineLevel="1" thickBot="1">
      <c r="C55" s="38"/>
      <c r="D55" s="10" t="s">
        <v>377</v>
      </c>
      <c r="E55" s="158">
        <f>30000000/4</f>
        <v>7500000</v>
      </c>
      <c r="F55" s="33">
        <v>46171</v>
      </c>
      <c r="G55" s="5" t="s">
        <v>19</v>
      </c>
      <c r="H55" s="5">
        <f>IF(OR(G55="Sin pagar",G55="Pagar"),NETWORKDAYS($I$11,F55,'Festivos Colombia'!$A$3:$A$22),0)</f>
        <v>19</v>
      </c>
      <c r="I55" s="36">
        <f t="shared" ref="I55" si="13">H55</f>
        <v>19</v>
      </c>
      <c r="K55" s="13"/>
      <c r="L55" s="13"/>
    </row>
    <row r="56" spans="1:19" s="5" customFormat="1" ht="15.75" customHeight="1" thickBot="1">
      <c r="C56" s="9"/>
      <c r="D56" s="134" t="s">
        <v>26</v>
      </c>
      <c r="E56" s="135">
        <f>SUBTOTAL(9,E57:E58)</f>
        <v>20242736.280000001</v>
      </c>
      <c r="F56" s="33"/>
    </row>
    <row r="57" spans="1:19" s="5" customFormat="1" outlineLevel="1">
      <c r="A57" s="5" t="str">
        <f>G57</f>
        <v>Cancelado</v>
      </c>
      <c r="B57" s="5" t="e">
        <f>IF(#REF!&lt;=-1,1,IF(#REF!&lt;=5,2,IF(#REF!&lt;=15,3,IF(H57&lt;=60,4))))</f>
        <v>#REF!</v>
      </c>
      <c r="C57" s="180" t="s">
        <v>378</v>
      </c>
      <c r="D57" s="57" t="s">
        <v>380</v>
      </c>
      <c r="E57" s="224">
        <v>19748433.280000001</v>
      </c>
      <c r="F57" s="33">
        <v>46150</v>
      </c>
      <c r="G57" s="5" t="s">
        <v>12</v>
      </c>
      <c r="H57" s="5">
        <f>IF(OR(G57="Sin pagar",G57="Pagar"),NETWORKDAYS($I$11,F57,'Festivos Colombia'!$A$3:$A$22),0)</f>
        <v>0</v>
      </c>
      <c r="I57" s="36">
        <f>H57</f>
        <v>0</v>
      </c>
      <c r="J57" s="166"/>
      <c r="K57" s="131"/>
      <c r="P57" s="12"/>
      <c r="Q57" s="12"/>
      <c r="R57" s="12"/>
      <c r="S57" s="12"/>
    </row>
    <row r="58" spans="1:19" s="5" customFormat="1" ht="15.75" outlineLevel="1" thickBot="1">
      <c r="A58" s="5" t="str">
        <f>G58</f>
        <v>Cancelado</v>
      </c>
      <c r="B58" s="5" t="e">
        <f>IF(#REF!&lt;=-1,1,IF(#REF!&lt;=5,2,IF(#REF!&lt;=15,3,IF(H58&lt;=60,4))))</f>
        <v>#REF!</v>
      </c>
      <c r="C58" s="180" t="s">
        <v>379</v>
      </c>
      <c r="D58" s="57" t="s">
        <v>381</v>
      </c>
      <c r="E58" s="224">
        <v>494303</v>
      </c>
      <c r="F58" s="33">
        <v>46150</v>
      </c>
      <c r="G58" s="5" t="s">
        <v>12</v>
      </c>
      <c r="H58" s="5">
        <f>IF(OR(G58="Sin pagar",G58="Pagar"),NETWORKDAYS($I$11,F58,'Festivos Colombia'!$A$3:$A$22),0)</f>
        <v>0</v>
      </c>
      <c r="I58" s="36">
        <f>H58</f>
        <v>0</v>
      </c>
      <c r="J58" s="166"/>
      <c r="K58" s="131"/>
      <c r="P58" s="12"/>
      <c r="Q58" s="12"/>
      <c r="R58" s="12"/>
      <c r="S58" s="12"/>
    </row>
    <row r="59" spans="1:19" s="5" customFormat="1" ht="16.5" thickBot="1">
      <c r="D59" s="134" t="s">
        <v>27</v>
      </c>
      <c r="E59" s="135">
        <f>SUBTOTAL(9,E60)</f>
        <v>13545478.330000004</v>
      </c>
    </row>
    <row r="60" spans="1:19" s="5" customFormat="1" ht="15.75" outlineLevel="1" thickBot="1">
      <c r="A60" s="5" t="str">
        <f>G60</f>
        <v>Sin Pagar</v>
      </c>
      <c r="B60" s="5" t="e">
        <f>IF(#REF!&lt;=-1,1,IF(#REF!&lt;=5,2,IF(#REF!&lt;=15,3,IF(H60&lt;=60,4))))</f>
        <v>#REF!</v>
      </c>
      <c r="C60" s="9"/>
      <c r="D60" s="10" t="s">
        <v>28</v>
      </c>
      <c r="E60" s="11">
        <v>13545478.330000004</v>
      </c>
      <c r="F60" s="33">
        <v>46172</v>
      </c>
      <c r="G60" s="5" t="s">
        <v>19</v>
      </c>
      <c r="H60" s="5">
        <f>IF(OR(G60="Sin pagar",G60="Pagar"),NETWORKDAYS($I$11,F60,'Festivos Colombia'!$A$3:$A$22),0)</f>
        <v>19</v>
      </c>
      <c r="I60" s="36">
        <f t="shared" ref="I60" si="14">H60</f>
        <v>19</v>
      </c>
    </row>
    <row r="61" spans="1:19" s="5" customFormat="1" ht="16.5" thickBot="1">
      <c r="D61" s="134" t="s">
        <v>29</v>
      </c>
      <c r="E61" s="135">
        <f>SUBTOTAL(9,E62)</f>
        <v>2209861</v>
      </c>
    </row>
    <row r="62" spans="1:19" s="12" customFormat="1" ht="15.75" outlineLevel="1" thickBot="1">
      <c r="A62" s="5" t="str">
        <f t="shared" ref="A62" si="15">G62</f>
        <v>Sin Pagar</v>
      </c>
      <c r="B62" s="5" t="e">
        <f>IF(#REF!&lt;=-1,1,IF(#REF!&lt;=5,2,IF(#REF!&lt;=15,3,IF(H62&lt;=60,4))))</f>
        <v>#REF!</v>
      </c>
      <c r="C62" s="9"/>
      <c r="D62" s="10" t="s">
        <v>134</v>
      </c>
      <c r="E62" s="11">
        <v>2209861</v>
      </c>
      <c r="F62" s="33">
        <v>46172</v>
      </c>
      <c r="G62" s="5" t="s">
        <v>19</v>
      </c>
      <c r="H62" s="5">
        <f>IF(OR(G62="Sin pagar",G62="Pagar"),NETWORKDAYS($I$11,F62,'Festivos Colombia'!$A$3:$A$22),0)</f>
        <v>19</v>
      </c>
      <c r="I62" s="36">
        <f t="shared" ref="I62" si="16">H62</f>
        <v>19</v>
      </c>
      <c r="J62" s="5"/>
      <c r="K62" s="13"/>
      <c r="L62" s="13"/>
      <c r="M62" s="13"/>
      <c r="N62" s="5"/>
      <c r="O62" s="5"/>
    </row>
    <row r="63" spans="1:19" s="5" customFormat="1" ht="16.5" thickBot="1">
      <c r="D63" s="134" t="s">
        <v>144</v>
      </c>
      <c r="E63" s="135">
        <f>SUBTOTAL(9,E64:E69)</f>
        <v>1242707</v>
      </c>
      <c r="J63" s="13"/>
    </row>
    <row r="64" spans="1:19" s="5" customFormat="1" outlineLevel="1">
      <c r="A64" s="5" t="str">
        <f t="shared" ref="A64:A69" si="17">G64</f>
        <v>Cancelado</v>
      </c>
      <c r="B64" s="5" t="e">
        <f>IF(#REF!&lt;=-1,1,IF(#REF!&lt;=5,2,IF(#REF!&lt;=15,3,IF(H64&lt;=60,4))))</f>
        <v>#REF!</v>
      </c>
      <c r="C64" s="123">
        <v>7014</v>
      </c>
      <c r="D64" s="57" t="s">
        <v>30</v>
      </c>
      <c r="E64" s="14">
        <f>315500</f>
        <v>315500</v>
      </c>
      <c r="F64" s="33">
        <v>46150</v>
      </c>
      <c r="G64" s="5" t="s">
        <v>12</v>
      </c>
      <c r="H64" s="5">
        <f>IF(OR(G64="Sin pagar",G64="Pagar"),NETWORKDAYS($I$11,F64,'Festivos Colombia'!$A$3:$A$22),0)</f>
        <v>0</v>
      </c>
      <c r="I64" s="36">
        <f t="shared" ref="I64:I69" si="18">H64</f>
        <v>0</v>
      </c>
      <c r="J64" s="166"/>
    </row>
    <row r="65" spans="1:21" s="5" customFormat="1" ht="14.25" customHeight="1" outlineLevel="1">
      <c r="A65" s="5" t="str">
        <f t="shared" si="17"/>
        <v>Cancelado</v>
      </c>
      <c r="B65" s="5" t="e">
        <f>IF(#REF!&lt;=-1,1,IF(#REF!&lt;=5,2,IF(#REF!&lt;=15,3,IF(H65&lt;=60,4))))</f>
        <v>#REF!</v>
      </c>
      <c r="C65" s="123">
        <v>7033</v>
      </c>
      <c r="D65" s="57" t="s">
        <v>30</v>
      </c>
      <c r="E65" s="14">
        <f>107500</f>
        <v>107500</v>
      </c>
      <c r="F65" s="33">
        <v>46157</v>
      </c>
      <c r="G65" s="5" t="s">
        <v>12</v>
      </c>
      <c r="H65" s="5">
        <f>IF(OR(G65="Sin pagar",G65="Pagar"),NETWORKDAYS($I$11,F65,'Festivos Colombia'!$A$3:$A$22),0)</f>
        <v>0</v>
      </c>
      <c r="I65" s="36">
        <f t="shared" si="18"/>
        <v>0</v>
      </c>
      <c r="J65" s="166"/>
    </row>
    <row r="66" spans="1:21" s="5" customFormat="1" ht="14.25" customHeight="1" outlineLevel="1">
      <c r="A66" s="5" t="str">
        <f t="shared" si="17"/>
        <v>Sin Pagar</v>
      </c>
      <c r="B66" s="5" t="e">
        <f>IF(#REF!&lt;=-1,1,IF(#REF!&lt;=5,2,IF(#REF!&lt;=15,3,IF(H66&lt;=60,4))))</f>
        <v>#REF!</v>
      </c>
      <c r="C66" s="123">
        <v>7047</v>
      </c>
      <c r="D66" s="57" t="s">
        <v>30</v>
      </c>
      <c r="E66" s="14">
        <f>117500</f>
        <v>117500</v>
      </c>
      <c r="F66" s="33">
        <v>46164</v>
      </c>
      <c r="G66" s="5" t="s">
        <v>19</v>
      </c>
      <c r="H66" s="5">
        <f>IF(OR(G66="Sin pagar",G66="Pagar"),NETWORKDAYS($I$11,F66,'Festivos Colombia'!$A$3:$A$22),0)</f>
        <v>14</v>
      </c>
      <c r="I66" s="36">
        <f t="shared" si="18"/>
        <v>14</v>
      </c>
      <c r="J66" s="166"/>
    </row>
    <row r="67" spans="1:21" s="5" customFormat="1" ht="14.25" customHeight="1" outlineLevel="1">
      <c r="A67" s="5" t="str">
        <f t="shared" si="17"/>
        <v>Sin Pagar</v>
      </c>
      <c r="B67" s="5" t="e">
        <f>IF(#REF!&lt;=-1,1,IF(#REF!&lt;=5,2,IF(#REF!&lt;=15,3,IF(H67&lt;=60,4))))</f>
        <v>#REF!</v>
      </c>
      <c r="C67" s="123">
        <v>7052</v>
      </c>
      <c r="D67" s="57" t="s">
        <v>30</v>
      </c>
      <c r="E67" s="14">
        <f>117500</f>
        <v>117500</v>
      </c>
      <c r="F67" s="33">
        <v>46170</v>
      </c>
      <c r="G67" s="5" t="s">
        <v>19</v>
      </c>
      <c r="H67" s="5">
        <f>IF(OR(G67="Sin pagar",G67="Pagar"),NETWORKDAYS($I$11,F67,'Festivos Colombia'!$A$3:$A$22),0)</f>
        <v>18</v>
      </c>
      <c r="I67" s="36">
        <f t="shared" si="18"/>
        <v>18</v>
      </c>
      <c r="J67" s="166"/>
    </row>
    <row r="68" spans="1:21" s="5" customFormat="1" ht="14.25" customHeight="1" outlineLevel="1">
      <c r="A68" s="5" t="str">
        <f t="shared" ref="A68" si="19">G68</f>
        <v>Sin Pagar</v>
      </c>
      <c r="B68" s="5" t="e">
        <f>IF(#REF!&lt;=-1,1,IF(#REF!&lt;=5,2,IF(#REF!&lt;=15,3,IF(H68&lt;=60,4))))</f>
        <v>#REF!</v>
      </c>
      <c r="C68" s="123">
        <v>7058</v>
      </c>
      <c r="D68" s="57" t="s">
        <v>30</v>
      </c>
      <c r="E68" s="14">
        <f>117500</f>
        <v>117500</v>
      </c>
      <c r="F68" s="33">
        <v>46170</v>
      </c>
      <c r="G68" s="5" t="s">
        <v>19</v>
      </c>
      <c r="H68" s="5">
        <f>IF(OR(G68="Sin pagar",G68="Pagar"),NETWORKDAYS($I$11,F68,'Festivos Colombia'!$A$3:$A$22),0)</f>
        <v>18</v>
      </c>
      <c r="I68" s="36">
        <f t="shared" ref="I68" si="20">H68</f>
        <v>18</v>
      </c>
      <c r="J68" s="166"/>
    </row>
    <row r="69" spans="1:21" s="5" customFormat="1" ht="14.25" customHeight="1" outlineLevel="1" thickBot="1">
      <c r="A69" s="5" t="str">
        <f t="shared" si="17"/>
        <v>Sin Pagar</v>
      </c>
      <c r="B69" s="5" t="e">
        <f>IF(#REF!&lt;=-1,1,IF(#REF!&lt;=5,2,IF(#REF!&lt;=15,3,IF(H69&lt;=60,4))))</f>
        <v>#REF!</v>
      </c>
      <c r="C69" s="9">
        <v>357765027</v>
      </c>
      <c r="D69" s="57" t="s">
        <v>146</v>
      </c>
      <c r="E69" s="14">
        <f>467207</f>
        <v>467207</v>
      </c>
      <c r="F69" s="33">
        <v>46173</v>
      </c>
      <c r="G69" s="5" t="s">
        <v>19</v>
      </c>
      <c r="H69" s="5">
        <f>IF(OR(G69="Sin pagar",G69="Pagar"),NETWORKDAYS($I$11,F69,'Festivos Colombia'!$A$3:$A$22),0)</f>
        <v>19</v>
      </c>
      <c r="I69" s="36">
        <f t="shared" si="18"/>
        <v>19</v>
      </c>
      <c r="J69" s="166" t="s">
        <v>310</v>
      </c>
    </row>
    <row r="70" spans="1:21" s="5" customFormat="1" ht="16.5" thickBot="1">
      <c r="D70" s="134" t="s">
        <v>31</v>
      </c>
      <c r="E70" s="135">
        <f>SUBTOTAL(9,E71:E73)</f>
        <v>1865856101</v>
      </c>
      <c r="K70" s="13"/>
      <c r="L70" s="13"/>
      <c r="M70" s="39"/>
      <c r="O70" s="13"/>
    </row>
    <row r="71" spans="1:21" s="12" customFormat="1" outlineLevel="1">
      <c r="A71" s="5" t="str">
        <f>G71</f>
        <v>Cancelado</v>
      </c>
      <c r="B71" s="5" t="e">
        <f>IF(#REF!&lt;=-1,1,IF(#REF!&lt;=5,2,IF(#REF!&lt;=15,3,IF(H71&lt;=60,4))))</f>
        <v>#REF!</v>
      </c>
      <c r="C71" s="37"/>
      <c r="D71" s="10" t="s">
        <v>338</v>
      </c>
      <c r="E71" s="11">
        <v>10505430</v>
      </c>
      <c r="F71" s="33">
        <v>46153</v>
      </c>
      <c r="G71" s="5" t="s">
        <v>12</v>
      </c>
      <c r="H71" s="5">
        <f>IF(OR(G71="Sin pagar",G71="Pagar"),NETWORKDAYS($I$11,F71,'Festivos Colombia'!$A$3:$A$22),0)</f>
        <v>0</v>
      </c>
      <c r="I71" s="36">
        <f>H71</f>
        <v>0</v>
      </c>
      <c r="J71" s="128"/>
      <c r="K71" s="13"/>
      <c r="L71" s="5"/>
      <c r="M71" s="13"/>
      <c r="N71" s="129"/>
      <c r="O71" s="5"/>
    </row>
    <row r="72" spans="1:21" s="12" customFormat="1" outlineLevel="1">
      <c r="A72" s="5" t="str">
        <f t="shared" ref="A72:A73" si="21">G72</f>
        <v>Sin Pagar</v>
      </c>
      <c r="B72" s="5" t="e">
        <f>IF(#REF!&lt;=-1,1,IF(#REF!&lt;=5,2,IF(#REF!&lt;=15,3,IF(H72&lt;=60,4))))</f>
        <v>#REF!</v>
      </c>
      <c r="C72" s="123" t="s">
        <v>180</v>
      </c>
      <c r="D72" s="10" t="s">
        <v>157</v>
      </c>
      <c r="E72" s="11">
        <v>1853720207</v>
      </c>
      <c r="F72" s="157">
        <v>46170</v>
      </c>
      <c r="G72" s="5" t="s">
        <v>19</v>
      </c>
      <c r="H72" s="5">
        <f>IF(OR(G72="Sin pagar",G72="Pagar"),NETWORKDAYS($I$11,F72,'Festivos Colombia'!$A$3:$A$22),0)</f>
        <v>18</v>
      </c>
      <c r="I72" s="36">
        <f t="shared" ref="I72:I73" si="22">H72</f>
        <v>18</v>
      </c>
      <c r="J72" s="5"/>
      <c r="K72" s="13"/>
      <c r="L72" s="13"/>
      <c r="M72" s="13"/>
      <c r="N72" s="5"/>
      <c r="O72" s="5"/>
    </row>
    <row r="73" spans="1:21" s="12" customFormat="1" ht="15.75" outlineLevel="1" thickBot="1">
      <c r="A73" s="5" t="str">
        <f t="shared" si="21"/>
        <v>Sin Pagar</v>
      </c>
      <c r="B73" s="5" t="e">
        <f>IF(#REF!&lt;=-1,1,IF(#REF!&lt;=5,2,IF(#REF!&lt;=15,3,IF(H73&lt;=60,4))))</f>
        <v>#REF!</v>
      </c>
      <c r="C73" s="164" t="s">
        <v>363</v>
      </c>
      <c r="D73" s="10" t="s">
        <v>130</v>
      </c>
      <c r="E73" s="11">
        <v>1630464</v>
      </c>
      <c r="F73" s="157">
        <v>46170</v>
      </c>
      <c r="G73" s="5" t="s">
        <v>19</v>
      </c>
      <c r="H73" s="5">
        <f>IF(OR(G73="Sin pagar",G73="Pagar"),NETWORKDAYS($I$11,F73,'Festivos Colombia'!$A$3:$A$22),0)</f>
        <v>18</v>
      </c>
      <c r="I73" s="36">
        <f t="shared" si="22"/>
        <v>18</v>
      </c>
      <c r="J73" s="166"/>
      <c r="K73" s="13"/>
      <c r="L73" s="13"/>
      <c r="M73" s="13"/>
      <c r="N73" s="5"/>
      <c r="O73" s="5"/>
    </row>
    <row r="74" spans="1:21" s="5" customFormat="1" ht="16.5" thickBot="1">
      <c r="C74" s="9"/>
      <c r="D74" s="134" t="s">
        <v>32</v>
      </c>
      <c r="E74" s="135">
        <f>SUBTOTAL(9,E75:E75)</f>
        <v>8282537</v>
      </c>
      <c r="J74" s="128"/>
      <c r="K74" s="11"/>
      <c r="L74" s="13"/>
      <c r="M74" s="13"/>
      <c r="N74" s="129"/>
    </row>
    <row r="75" spans="1:21" s="12" customFormat="1" ht="15.75" outlineLevel="1" thickBot="1">
      <c r="A75" s="5" t="str">
        <f>G75</f>
        <v>Sin Pagar</v>
      </c>
      <c r="B75" s="5" t="e">
        <f>IF(#REF!&lt;=-1,1,IF(#REF!&lt;=5,2,IF(#REF!&lt;=15,3,IF(H75&lt;=60,4))))</f>
        <v>#REF!</v>
      </c>
      <c r="C75" s="37" t="s">
        <v>100</v>
      </c>
      <c r="D75" s="10" t="s">
        <v>382</v>
      </c>
      <c r="E75" s="158">
        <v>8282537</v>
      </c>
      <c r="F75" s="33">
        <v>46164</v>
      </c>
      <c r="G75" s="5" t="s">
        <v>19</v>
      </c>
      <c r="H75" s="5">
        <f>IF(OR(G75="Sin pagar",G75="Pagar"),NETWORKDAYS($I$11,F75,'Festivos Colombia'!$A$3:$A$22),0)</f>
        <v>14</v>
      </c>
      <c r="I75" s="36">
        <f t="shared" ref="I75" si="23">H75</f>
        <v>14</v>
      </c>
      <c r="J75" s="128"/>
      <c r="K75" s="13"/>
      <c r="L75" s="5"/>
      <c r="M75" s="13"/>
      <c r="N75" s="129"/>
      <c r="O75" s="5"/>
    </row>
    <row r="76" spans="1:21" s="5" customFormat="1" ht="16.5" thickBot="1">
      <c r="C76" s="9"/>
      <c r="D76" s="134" t="s">
        <v>33</v>
      </c>
      <c r="E76" s="135">
        <f>SUBTOTAL(9,E77:E77)</f>
        <v>12100</v>
      </c>
      <c r="F76" s="157"/>
      <c r="J76" s="130"/>
      <c r="K76" s="131"/>
      <c r="L76" s="13"/>
    </row>
    <row r="77" spans="1:21" s="5" customFormat="1" ht="15" customHeight="1" outlineLevel="1" thickBot="1">
      <c r="A77" s="5" t="str">
        <f t="shared" ref="A77" si="24">G77</f>
        <v>Sin Pagar</v>
      </c>
      <c r="B77" s="5" t="e">
        <f>IF(#REF!&lt;=-1,1,IF(#REF!&lt;=5,2,IF(#REF!&lt;=15,3,IF(H77&lt;=60,4))))</f>
        <v>#REF!</v>
      </c>
      <c r="C77" s="9">
        <v>10466184</v>
      </c>
      <c r="D77" s="10" t="s">
        <v>355</v>
      </c>
      <c r="E77" s="11">
        <v>12100</v>
      </c>
      <c r="F77" s="33">
        <v>46162</v>
      </c>
      <c r="G77" s="5" t="s">
        <v>19</v>
      </c>
      <c r="H77" s="5">
        <f>IF(OR(G77="Sin pagar",G77="Pagar"),NETWORKDAYS($I$11,F77,'Festivos Colombia'!$A$3:$A$22),0)</f>
        <v>12</v>
      </c>
      <c r="I77" s="36">
        <f t="shared" ref="I77" si="25">H77</f>
        <v>12</v>
      </c>
      <c r="J77" s="132"/>
      <c r="K77" s="133"/>
      <c r="L77" s="131"/>
    </row>
    <row r="78" spans="1:21" s="5" customFormat="1" ht="15" customHeight="1">
      <c r="C78" s="9"/>
      <c r="D78" s="40" t="s">
        <v>34</v>
      </c>
      <c r="E78" s="137">
        <f>SUBTOTAL(9,E13:E77)</f>
        <v>3269795546.1499996</v>
      </c>
      <c r="F78" s="160"/>
      <c r="G78" s="161"/>
      <c r="L78" s="13"/>
      <c r="O78" s="1"/>
      <c r="S78" s="1"/>
      <c r="T78" s="1"/>
      <c r="U78" s="1"/>
    </row>
    <row r="79" spans="1:21" ht="15.75">
      <c r="B79" s="5"/>
      <c r="D79" s="118" t="s">
        <v>40</v>
      </c>
      <c r="E79" s="58">
        <f>(E78*4)/1000</f>
        <v>13079182.184599999</v>
      </c>
      <c r="F79" s="160"/>
      <c r="G79" s="161"/>
      <c r="H79" s="41"/>
      <c r="I79" s="41"/>
      <c r="J79" s="124"/>
    </row>
    <row r="80" spans="1:21" ht="15.75">
      <c r="B80" s="5"/>
      <c r="D80" s="120" t="s">
        <v>41</v>
      </c>
      <c r="E80" s="121">
        <f>E78+E79</f>
        <v>3282874728.3345995</v>
      </c>
      <c r="F80" s="160"/>
      <c r="G80" s="161" t="s">
        <v>19</v>
      </c>
      <c r="H80" s="41"/>
      <c r="I80" s="41"/>
      <c r="J80" s="124"/>
    </row>
    <row r="81" spans="1:24" ht="6" customHeight="1">
      <c r="B81" s="5"/>
      <c r="D81" s="118"/>
      <c r="E81" s="58"/>
      <c r="F81" s="28"/>
      <c r="G81" s="28"/>
      <c r="H81" s="41"/>
      <c r="I81" s="41"/>
    </row>
    <row r="82" spans="1:24" ht="6" customHeight="1">
      <c r="B82" s="5"/>
      <c r="D82" s="118"/>
      <c r="E82" s="58"/>
      <c r="F82" s="28"/>
      <c r="G82" s="28"/>
      <c r="H82" s="41"/>
      <c r="I82" s="41"/>
    </row>
    <row r="83" spans="1:24" ht="6" customHeight="1">
      <c r="B83" s="5"/>
      <c r="D83" s="118"/>
      <c r="E83" s="58"/>
      <c r="F83" s="28"/>
      <c r="G83" s="28"/>
      <c r="H83" s="41"/>
      <c r="I83" s="41"/>
    </row>
    <row r="84" spans="1:24" ht="15.75">
      <c r="B84" s="5"/>
      <c r="D84" s="42" t="s">
        <v>35</v>
      </c>
      <c r="E84" s="43">
        <f>E8-E78</f>
        <v>-1975690668.7999995</v>
      </c>
      <c r="F84" s="28"/>
      <c r="G84" s="28"/>
      <c r="I84" s="44"/>
    </row>
    <row r="85" spans="1:24" s="5" customFormat="1" ht="15.75">
      <c r="A85" s="45"/>
      <c r="C85" s="46"/>
      <c r="D85" s="42" t="s">
        <v>36</v>
      </c>
      <c r="E85" s="47">
        <f>IF($E$8=0,0,E84/$E$8)</f>
        <v>-1.5266851268235035</v>
      </c>
      <c r="F85" s="28"/>
      <c r="G85" s="28"/>
      <c r="H85" s="45"/>
      <c r="I85" s="49"/>
      <c r="J85" s="45"/>
      <c r="K85" s="45"/>
      <c r="L85" s="45"/>
      <c r="M85" s="45"/>
      <c r="N85" s="45"/>
      <c r="O85" s="1"/>
      <c r="P85" s="45"/>
      <c r="Q85" s="45"/>
      <c r="R85" s="45"/>
      <c r="S85" s="1"/>
      <c r="T85" s="1"/>
      <c r="U85" s="1"/>
    </row>
    <row r="86" spans="1:24" s="5" customFormat="1">
      <c r="A86" s="1"/>
      <c r="C86" s="2"/>
      <c r="D86" s="1"/>
      <c r="E86" s="3"/>
      <c r="F86" s="48"/>
      <c r="G86" s="119"/>
      <c r="H86" s="1"/>
      <c r="I86" s="4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6.75" customHeight="1" thickBot="1"/>
    <row r="88" spans="1:24" ht="15.75" thickBot="1">
      <c r="D88" s="146" t="s">
        <v>95</v>
      </c>
      <c r="E88" s="147" t="s">
        <v>96</v>
      </c>
    </row>
    <row r="89" spans="1:24">
      <c r="J89" s="44"/>
    </row>
    <row r="90" spans="1:24" ht="15.75" thickBot="1"/>
    <row r="91" spans="1:24">
      <c r="D91" s="169">
        <v>46143</v>
      </c>
      <c r="E91" s="220">
        <v>46152</v>
      </c>
      <c r="F91" s="172">
        <f t="shared" ref="F91:F97" si="26">SUMIFS($E$12:$E$87,$F$12:$F$87,"&gt;="&amp;D91,$F$12:$F$87,"&lt;="&amp;E91,$G$12:$G$87,$E$109)</f>
        <v>0</v>
      </c>
      <c r="G91" s="122" t="s">
        <v>117</v>
      </c>
      <c r="H91" s="162"/>
      <c r="I91" s="162"/>
    </row>
    <row r="92" spans="1:24">
      <c r="D92" s="170">
        <v>46153</v>
      </c>
      <c r="E92" s="171">
        <v>46155</v>
      </c>
      <c r="F92" s="173">
        <f t="shared" si="26"/>
        <v>0</v>
      </c>
      <c r="G92" s="122" t="s">
        <v>383</v>
      </c>
      <c r="H92" s="162"/>
      <c r="I92" s="162"/>
    </row>
    <row r="93" spans="1:24">
      <c r="D93" s="170">
        <v>46156</v>
      </c>
      <c r="E93" s="171">
        <v>46156</v>
      </c>
      <c r="F93" s="173">
        <f t="shared" si="26"/>
        <v>0</v>
      </c>
      <c r="G93" s="122" t="s">
        <v>347</v>
      </c>
    </row>
    <row r="94" spans="1:24">
      <c r="D94" s="170">
        <v>46157</v>
      </c>
      <c r="E94" s="171">
        <v>46160</v>
      </c>
      <c r="F94" s="173">
        <f t="shared" si="26"/>
        <v>0</v>
      </c>
      <c r="G94" s="122" t="s">
        <v>117</v>
      </c>
    </row>
    <row r="95" spans="1:24">
      <c r="D95" s="170">
        <v>46161</v>
      </c>
      <c r="E95" s="178">
        <v>46166</v>
      </c>
      <c r="F95" s="173">
        <f t="shared" si="26"/>
        <v>41818137</v>
      </c>
      <c r="G95" s="122" t="s">
        <v>117</v>
      </c>
      <c r="I95" s="152"/>
    </row>
    <row r="96" spans="1:24">
      <c r="D96" s="170">
        <v>46167</v>
      </c>
      <c r="E96" s="178">
        <v>46169</v>
      </c>
      <c r="F96" s="173">
        <f t="shared" si="26"/>
        <v>0</v>
      </c>
      <c r="G96" s="162"/>
      <c r="I96" s="152"/>
    </row>
    <row r="97" spans="4:14">
      <c r="D97" s="170">
        <v>46170</v>
      </c>
      <c r="E97" s="178">
        <v>46173</v>
      </c>
      <c r="F97" s="173">
        <f t="shared" si="26"/>
        <v>2022704307.3299999</v>
      </c>
      <c r="G97" s="162" t="s">
        <v>265</v>
      </c>
      <c r="I97" s="152"/>
    </row>
    <row r="98" spans="4:14" ht="15.75">
      <c r="D98" s="235" t="s">
        <v>98</v>
      </c>
      <c r="E98" s="236"/>
      <c r="F98" s="151">
        <f>SUM(F91:F97)</f>
        <v>2064522444.3299999</v>
      </c>
      <c r="G98" s="44"/>
      <c r="I98" s="148"/>
    </row>
    <row r="99" spans="4:14">
      <c r="D99" s="237"/>
      <c r="E99" s="238"/>
    </row>
    <row r="100" spans="4:14">
      <c r="E100" s="1"/>
      <c r="I100" s="228"/>
      <c r="J100" s="228"/>
    </row>
    <row r="101" spans="4:14">
      <c r="D101" s="239" t="s">
        <v>384</v>
      </c>
      <c r="E101" s="232"/>
      <c r="F101" s="44">
        <f>SUM(F91:F96)</f>
        <v>41818137</v>
      </c>
      <c r="I101" s="44"/>
      <c r="J101" s="44"/>
    </row>
    <row r="102" spans="4:14" ht="15.75" thickBot="1">
      <c r="D102" s="239" t="s">
        <v>76</v>
      </c>
      <c r="E102" s="232"/>
      <c r="F102" s="221">
        <f>(F101*4)/1000</f>
        <v>167272.54800000001</v>
      </c>
      <c r="I102" s="44"/>
      <c r="J102" s="44"/>
    </row>
    <row r="103" spans="4:14" ht="15.75" thickTop="1">
      <c r="D103" s="229" t="s">
        <v>313</v>
      </c>
      <c r="E103" s="230"/>
      <c r="F103" s="49">
        <f>SUM(F101:F102)</f>
        <v>41985409.548</v>
      </c>
      <c r="I103" s="49"/>
      <c r="J103" s="49"/>
    </row>
    <row r="104" spans="4:14" ht="17.25" customHeight="1">
      <c r="F104" s="150"/>
      <c r="G104" s="165"/>
    </row>
    <row r="105" spans="4:14">
      <c r="D105" s="231">
        <v>46161</v>
      </c>
      <c r="E105" s="232"/>
      <c r="F105" s="227">
        <v>86968485.060000002</v>
      </c>
      <c r="G105" s="182"/>
      <c r="I105" s="182"/>
      <c r="J105" s="182"/>
      <c r="K105" s="159"/>
    </row>
    <row r="106" spans="4:14">
      <c r="E106" s="186" t="s">
        <v>126</v>
      </c>
      <c r="F106" s="183">
        <f>F105-F103</f>
        <v>44983075.512000002</v>
      </c>
      <c r="I106" s="44"/>
      <c r="J106" s="44"/>
      <c r="M106" s="44"/>
      <c r="N106" s="44"/>
    </row>
    <row r="109" spans="4:14">
      <c r="E109" s="3" t="s">
        <v>19</v>
      </c>
      <c r="F109" s="44">
        <f>SUMIFS($E$12:$E$78,$F$12:$F$78,"&gt;="&amp;D91,$F$12:$F$78,"&lt;="&amp;$E$96,$G$12:$G$78,$E$109)</f>
        <v>41818137</v>
      </c>
    </row>
    <row r="110" spans="4:14">
      <c r="E110" s="3" t="s">
        <v>12</v>
      </c>
      <c r="F110" s="44">
        <f>SUMIFS($E$12:$E$78,$F$12:$F$78,"&gt;="&amp;D91,$F$12:$F$78,"&lt;="&amp;#REF!,$G$12:$G$78,$E$110)</f>
        <v>0</v>
      </c>
    </row>
    <row r="111" spans="4:14">
      <c r="E111" s="58" t="s">
        <v>25</v>
      </c>
      <c r="F111" s="49">
        <f>SUM(F109:F110)</f>
        <v>41818137</v>
      </c>
    </row>
    <row r="112" spans="4:14">
      <c r="E112" s="3" t="s">
        <v>143</v>
      </c>
      <c r="F112" s="44">
        <f>E78-F111</f>
        <v>3227977409.1499996</v>
      </c>
    </row>
  </sheetData>
  <protectedRanges>
    <protectedRange sqref="F8:G8 E14 E86 F81:G85 E5:F5 E7:F7 E57:E58 E64:E69 E26:E28 E18:E20" name="Presupuestos"/>
    <protectedRange sqref="E12" name="Presupuestos_1"/>
    <protectedRange sqref="E60 J60" name="Presupuestos_7"/>
    <protectedRange sqref="K74 E62 E71:E73 E75" name="Presupuestos_6_1_1"/>
    <protectedRange sqref="K22:L24" name="Presupuestos_1_1_1_1_1_1_2_1_1"/>
    <protectedRange sqref="E30:E31" name="Presupuestos_3"/>
    <protectedRange sqref="E77" name="Presupuestos_6_1_1_1_2_1"/>
    <protectedRange sqref="E22:E24" name="Presupuestos_1_1_1_1_1_1_2_1_1_3_1_1"/>
    <protectedRange sqref="E33:E52 E54:E55" name="Presupuestos_2_2_1_1_3"/>
  </protectedRanges>
  <autoFilter ref="C12:I85" xr:uid="{713DEDF4-24B5-48DE-A5F0-5E5AF7CE9B8E}"/>
  <mergeCells count="9">
    <mergeCell ref="D103:E103"/>
    <mergeCell ref="D105:E105"/>
    <mergeCell ref="C11:D11"/>
    <mergeCell ref="F11:G11"/>
    <mergeCell ref="T21:U21"/>
    <mergeCell ref="D98:E98"/>
    <mergeCell ref="D99:E99"/>
    <mergeCell ref="D101:E101"/>
    <mergeCell ref="D102:E102"/>
  </mergeCells>
  <conditionalFormatting sqref="I14 I16 I22:I77">
    <cfRule type="cellIs" dxfId="11" priority="5" operator="lessThan">
      <formula>0</formula>
    </cfRule>
    <cfRule type="cellIs" dxfId="10" priority="6" operator="between">
      <formula>6</formula>
      <formula>15</formula>
    </cfRule>
    <cfRule type="cellIs" dxfId="9" priority="7" operator="between">
      <formula>1</formula>
      <formula>5</formula>
    </cfRule>
    <cfRule type="cellIs" dxfId="8" priority="8" operator="between">
      <formula>16</formula>
      <formula>60</formula>
    </cfRule>
  </conditionalFormatting>
  <conditionalFormatting sqref="I18:I20">
    <cfRule type="cellIs" dxfId="7" priority="1" operator="lessThan">
      <formula>0</formula>
    </cfRule>
    <cfRule type="cellIs" dxfId="6" priority="2" operator="between">
      <formula>6</formula>
      <formula>15</formula>
    </cfRule>
    <cfRule type="cellIs" dxfId="5" priority="3" operator="between">
      <formula>1</formula>
      <formula>5</formula>
    </cfRule>
    <cfRule type="cellIs" dxfId="4" priority="4" operator="between">
      <formula>16</formula>
      <formula>60</formula>
    </cfRule>
  </conditionalFormatting>
  <conditionalFormatting sqref="I86">
    <cfRule type="cellIs" dxfId="3" priority="9" operator="lessThan">
      <formula>0</formula>
    </cfRule>
    <cfRule type="cellIs" dxfId="2" priority="10" operator="between">
      <formula>6</formula>
      <formula>15</formula>
    </cfRule>
    <cfRule type="cellIs" dxfId="1" priority="11" operator="between">
      <formula>1</formula>
      <formula>5</formula>
    </cfRule>
    <cfRule type="cellIs" dxfId="0" priority="12" operator="between">
      <formula>16</formula>
      <formula>60</formula>
    </cfRule>
  </conditionalFormatting>
  <dataValidations count="3">
    <dataValidation type="list" allowBlank="1" showInputMessage="1" showErrorMessage="1" sqref="C18:C20" xr:uid="{5F9F791C-AB06-4549-9538-BA97D616BBEF}">
      <formula1>"0,1"</formula1>
    </dataValidation>
    <dataValidation type="list" allowBlank="1" showInputMessage="1" showErrorMessage="1" sqref="G14:G16 G62 G26:G28 E109:E110 G60 G18:G20 G71:G73 G30:G31 G75:G80 G64:G69 G22:G24 G33:G52 G54:G58" xr:uid="{FC82254F-2AFD-4664-9597-11B800FA294D}">
      <formula1>"Cancelado,Pagar,Sin Pagar"</formula1>
    </dataValidation>
    <dataValidation type="list" allowBlank="1" showInputMessage="1" showErrorMessage="1" sqref="E11" xr:uid="{7EBE10ED-23E3-46AB-8E1A-76FAB97EF3A4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ignoredErrors>
    <ignoredError sqref="I19:I22 I69:I77 I25:I26 I28:I32 I55:I67 I14:I17 I53:I54 I41:I52" unlockedFormula="1"/>
    <ignoredError sqref="C26 C27:C2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F600-16E6-4F75-89CD-A55A4B0A301C}">
  <dimension ref="B2:F24"/>
  <sheetViews>
    <sheetView showGridLines="0" zoomScale="85" zoomScaleNormal="85" workbookViewId="0">
      <selection activeCell="E24" sqref="E24"/>
    </sheetView>
  </sheetViews>
  <sheetFormatPr baseColWidth="10" defaultRowHeight="15"/>
  <cols>
    <col min="3" max="3" width="10.7109375" bestFit="1" customWidth="1"/>
    <col min="4" max="4" width="54.28515625" customWidth="1"/>
    <col min="5" max="5" width="18.28515625" bestFit="1" customWidth="1"/>
    <col min="6" max="6" width="14.140625" bestFit="1" customWidth="1"/>
  </cols>
  <sheetData>
    <row r="2" spans="2:6">
      <c r="B2" s="244">
        <v>46023</v>
      </c>
      <c r="C2" s="245"/>
      <c r="D2" s="245"/>
      <c r="E2" s="245"/>
      <c r="F2" s="245"/>
    </row>
    <row r="3" spans="2:6">
      <c r="E3" s="59" t="s">
        <v>209</v>
      </c>
      <c r="F3" s="59">
        <v>3730.26</v>
      </c>
    </row>
    <row r="5" spans="2:6">
      <c r="B5" s="241" t="s">
        <v>207</v>
      </c>
      <c r="C5" s="241"/>
      <c r="D5" s="241"/>
      <c r="E5" s="241"/>
      <c r="F5" s="241"/>
    </row>
    <row r="6" spans="2:6" ht="6" customHeight="1" thickBot="1"/>
    <row r="7" spans="2:6" ht="15.75" thickBot="1">
      <c r="E7" s="195" t="s">
        <v>203</v>
      </c>
      <c r="F7" s="195" t="s">
        <v>204</v>
      </c>
    </row>
    <row r="8" spans="2:6" ht="15.75" thickBot="1">
      <c r="D8" s="202" t="s">
        <v>205</v>
      </c>
      <c r="E8" s="200">
        <f>ENERO!F137</f>
        <v>1660785183.28</v>
      </c>
      <c r="F8" s="201">
        <f>E8/F3</f>
        <v>445219.68529807572</v>
      </c>
    </row>
    <row r="10" spans="2:6">
      <c r="B10" s="240" t="s">
        <v>206</v>
      </c>
      <c r="C10" s="240"/>
      <c r="D10" s="240"/>
      <c r="E10" s="240"/>
      <c r="F10" s="240"/>
    </row>
    <row r="11" spans="2:6" ht="7.5" customHeight="1" thickBot="1"/>
    <row r="12" spans="2:6" ht="15.75" thickBot="1">
      <c r="B12" s="195" t="s">
        <v>200</v>
      </c>
      <c r="C12" s="195" t="s">
        <v>201</v>
      </c>
      <c r="D12" s="195" t="s">
        <v>202</v>
      </c>
      <c r="E12" s="195" t="s">
        <v>203</v>
      </c>
      <c r="F12" s="195" t="s">
        <v>204</v>
      </c>
    </row>
    <row r="13" spans="2:6">
      <c r="B13" s="169">
        <v>46027</v>
      </c>
      <c r="C13" s="177">
        <v>46034</v>
      </c>
      <c r="D13" s="189" t="s">
        <v>213</v>
      </c>
      <c r="E13" s="190">
        <v>53914057.75</v>
      </c>
      <c r="F13" s="196">
        <f t="shared" ref="F13:F17" si="0">E13/$F$3</f>
        <v>14453.163519432961</v>
      </c>
    </row>
    <row r="14" spans="2:6">
      <c r="B14" s="170">
        <v>46037</v>
      </c>
      <c r="C14" s="171">
        <v>46037</v>
      </c>
      <c r="D14" s="192" t="s">
        <v>199</v>
      </c>
      <c r="E14" s="191">
        <v>989496179.62</v>
      </c>
      <c r="F14" s="198">
        <f t="shared" si="0"/>
        <v>265261.98699822533</v>
      </c>
    </row>
    <row r="15" spans="2:6">
      <c r="B15" s="170">
        <v>46038</v>
      </c>
      <c r="C15" s="178">
        <v>46038</v>
      </c>
      <c r="D15" s="192" t="s">
        <v>214</v>
      </c>
      <c r="E15" s="191">
        <v>252438422</v>
      </c>
      <c r="F15" s="198">
        <f t="shared" si="0"/>
        <v>67673.14396315538</v>
      </c>
    </row>
    <row r="16" spans="2:6">
      <c r="B16" s="170">
        <v>46041</v>
      </c>
      <c r="C16" s="178">
        <v>46047</v>
      </c>
      <c r="D16" s="192" t="s">
        <v>211</v>
      </c>
      <c r="E16" s="191">
        <v>55000000</v>
      </c>
      <c r="F16" s="198">
        <f t="shared" si="0"/>
        <v>14744.280559532042</v>
      </c>
    </row>
    <row r="17" spans="2:6" ht="15.75" thickBot="1">
      <c r="B17" s="167">
        <v>46048</v>
      </c>
      <c r="C17" s="188">
        <v>46053</v>
      </c>
      <c r="D17" s="193" t="s">
        <v>212</v>
      </c>
      <c r="E17" s="194">
        <v>1866786500.5899999</v>
      </c>
      <c r="F17" s="199">
        <f t="shared" si="0"/>
        <v>500444.07108083612</v>
      </c>
    </row>
    <row r="18" spans="2:6" ht="15.75">
      <c r="B18" s="242" t="s">
        <v>210</v>
      </c>
      <c r="C18" s="242"/>
      <c r="D18" s="243"/>
      <c r="E18" s="151">
        <f>SUM(E13:E17)</f>
        <v>3217635159.96</v>
      </c>
      <c r="F18" s="197">
        <f>SUM(F13:F17)</f>
        <v>862576.64612118178</v>
      </c>
    </row>
    <row r="19" spans="2:6" ht="15.75" thickBot="1"/>
    <row r="20" spans="2:6">
      <c r="D20" s="206" t="s">
        <v>208</v>
      </c>
      <c r="E20" s="207">
        <f>SUM(E13:E16)</f>
        <v>1350848659.3699999</v>
      </c>
      <c r="F20" s="208">
        <f>SUM(F13:F16)</f>
        <v>362132.57504034572</v>
      </c>
    </row>
    <row r="21" spans="2:6" ht="15.75" thickBot="1">
      <c r="D21" s="209" t="s">
        <v>215</v>
      </c>
      <c r="E21" s="210">
        <f>E20*4/1000</f>
        <v>5403394.6374799991</v>
      </c>
      <c r="F21" s="211">
        <f>F20*4/1000</f>
        <v>1448.5303001613829</v>
      </c>
    </row>
    <row r="22" spans="2:6" ht="15.75" thickBot="1">
      <c r="D22" s="203" t="s">
        <v>216</v>
      </c>
      <c r="E22" s="204">
        <f>SUM(E20:E21)</f>
        <v>1356252054.0074799</v>
      </c>
      <c r="F22" s="205">
        <f>SUM(F20:F21)</f>
        <v>363581.10534050711</v>
      </c>
    </row>
    <row r="24" spans="2:6">
      <c r="D24" s="68" t="s">
        <v>126</v>
      </c>
      <c r="E24" s="91">
        <f>E8-E22</f>
        <v>304533129.27252007</v>
      </c>
      <c r="F24" s="85">
        <f>F8-F22</f>
        <v>81638.579957568611</v>
      </c>
    </row>
  </sheetData>
  <mergeCells count="4">
    <mergeCell ref="B10:F10"/>
    <mergeCell ref="B5:F5"/>
    <mergeCell ref="B18:D18"/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9"/>
  <dimension ref="B2:I53"/>
  <sheetViews>
    <sheetView showGridLines="0" topLeftCell="A10" zoomScale="85" zoomScaleNormal="85" workbookViewId="0">
      <selection activeCell="E32" sqref="E32"/>
    </sheetView>
  </sheetViews>
  <sheetFormatPr baseColWidth="10" defaultColWidth="11.42578125" defaultRowHeight="15"/>
  <cols>
    <col min="1" max="1" width="3.5703125" customWidth="1"/>
    <col min="3" max="3" width="30.28515625" customWidth="1"/>
    <col min="4" max="4" width="18.28515625" bestFit="1" customWidth="1"/>
    <col min="5" max="5" width="17.7109375" customWidth="1"/>
    <col min="6" max="6" width="15.5703125" bestFit="1" customWidth="1"/>
    <col min="7" max="7" width="14.5703125" bestFit="1" customWidth="1"/>
    <col min="8" max="9" width="16.7109375" bestFit="1" customWidth="1"/>
  </cols>
  <sheetData>
    <row r="2" spans="2:9">
      <c r="C2" s="245" t="s">
        <v>78</v>
      </c>
      <c r="D2" s="245"/>
    </row>
    <row r="3" spans="2:9">
      <c r="B3" s="84">
        <v>44612</v>
      </c>
      <c r="C3" s="82" t="s">
        <v>79</v>
      </c>
      <c r="D3" s="83">
        <v>37331755.359999999</v>
      </c>
      <c r="E3" s="83">
        <v>559358681.13</v>
      </c>
    </row>
    <row r="4" spans="2:9">
      <c r="B4" s="75"/>
      <c r="C4" s="82" t="s">
        <v>80</v>
      </c>
      <c r="D4" s="83" t="e">
        <f>E4*F4</f>
        <v>#REF!</v>
      </c>
      <c r="E4" s="85" t="e">
        <f>#REF!</f>
        <v>#REF!</v>
      </c>
      <c r="F4" s="69">
        <v>4760</v>
      </c>
      <c r="H4" s="89" t="e">
        <f>F4*#REF!</f>
        <v>#REF!</v>
      </c>
    </row>
    <row r="5" spans="2:9">
      <c r="B5" s="75"/>
      <c r="C5" s="68" t="s">
        <v>25</v>
      </c>
      <c r="D5" s="76" t="e">
        <f>SUM(D3:D4)</f>
        <v>#REF!</v>
      </c>
      <c r="E5" s="63"/>
    </row>
    <row r="6" spans="2:9">
      <c r="B6" s="75"/>
      <c r="C6" s="68"/>
      <c r="D6" s="76"/>
    </row>
    <row r="7" spans="2:9" ht="6" customHeight="1"/>
    <row r="8" spans="2:9" ht="12" customHeight="1">
      <c r="B8" s="247" t="s">
        <v>81</v>
      </c>
      <c r="C8" s="247"/>
      <c r="D8" s="247"/>
    </row>
    <row r="9" spans="2:9" ht="12" customHeight="1">
      <c r="B9" s="79"/>
      <c r="C9" s="79"/>
      <c r="D9" s="79"/>
    </row>
    <row r="10" spans="2:9" ht="26.25" customHeight="1">
      <c r="B10" s="70">
        <v>44965</v>
      </c>
      <c r="C10" s="74" t="s">
        <v>37</v>
      </c>
      <c r="D10" s="87" t="e">
        <f>#REF!*0</f>
        <v>#REF!</v>
      </c>
    </row>
    <row r="11" spans="2:9">
      <c r="B11" s="70">
        <v>44966</v>
      </c>
      <c r="C11" t="s">
        <v>82</v>
      </c>
      <c r="D11" s="87" t="e">
        <f>#REF!*0</f>
        <v>#REF!</v>
      </c>
      <c r="G11" s="89"/>
      <c r="H11" s="89"/>
      <c r="I11" s="89"/>
    </row>
    <row r="12" spans="2:9">
      <c r="B12" s="70">
        <v>44970</v>
      </c>
      <c r="C12" t="s">
        <v>83</v>
      </c>
      <c r="D12" s="92" t="e">
        <f>#REF!*0</f>
        <v>#REF!</v>
      </c>
    </row>
    <row r="13" spans="2:9">
      <c r="B13" s="70">
        <v>44966</v>
      </c>
      <c r="C13" t="s">
        <v>38</v>
      </c>
      <c r="D13" s="87" t="e">
        <f>#REF!*0</f>
        <v>#REF!</v>
      </c>
      <c r="F13" s="81"/>
    </row>
    <row r="14" spans="2:9">
      <c r="B14" s="70">
        <v>44971</v>
      </c>
      <c r="C14" t="s">
        <v>84</v>
      </c>
      <c r="D14" s="93" t="e">
        <f>#REF!*0</f>
        <v>#REF!</v>
      </c>
      <c r="F14" s="89"/>
    </row>
    <row r="15" spans="2:9" ht="15.75" thickBot="1">
      <c r="B15" s="70">
        <v>44978</v>
      </c>
      <c r="C15" t="s">
        <v>39</v>
      </c>
      <c r="D15" s="73" t="e">
        <f>#REF!*0</f>
        <v>#REF!</v>
      </c>
      <c r="E15" s="81"/>
    </row>
    <row r="16" spans="2:9" ht="15.75" thickTop="1">
      <c r="B16" s="245" t="s">
        <v>25</v>
      </c>
      <c r="C16" s="245"/>
      <c r="D16" s="71" t="e">
        <f>SUM(D10:D15)</f>
        <v>#REF!</v>
      </c>
    </row>
    <row r="18" spans="2:5">
      <c r="B18" s="245" t="s">
        <v>85</v>
      </c>
      <c r="C18" s="245"/>
      <c r="D18" s="245"/>
    </row>
    <row r="19" spans="2:5">
      <c r="D19" s="69"/>
    </row>
    <row r="20" spans="2:5" ht="27" hidden="1" customHeight="1">
      <c r="B20" s="70">
        <v>44965</v>
      </c>
      <c r="C20" s="74" t="s">
        <v>18</v>
      </c>
      <c r="D20" s="69" t="e">
        <f>#REF!*0</f>
        <v>#REF!</v>
      </c>
    </row>
    <row r="21" spans="2:5" hidden="1">
      <c r="B21" s="70">
        <v>44968</v>
      </c>
      <c r="C21" t="s">
        <v>20</v>
      </c>
      <c r="D21" s="69" t="e">
        <f>#REF!*0</f>
        <v>#REF!</v>
      </c>
    </row>
    <row r="22" spans="2:5">
      <c r="B22" s="70">
        <v>44969</v>
      </c>
      <c r="C22" t="s">
        <v>86</v>
      </c>
      <c r="D22" s="69" t="e">
        <f>#REF!</f>
        <v>#REF!</v>
      </c>
      <c r="E22" t="s">
        <v>87</v>
      </c>
    </row>
    <row r="23" spans="2:5">
      <c r="B23" s="70">
        <v>44977</v>
      </c>
      <c r="C23" t="s">
        <v>88</v>
      </c>
      <c r="D23" s="69" t="e">
        <f>#REF!</f>
        <v>#REF!</v>
      </c>
      <c r="E23" t="s">
        <v>87</v>
      </c>
    </row>
    <row r="24" spans="2:5" ht="15.75" thickBot="1">
      <c r="B24" s="70">
        <v>44977</v>
      </c>
      <c r="C24" t="s">
        <v>11</v>
      </c>
      <c r="D24" s="73" t="e">
        <f>#REF!</f>
        <v>#REF!</v>
      </c>
    </row>
    <row r="25" spans="2:5" ht="15.75" hidden="1" thickBot="1">
      <c r="B25" s="70">
        <v>44977</v>
      </c>
      <c r="C25" t="s">
        <v>89</v>
      </c>
      <c r="D25" s="86" t="e">
        <f>#REF!*0</f>
        <v>#REF!</v>
      </c>
      <c r="E25" t="s">
        <v>90</v>
      </c>
    </row>
    <row r="26" spans="2:5" ht="15.75" thickTop="1">
      <c r="B26" s="245" t="s">
        <v>25</v>
      </c>
      <c r="C26" s="245"/>
      <c r="D26" s="71" t="e">
        <f>SUM(D20:D25)</f>
        <v>#REF!</v>
      </c>
    </row>
    <row r="27" spans="2:5" ht="3" customHeight="1">
      <c r="D27" s="69"/>
    </row>
    <row r="28" spans="2:5">
      <c r="B28" s="246" t="s">
        <v>91</v>
      </c>
      <c r="C28" s="246"/>
      <c r="D28" s="71" t="e">
        <f>D16+D26</f>
        <v>#REF!</v>
      </c>
    </row>
    <row r="29" spans="2:5" ht="12" customHeight="1" thickBot="1">
      <c r="B29" s="246" t="s">
        <v>76</v>
      </c>
      <c r="C29" s="246" t="s">
        <v>76</v>
      </c>
      <c r="D29" s="90" t="e">
        <f>(D28*4)/1000</f>
        <v>#REF!</v>
      </c>
    </row>
    <row r="30" spans="2:5" ht="16.5" customHeight="1" thickTop="1">
      <c r="B30" s="241" t="s">
        <v>42</v>
      </c>
      <c r="C30" s="241"/>
      <c r="D30" s="91" t="e">
        <f>SUM(D28:D29)</f>
        <v>#REF!</v>
      </c>
    </row>
    <row r="31" spans="2:5" ht="8.25" customHeight="1"/>
    <row r="32" spans="2:5">
      <c r="C32" s="81" t="s">
        <v>77</v>
      </c>
      <c r="D32" s="72" t="e">
        <f>D5-D30</f>
        <v>#REF!</v>
      </c>
      <c r="E32" s="88"/>
    </row>
    <row r="35" spans="2:4">
      <c r="B35" s="77" t="s">
        <v>92</v>
      </c>
      <c r="C35" s="77"/>
      <c r="D35" s="78"/>
    </row>
    <row r="36" spans="2:4">
      <c r="B36" s="77" t="s">
        <v>93</v>
      </c>
      <c r="C36" s="77"/>
      <c r="D36" s="78"/>
    </row>
    <row r="39" spans="2:4" hidden="1"/>
    <row r="40" spans="2:4" hidden="1">
      <c r="D40" s="83">
        <v>559358681.13</v>
      </c>
    </row>
    <row r="41" spans="2:4" hidden="1"/>
    <row r="42" spans="2:4" hidden="1">
      <c r="D42" s="89">
        <v>2133830</v>
      </c>
    </row>
    <row r="43" spans="2:4" hidden="1">
      <c r="D43" s="89">
        <v>2633022</v>
      </c>
    </row>
    <row r="44" spans="2:4" hidden="1">
      <c r="D44" s="89">
        <v>264022000</v>
      </c>
    </row>
    <row r="45" spans="2:4" hidden="1">
      <c r="D45" s="89">
        <f>SUM(D42:D44)</f>
        <v>268788852</v>
      </c>
    </row>
    <row r="46" spans="2:4" hidden="1">
      <c r="D46" s="89">
        <f>(D45*4)/1000</f>
        <v>1075155.4080000001</v>
      </c>
    </row>
    <row r="47" spans="2:4" hidden="1">
      <c r="D47" s="89">
        <f>SUM(D45:D46)</f>
        <v>269864007.40799999</v>
      </c>
    </row>
    <row r="48" spans="2:4" hidden="1"/>
    <row r="49" spans="4:4" hidden="1">
      <c r="D49" s="89">
        <f>D40-D47</f>
        <v>289494673.722</v>
      </c>
    </row>
    <row r="50" spans="4:4" hidden="1">
      <c r="D50" s="89">
        <v>290564851.13</v>
      </c>
    </row>
    <row r="51" spans="4:4" hidden="1">
      <c r="D51" s="89">
        <f>+D50-D49</f>
        <v>1070177.4079999924</v>
      </c>
    </row>
    <row r="52" spans="4:4" hidden="1"/>
    <row r="53" spans="4:4" hidden="1"/>
  </sheetData>
  <mergeCells count="8">
    <mergeCell ref="B29:C29"/>
    <mergeCell ref="B30:C30"/>
    <mergeCell ref="B28:C28"/>
    <mergeCell ref="C2:D2"/>
    <mergeCell ref="B8:D8"/>
    <mergeCell ref="B18:D18"/>
    <mergeCell ref="B16:C16"/>
    <mergeCell ref="B26:C26"/>
  </mergeCells>
  <dataValidations disablePrompts="1" count="1">
    <dataValidation type="list" allowBlank="1" showInputMessage="1" showErrorMessage="1" sqref="F4" xr:uid="{00000000-0002-0000-1200-000000000000}">
      <formula1>"4760,4769,85,4800"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0">
    <outlinePr summaryBelow="0"/>
  </sheetPr>
  <dimension ref="B1:Y37"/>
  <sheetViews>
    <sheetView showGridLines="0" view="pageBreakPreview" topLeftCell="A4" zoomScale="60" zoomScaleNormal="80" workbookViewId="0">
      <selection activeCell="J12" sqref="J11:J12"/>
    </sheetView>
  </sheetViews>
  <sheetFormatPr baseColWidth="10" defaultColWidth="9.140625" defaultRowHeight="15"/>
  <cols>
    <col min="1" max="1" width="2" customWidth="1"/>
    <col min="2" max="2" width="14.28515625" customWidth="1"/>
    <col min="3" max="3" width="13.5703125" bestFit="1" customWidth="1"/>
    <col min="4" max="4" width="24.42578125" customWidth="1"/>
    <col min="5" max="5" width="32.140625" customWidth="1"/>
    <col min="6" max="6" width="21.5703125" bestFit="1" customWidth="1"/>
    <col min="7" max="7" width="25.140625" customWidth="1"/>
    <col min="8" max="8" width="1.140625" customWidth="1"/>
    <col min="9" max="10" width="26.28515625" bestFit="1" customWidth="1"/>
    <col min="11" max="11" width="1.28515625" customWidth="1"/>
    <col min="12" max="12" width="13.140625" bestFit="1" customWidth="1"/>
    <col min="13" max="13" width="20.5703125" customWidth="1"/>
    <col min="14" max="14" width="13.140625" customWidth="1"/>
    <col min="15" max="15" width="26.28515625" bestFit="1" customWidth="1"/>
    <col min="16" max="16" width="23" bestFit="1" customWidth="1"/>
    <col min="17" max="17" width="3.140625" customWidth="1"/>
    <col min="18" max="18" width="18.28515625" bestFit="1" customWidth="1"/>
    <col min="19" max="19" width="18.7109375" bestFit="1" customWidth="1"/>
    <col min="20" max="20" width="19.28515625" bestFit="1" customWidth="1"/>
    <col min="21" max="21" width="19.42578125" bestFit="1" customWidth="1"/>
    <col min="22" max="22" width="1.7109375" customWidth="1"/>
    <col min="23" max="23" width="14.140625" bestFit="1" customWidth="1"/>
    <col min="24" max="24" width="15.5703125" bestFit="1" customWidth="1"/>
    <col min="25" max="25" width="12" bestFit="1" customWidth="1"/>
  </cols>
  <sheetData>
    <row r="1" spans="2:25" ht="9" customHeight="1" collapsed="1" thickBot="1"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2:25" ht="15.75" thickBot="1">
      <c r="B2" s="251" t="s">
        <v>55</v>
      </c>
      <c r="C2" s="252"/>
      <c r="D2" s="252"/>
      <c r="E2" s="252"/>
      <c r="F2" s="252"/>
      <c r="G2" s="253"/>
      <c r="H2" s="97"/>
      <c r="I2" s="246"/>
      <c r="J2" s="246"/>
      <c r="L2" s="251" t="s">
        <v>44</v>
      </c>
      <c r="M2" s="252"/>
      <c r="N2" s="252"/>
      <c r="O2" s="253"/>
      <c r="P2" s="138" t="s">
        <v>45</v>
      </c>
      <c r="S2" s="59"/>
      <c r="T2" s="59"/>
      <c r="U2" s="59"/>
      <c r="V2" s="59"/>
      <c r="W2" s="59"/>
      <c r="X2" s="59"/>
      <c r="Y2" s="59"/>
    </row>
    <row r="3" spans="2:25" ht="5.25" customHeight="1" thickBot="1"/>
    <row r="4" spans="2:25" ht="49.5" customHeight="1" collapsed="1" thickBot="1">
      <c r="B4" s="109" t="s">
        <v>46</v>
      </c>
      <c r="C4" s="109" t="s">
        <v>47</v>
      </c>
      <c r="D4" s="109" t="s">
        <v>48</v>
      </c>
      <c r="E4" s="109" t="s">
        <v>49</v>
      </c>
      <c r="F4" s="109" t="s">
        <v>56</v>
      </c>
      <c r="G4" s="110" t="s">
        <v>57</v>
      </c>
      <c r="H4" s="60"/>
      <c r="I4" s="114" t="s">
        <v>58</v>
      </c>
      <c r="J4" s="110" t="s">
        <v>59</v>
      </c>
      <c r="K4" s="60"/>
      <c r="L4" s="125" t="s">
        <v>50</v>
      </c>
      <c r="M4" s="139" t="s">
        <v>60</v>
      </c>
      <c r="N4" s="125" t="s">
        <v>61</v>
      </c>
      <c r="O4" s="125" t="s">
        <v>60</v>
      </c>
      <c r="P4" s="140" t="s">
        <v>62</v>
      </c>
      <c r="S4" s="89"/>
    </row>
    <row r="5" spans="2:25" ht="49.5" customHeight="1">
      <c r="B5" s="254" t="s">
        <v>63</v>
      </c>
      <c r="C5" s="256">
        <v>4922.7</v>
      </c>
      <c r="D5" s="258" t="s">
        <v>51</v>
      </c>
      <c r="E5" s="258" t="s">
        <v>52</v>
      </c>
      <c r="F5" s="260">
        <v>330717.95</v>
      </c>
      <c r="G5" s="262">
        <f>F5*C5</f>
        <v>1628025252.4649999</v>
      </c>
      <c r="H5" s="103"/>
      <c r="I5" s="115">
        <v>0</v>
      </c>
      <c r="J5" s="108">
        <f>280218.95*C5</f>
        <v>1379433825.165</v>
      </c>
      <c r="K5" s="103"/>
      <c r="L5" s="98">
        <v>44896</v>
      </c>
      <c r="M5" s="116">
        <v>280218.95</v>
      </c>
      <c r="N5" s="106">
        <v>4821</v>
      </c>
      <c r="O5" s="106">
        <f>N5*M5</f>
        <v>1350935557.95</v>
      </c>
      <c r="P5" s="108">
        <f>O5-J5</f>
        <v>-28498267.214999914</v>
      </c>
      <c r="S5" s="89"/>
    </row>
    <row r="6" spans="2:25" ht="49.5" customHeight="1">
      <c r="B6" s="255"/>
      <c r="C6" s="257"/>
      <c r="D6" s="259"/>
      <c r="E6" s="259"/>
      <c r="F6" s="261"/>
      <c r="G6" s="263"/>
      <c r="H6" s="103"/>
      <c r="I6" s="104">
        <v>0</v>
      </c>
      <c r="J6" s="105">
        <f>50499*C5</f>
        <v>248591427.29999998</v>
      </c>
      <c r="K6" s="103"/>
      <c r="L6" s="62">
        <v>44904</v>
      </c>
      <c r="M6" s="99">
        <v>50499</v>
      </c>
      <c r="N6" s="117">
        <v>4816.3484500000004</v>
      </c>
      <c r="O6" s="117">
        <f>N6*M6</f>
        <v>243220780.37655002</v>
      </c>
      <c r="P6" s="105">
        <f>O6-J6+19.92</f>
        <v>-5370627.0034499634</v>
      </c>
      <c r="S6" s="89"/>
      <c r="U6" s="89"/>
    </row>
    <row r="7" spans="2:25" ht="49.5" customHeight="1">
      <c r="B7" s="111" t="s">
        <v>64</v>
      </c>
      <c r="C7" s="94">
        <v>4922.7</v>
      </c>
      <c r="D7" s="113" t="s">
        <v>51</v>
      </c>
      <c r="E7" s="112" t="s">
        <v>65</v>
      </c>
      <c r="F7" s="100">
        <v>5358</v>
      </c>
      <c r="G7" s="107">
        <f t="shared" ref="G7:G12" si="0">F7*C7</f>
        <v>26375826.599999998</v>
      </c>
      <c r="H7" s="103"/>
      <c r="I7" s="104">
        <f>F7*C7</f>
        <v>26375826.599999998</v>
      </c>
      <c r="J7" s="105">
        <v>0</v>
      </c>
      <c r="K7" s="103"/>
      <c r="L7" s="62">
        <v>44896</v>
      </c>
      <c r="M7" s="99">
        <v>5358.57</v>
      </c>
      <c r="N7" s="117">
        <v>4821</v>
      </c>
      <c r="O7" s="117">
        <f>N7*M7</f>
        <v>25833665.969999999</v>
      </c>
      <c r="P7" s="105">
        <f>O7-I7</f>
        <v>-542160.62999999896</v>
      </c>
      <c r="S7" s="89"/>
    </row>
    <row r="8" spans="2:25" ht="49.5" customHeight="1">
      <c r="B8" s="111" t="s">
        <v>66</v>
      </c>
      <c r="C8" s="94">
        <v>4922.7</v>
      </c>
      <c r="D8" s="113" t="s">
        <v>51</v>
      </c>
      <c r="E8" s="112" t="s">
        <v>53</v>
      </c>
      <c r="F8" s="100">
        <v>1579.96</v>
      </c>
      <c r="G8" s="107">
        <f t="shared" si="0"/>
        <v>7777669.0920000002</v>
      </c>
      <c r="H8" s="103"/>
      <c r="I8" s="104">
        <f>F8*C8</f>
        <v>7777669.0920000002</v>
      </c>
      <c r="J8" s="105">
        <v>0</v>
      </c>
      <c r="K8" s="103"/>
      <c r="L8" s="62">
        <v>44896</v>
      </c>
      <c r="M8" s="99">
        <v>1579.96</v>
      </c>
      <c r="N8" s="117">
        <v>4821</v>
      </c>
      <c r="O8" s="117">
        <f>N8*M8</f>
        <v>7616987.1600000001</v>
      </c>
      <c r="P8" s="105">
        <f>O8-I8</f>
        <v>-160681.93200000003</v>
      </c>
      <c r="S8" s="89"/>
    </row>
    <row r="9" spans="2:25" ht="49.5" customHeight="1">
      <c r="B9" s="111" t="s">
        <v>67</v>
      </c>
      <c r="C9" s="94">
        <v>4922.7</v>
      </c>
      <c r="D9" s="113" t="s">
        <v>51</v>
      </c>
      <c r="E9" s="112" t="s">
        <v>68</v>
      </c>
      <c r="F9" s="100">
        <v>1207.19</v>
      </c>
      <c r="G9" s="107">
        <f t="shared" si="0"/>
        <v>5942634.2130000005</v>
      </c>
      <c r="H9" s="103"/>
      <c r="I9" s="104">
        <f>C9*F9</f>
        <v>5942634.2130000005</v>
      </c>
      <c r="J9" s="105">
        <v>0</v>
      </c>
      <c r="K9" s="103"/>
      <c r="L9" s="62">
        <v>44896</v>
      </c>
      <c r="M9" s="99">
        <v>1207.19</v>
      </c>
      <c r="N9" s="117">
        <v>4821</v>
      </c>
      <c r="O9" s="117">
        <f>N9*M9</f>
        <v>5819862.9900000002</v>
      </c>
      <c r="P9" s="105">
        <f>O9-I9</f>
        <v>-122771.22300000023</v>
      </c>
    </row>
    <row r="10" spans="2:25" ht="49.5" customHeight="1">
      <c r="B10" s="111" t="s">
        <v>69</v>
      </c>
      <c r="C10" s="94">
        <v>4737.1899999999996</v>
      </c>
      <c r="D10" s="113" t="s">
        <v>51</v>
      </c>
      <c r="E10" s="112" t="s">
        <v>70</v>
      </c>
      <c r="F10" s="100">
        <v>4543.43</v>
      </c>
      <c r="G10" s="107">
        <f t="shared" si="0"/>
        <v>21523091.161699999</v>
      </c>
      <c r="H10" s="103"/>
      <c r="I10" s="104">
        <v>21523091.161699999</v>
      </c>
      <c r="J10" s="105">
        <v>0</v>
      </c>
      <c r="K10" s="103"/>
      <c r="L10" s="62">
        <v>44917</v>
      </c>
      <c r="M10" s="100">
        <v>4543.43</v>
      </c>
      <c r="N10" s="117">
        <v>4746.3</v>
      </c>
      <c r="O10" s="117">
        <f t="shared" ref="O10:O13" si="1">N10*M10</f>
        <v>21564481.809</v>
      </c>
      <c r="P10" s="105">
        <f t="shared" ref="P10:P13" si="2">O10-I10</f>
        <v>41390.647300001234</v>
      </c>
    </row>
    <row r="11" spans="2:25" ht="49.5" customHeight="1">
      <c r="B11" s="111" t="s">
        <v>71</v>
      </c>
      <c r="C11" s="94">
        <v>4737.1899999999996</v>
      </c>
      <c r="D11" s="113" t="s">
        <v>51</v>
      </c>
      <c r="E11" s="112" t="s">
        <v>72</v>
      </c>
      <c r="F11" s="100">
        <v>467025.04</v>
      </c>
      <c r="G11" s="107">
        <f t="shared" si="0"/>
        <v>2212386349.2375998</v>
      </c>
      <c r="H11" s="103"/>
      <c r="I11" s="104">
        <v>2212386349.2375998</v>
      </c>
      <c r="J11" s="105">
        <v>0</v>
      </c>
      <c r="K11" s="103"/>
      <c r="L11" s="62">
        <v>44917</v>
      </c>
      <c r="M11" s="100">
        <v>467025.04</v>
      </c>
      <c r="N11" s="117">
        <v>4746.3</v>
      </c>
      <c r="O11" s="117">
        <f t="shared" si="1"/>
        <v>2216640947.3519998</v>
      </c>
      <c r="P11" s="105">
        <f t="shared" si="2"/>
        <v>4254598.11439991</v>
      </c>
    </row>
    <row r="12" spans="2:25" ht="49.5" customHeight="1">
      <c r="B12" s="111" t="s">
        <v>73</v>
      </c>
      <c r="C12" s="94">
        <v>4737.1899999999996</v>
      </c>
      <c r="D12" s="113" t="s">
        <v>51</v>
      </c>
      <c r="E12" s="112" t="s">
        <v>54</v>
      </c>
      <c r="F12" s="100">
        <v>2242.17</v>
      </c>
      <c r="G12" s="107">
        <f t="shared" si="0"/>
        <v>10621585.302299999</v>
      </c>
      <c r="H12" s="103"/>
      <c r="I12" s="104">
        <v>10621585.302299999</v>
      </c>
      <c r="J12" s="105">
        <v>0</v>
      </c>
      <c r="K12" s="103"/>
      <c r="L12" s="62">
        <v>44917</v>
      </c>
      <c r="M12" s="100">
        <v>2242.17</v>
      </c>
      <c r="N12" s="117">
        <v>4746.3</v>
      </c>
      <c r="O12" s="117">
        <f t="shared" si="1"/>
        <v>10642011.471000001</v>
      </c>
      <c r="P12" s="105">
        <f t="shared" si="2"/>
        <v>20426.168700002134</v>
      </c>
    </row>
    <row r="13" spans="2:25" ht="49.5" customHeight="1" thickBot="1">
      <c r="B13" s="111" t="s">
        <v>74</v>
      </c>
      <c r="C13" s="94">
        <v>4737.1899999999996</v>
      </c>
      <c r="D13" s="113" t="s">
        <v>51</v>
      </c>
      <c r="E13" s="112" t="s">
        <v>75</v>
      </c>
      <c r="F13" s="100">
        <v>4021.16</v>
      </c>
      <c r="G13" s="107">
        <f>F13*C13</f>
        <v>19048998.940399997</v>
      </c>
      <c r="H13" s="103"/>
      <c r="I13" s="104">
        <v>19048998.940399997</v>
      </c>
      <c r="J13" s="105">
        <v>0</v>
      </c>
      <c r="K13" s="103"/>
      <c r="L13" s="62">
        <v>44914</v>
      </c>
      <c r="M13" s="99">
        <v>4021.16</v>
      </c>
      <c r="N13" s="117">
        <v>4767.22</v>
      </c>
      <c r="O13" s="117">
        <f t="shared" si="1"/>
        <v>19169754.3752</v>
      </c>
      <c r="P13" s="105">
        <f t="shared" si="2"/>
        <v>120755.43480000272</v>
      </c>
    </row>
    <row r="14" spans="2:25" ht="15.75" thickBot="1">
      <c r="B14" s="248"/>
      <c r="C14" s="248"/>
      <c r="D14" s="248"/>
      <c r="E14" s="249"/>
      <c r="F14" s="64">
        <f>SUM(F5:F13)</f>
        <v>816694.90000000014</v>
      </c>
      <c r="G14" s="126">
        <f>SUM(G5:G13)</f>
        <v>3931701407.0119996</v>
      </c>
      <c r="H14" s="101"/>
      <c r="I14" s="141">
        <f>SUM(I5:I13)</f>
        <v>2303676154.5469999</v>
      </c>
      <c r="J14" s="142">
        <f>SUM(J5:J13)</f>
        <v>1628025252.4649999</v>
      </c>
      <c r="K14" s="61"/>
      <c r="L14" s="65"/>
      <c r="M14" s="127">
        <f>SUM(M5:M13)</f>
        <v>816695.47000000009</v>
      </c>
      <c r="N14" s="65"/>
      <c r="O14" s="126">
        <f>SUM(O5:O13)</f>
        <v>3901444049.4537497</v>
      </c>
      <c r="P14" s="143">
        <f>SUM(P5:P13)</f>
        <v>-30257337.638249952</v>
      </c>
      <c r="R14" s="63"/>
      <c r="T14" s="80"/>
    </row>
    <row r="15" spans="2:25">
      <c r="B15" s="66"/>
      <c r="C15" s="66"/>
      <c r="D15" s="66"/>
      <c r="E15" s="67"/>
      <c r="F15" s="61"/>
      <c r="G15" s="61"/>
      <c r="H15" s="61"/>
      <c r="I15" s="61"/>
      <c r="J15" s="61"/>
      <c r="K15" s="61"/>
      <c r="L15" s="65"/>
      <c r="M15" s="61"/>
      <c r="N15" s="65"/>
      <c r="O15" s="61"/>
      <c r="P15" s="102"/>
    </row>
    <row r="16" spans="2:25">
      <c r="B16" s="66"/>
      <c r="C16" s="66"/>
      <c r="D16" s="66"/>
      <c r="E16" s="67"/>
      <c r="F16" s="61"/>
      <c r="G16" s="61"/>
      <c r="H16" s="61"/>
      <c r="I16" s="61"/>
      <c r="J16" s="61"/>
      <c r="K16" s="61"/>
      <c r="L16" s="65"/>
      <c r="M16" s="61"/>
      <c r="N16" s="65"/>
      <c r="O16" s="61"/>
    </row>
    <row r="17" spans="2:16">
      <c r="B17" s="66"/>
      <c r="C17" s="66"/>
      <c r="D17" s="66"/>
      <c r="E17" s="67"/>
      <c r="F17" s="61"/>
      <c r="G17" s="61"/>
      <c r="H17" s="61"/>
      <c r="I17" s="61"/>
      <c r="J17" s="61"/>
      <c r="K17" s="61"/>
      <c r="L17" s="65"/>
      <c r="M17" s="61"/>
      <c r="N17" s="65"/>
      <c r="O17" s="61"/>
      <c r="P17" s="61"/>
    </row>
    <row r="18" spans="2:16">
      <c r="B18" s="66"/>
      <c r="C18" s="66"/>
      <c r="D18" s="66"/>
      <c r="E18" s="67"/>
      <c r="F18" s="61"/>
      <c r="G18" s="61"/>
      <c r="H18" s="61"/>
      <c r="I18" s="61"/>
      <c r="J18" s="61"/>
      <c r="K18" s="61"/>
      <c r="L18" s="65"/>
      <c r="M18" s="61"/>
      <c r="N18" s="65"/>
      <c r="O18" s="61"/>
      <c r="P18" s="61"/>
    </row>
    <row r="19" spans="2:16">
      <c r="B19" s="66"/>
      <c r="C19" s="66"/>
      <c r="D19" s="66"/>
      <c r="E19" s="67"/>
      <c r="F19" s="61"/>
      <c r="G19" s="61"/>
      <c r="H19" s="61"/>
      <c r="I19" s="61"/>
      <c r="J19" s="61"/>
      <c r="K19" s="61"/>
      <c r="L19" s="65"/>
      <c r="M19" s="61"/>
      <c r="N19" s="65"/>
      <c r="O19" s="61"/>
      <c r="P19" s="61"/>
    </row>
    <row r="20" spans="2:16">
      <c r="B20" s="66"/>
      <c r="C20" s="66"/>
      <c r="D20" s="66"/>
      <c r="E20" s="67"/>
      <c r="F20" s="61"/>
      <c r="G20" s="61"/>
      <c r="H20" s="61"/>
      <c r="I20" s="61"/>
      <c r="J20" s="61"/>
      <c r="K20" s="61"/>
      <c r="L20" s="65"/>
      <c r="M20" s="61"/>
      <c r="N20" s="65"/>
      <c r="O20" s="61"/>
      <c r="P20" s="61"/>
    </row>
    <row r="21" spans="2:16">
      <c r="B21" s="66"/>
      <c r="C21" s="66"/>
      <c r="D21" s="66"/>
      <c r="E21" s="67"/>
      <c r="F21" s="61"/>
      <c r="G21" s="61"/>
      <c r="H21" s="61"/>
      <c r="I21" s="61"/>
      <c r="J21" s="61"/>
      <c r="K21" s="61"/>
      <c r="L21" s="65"/>
      <c r="M21" s="61"/>
      <c r="N21" s="65"/>
      <c r="O21" s="61"/>
      <c r="P21" s="61"/>
    </row>
    <row r="22" spans="2:16">
      <c r="B22" s="66"/>
      <c r="C22" s="66"/>
      <c r="D22" s="66"/>
      <c r="E22" s="67"/>
      <c r="F22" s="61"/>
      <c r="G22" s="61"/>
      <c r="H22" s="61"/>
      <c r="I22" s="61"/>
      <c r="J22" s="61"/>
      <c r="K22" s="61"/>
      <c r="L22" s="65"/>
      <c r="M22" s="61"/>
      <c r="N22" s="65"/>
      <c r="O22" s="61"/>
      <c r="P22" s="61"/>
    </row>
    <row r="23" spans="2:16">
      <c r="B23" s="66"/>
      <c r="C23" s="66"/>
      <c r="D23" s="66"/>
      <c r="E23" s="67"/>
      <c r="F23" s="61"/>
      <c r="G23" s="61"/>
      <c r="H23" s="61"/>
      <c r="I23" s="61"/>
      <c r="J23" s="61"/>
      <c r="K23" s="61"/>
      <c r="L23" s="65"/>
      <c r="M23" s="61"/>
      <c r="N23" s="65"/>
      <c r="O23" s="61"/>
      <c r="P23" s="61"/>
    </row>
    <row r="24" spans="2:16">
      <c r="B24" s="66"/>
      <c r="C24" s="66"/>
      <c r="D24" s="66"/>
      <c r="E24" s="67"/>
      <c r="F24" s="61"/>
      <c r="G24" s="61"/>
      <c r="H24" s="61"/>
      <c r="I24" s="61"/>
      <c r="J24" s="61"/>
      <c r="K24" s="61"/>
      <c r="L24" s="65"/>
      <c r="M24" s="61"/>
      <c r="N24" s="65"/>
      <c r="O24" s="61"/>
      <c r="P24" s="61"/>
    </row>
    <row r="25" spans="2:16">
      <c r="B25" s="66"/>
      <c r="C25" s="66"/>
      <c r="D25" s="66"/>
      <c r="E25" s="67"/>
      <c r="F25" s="61"/>
      <c r="G25" s="61"/>
      <c r="H25" s="61"/>
      <c r="I25" s="61"/>
      <c r="J25" s="61"/>
      <c r="K25" s="61"/>
      <c r="L25" s="65"/>
      <c r="M25" s="61"/>
      <c r="N25" s="65"/>
      <c r="O25" s="61"/>
      <c r="P25" s="61"/>
    </row>
    <row r="26" spans="2:16">
      <c r="B26" s="66"/>
      <c r="C26" s="66"/>
      <c r="D26" s="66"/>
      <c r="E26" s="67"/>
      <c r="F26" s="61"/>
      <c r="G26" s="61"/>
      <c r="H26" s="61"/>
      <c r="I26" s="61"/>
      <c r="J26" s="61"/>
      <c r="K26" s="61"/>
      <c r="L26" s="65"/>
      <c r="M26" s="61"/>
      <c r="N26" s="65"/>
      <c r="O26" s="61"/>
      <c r="P26" s="61"/>
    </row>
    <row r="27" spans="2:16">
      <c r="B27" s="66"/>
      <c r="C27" s="66"/>
      <c r="D27" s="66"/>
      <c r="E27" s="67"/>
      <c r="F27" s="61"/>
      <c r="G27" s="61"/>
      <c r="H27" s="61"/>
      <c r="I27" s="61"/>
      <c r="J27" s="61"/>
      <c r="K27" s="61"/>
      <c r="L27" s="65"/>
      <c r="M27" s="61"/>
      <c r="N27" s="65"/>
      <c r="O27" s="61"/>
      <c r="P27" s="61"/>
    </row>
    <row r="28" spans="2:16">
      <c r="B28" s="66"/>
      <c r="C28" s="66"/>
      <c r="D28" s="66"/>
      <c r="E28" s="67"/>
      <c r="F28" s="61"/>
      <c r="G28" s="61"/>
      <c r="H28" s="61"/>
      <c r="I28" s="61"/>
      <c r="J28" s="61"/>
      <c r="K28" s="61"/>
      <c r="L28" s="65"/>
      <c r="M28" s="61"/>
      <c r="N28" s="65"/>
      <c r="O28" s="61"/>
      <c r="P28" s="61"/>
    </row>
    <row r="29" spans="2:16">
      <c r="B29" s="66"/>
      <c r="C29" s="66"/>
      <c r="D29" s="66"/>
      <c r="E29" s="67"/>
      <c r="F29" s="61"/>
      <c r="G29" s="61"/>
      <c r="H29" s="61"/>
      <c r="I29" s="61"/>
      <c r="J29" s="61"/>
      <c r="K29" s="61"/>
      <c r="L29" s="65"/>
      <c r="M29" s="61"/>
      <c r="N29" s="65"/>
      <c r="O29" s="61"/>
      <c r="P29" s="61"/>
    </row>
    <row r="30" spans="2:16">
      <c r="B30" s="66"/>
      <c r="C30" s="66"/>
      <c r="D30" s="66"/>
      <c r="E30" s="67"/>
      <c r="F30" s="61"/>
      <c r="G30" s="61"/>
      <c r="H30" s="61"/>
      <c r="I30" s="61"/>
      <c r="J30" s="61"/>
      <c r="K30" s="61"/>
      <c r="L30" s="65"/>
      <c r="M30" s="61"/>
      <c r="N30" s="65"/>
      <c r="O30" s="61"/>
      <c r="P30" s="61"/>
    </row>
    <row r="31" spans="2:16">
      <c r="B31" s="66"/>
      <c r="C31" s="66"/>
      <c r="D31" s="66"/>
      <c r="E31" s="67"/>
      <c r="F31" s="61"/>
      <c r="G31" s="61"/>
      <c r="H31" s="61"/>
      <c r="I31" s="61"/>
      <c r="J31" s="61"/>
      <c r="K31" s="61"/>
      <c r="L31" s="65"/>
      <c r="M31" s="61"/>
      <c r="N31" s="65"/>
      <c r="O31" s="61"/>
      <c r="P31" s="61"/>
    </row>
    <row r="32" spans="2:16">
      <c r="B32" s="66"/>
      <c r="C32" s="66"/>
      <c r="D32" s="66"/>
      <c r="E32" s="67"/>
      <c r="F32" s="61"/>
      <c r="G32" s="61"/>
      <c r="H32" s="61"/>
      <c r="I32" s="61"/>
      <c r="J32" s="61"/>
      <c r="K32" s="61"/>
      <c r="L32" s="65"/>
      <c r="M32" s="61"/>
      <c r="N32" s="65"/>
      <c r="O32" s="61"/>
      <c r="P32" s="61"/>
    </row>
    <row r="33" spans="2:16">
      <c r="B33" s="66"/>
      <c r="C33" s="66"/>
      <c r="D33" s="66"/>
      <c r="E33" s="67"/>
      <c r="F33" s="61"/>
      <c r="G33" s="61"/>
      <c r="H33" s="61"/>
      <c r="I33" s="61"/>
      <c r="J33" s="61"/>
      <c r="K33" s="61"/>
      <c r="L33" s="65"/>
      <c r="M33" s="61"/>
      <c r="N33" s="65"/>
      <c r="O33" s="61"/>
      <c r="P33" s="61"/>
    </row>
    <row r="34" spans="2:16">
      <c r="B34" s="66"/>
      <c r="C34" s="66"/>
      <c r="D34" s="66"/>
      <c r="E34" s="67"/>
      <c r="F34" s="61"/>
      <c r="G34" s="61"/>
      <c r="H34" s="61"/>
      <c r="I34" s="61"/>
      <c r="J34" s="61"/>
      <c r="K34" s="61"/>
      <c r="L34" s="65"/>
      <c r="M34" s="61"/>
      <c r="N34" s="65"/>
      <c r="O34" s="61"/>
      <c r="P34" s="61"/>
    </row>
    <row r="35" spans="2:16">
      <c r="B35" s="66"/>
      <c r="C35" s="66"/>
      <c r="D35" s="66"/>
      <c r="E35" s="67"/>
      <c r="F35" s="61"/>
      <c r="G35" s="61"/>
      <c r="H35" s="61"/>
      <c r="I35" s="61"/>
      <c r="J35" s="61"/>
      <c r="K35" s="61"/>
      <c r="L35" s="65"/>
      <c r="M35" s="61"/>
      <c r="N35" s="65"/>
      <c r="O35" s="61"/>
      <c r="P35" s="61"/>
    </row>
    <row r="36" spans="2:16">
      <c r="B36" s="66"/>
      <c r="C36" s="66"/>
      <c r="D36" s="66"/>
      <c r="E36" s="67"/>
      <c r="F36" s="61"/>
      <c r="G36" s="61"/>
      <c r="H36" s="61"/>
      <c r="I36" s="61"/>
      <c r="J36" s="61"/>
      <c r="K36" s="61"/>
      <c r="L36" s="65"/>
      <c r="M36" s="61"/>
      <c r="N36" s="65"/>
      <c r="O36" s="61"/>
      <c r="P36" s="61"/>
    </row>
    <row r="37" spans="2:16">
      <c r="B37" s="66"/>
      <c r="C37" s="66"/>
      <c r="D37" s="66"/>
      <c r="E37" s="67"/>
      <c r="F37" s="61"/>
      <c r="G37" s="61"/>
      <c r="H37" s="61"/>
      <c r="I37" s="61"/>
      <c r="J37" s="61"/>
      <c r="K37" s="61"/>
      <c r="L37" s="65"/>
      <c r="M37" s="61"/>
      <c r="N37" s="65"/>
      <c r="O37" s="61"/>
      <c r="P37" s="61"/>
    </row>
  </sheetData>
  <mergeCells count="11">
    <mergeCell ref="B14:E14"/>
    <mergeCell ref="D1:P1"/>
    <mergeCell ref="B2:G2"/>
    <mergeCell ref="I2:J2"/>
    <mergeCell ref="L2:O2"/>
    <mergeCell ref="B5:B6"/>
    <mergeCell ref="C5:C6"/>
    <mergeCell ref="D5:D6"/>
    <mergeCell ref="E5:E6"/>
    <mergeCell ref="F5:F6"/>
    <mergeCell ref="G5:G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3" scale="6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1"/>
  <dimension ref="A2:D37"/>
  <sheetViews>
    <sheetView workbookViewId="0">
      <selection activeCell="A3" sqref="A3:A22"/>
    </sheetView>
  </sheetViews>
  <sheetFormatPr baseColWidth="10" defaultColWidth="11.42578125" defaultRowHeight="15"/>
  <cols>
    <col min="1" max="16384" width="11.42578125" style="51"/>
  </cols>
  <sheetData>
    <row r="2" spans="1:1">
      <c r="A2" s="50" t="s">
        <v>94</v>
      </c>
    </row>
    <row r="3" spans="1:1">
      <c r="A3" s="155">
        <v>46023</v>
      </c>
    </row>
    <row r="4" spans="1:1">
      <c r="A4" s="155">
        <v>46034</v>
      </c>
    </row>
    <row r="5" spans="1:1">
      <c r="A5" s="155">
        <v>46104</v>
      </c>
    </row>
    <row r="6" spans="1:1">
      <c r="A6" s="155">
        <v>46110</v>
      </c>
    </row>
    <row r="7" spans="1:1">
      <c r="A7" s="155">
        <v>46114</v>
      </c>
    </row>
    <row r="8" spans="1:1">
      <c r="A8" s="155">
        <v>46115</v>
      </c>
    </row>
    <row r="9" spans="1:1">
      <c r="A9" s="155">
        <v>46117</v>
      </c>
    </row>
    <row r="10" spans="1:1">
      <c r="A10" s="155">
        <v>46143</v>
      </c>
    </row>
    <row r="11" spans="1:1">
      <c r="A11" s="155">
        <v>46160</v>
      </c>
    </row>
    <row r="12" spans="1:1">
      <c r="A12" s="155">
        <v>46181</v>
      </c>
    </row>
    <row r="13" spans="1:1">
      <c r="A13" s="155">
        <v>46188</v>
      </c>
    </row>
    <row r="14" spans="1:1">
      <c r="A14" s="155">
        <v>46202</v>
      </c>
    </row>
    <row r="15" spans="1:1">
      <c r="A15" s="155">
        <v>46223</v>
      </c>
    </row>
    <row r="16" spans="1:1">
      <c r="A16" s="155">
        <v>46241</v>
      </c>
    </row>
    <row r="17" spans="1:4">
      <c r="A17" s="155">
        <v>46251</v>
      </c>
    </row>
    <row r="18" spans="1:4">
      <c r="A18" s="155">
        <v>46307</v>
      </c>
    </row>
    <row r="19" spans="1:4">
      <c r="A19" s="155">
        <v>46328</v>
      </c>
    </row>
    <row r="20" spans="1:4">
      <c r="A20" s="156">
        <v>46342</v>
      </c>
    </row>
    <row r="21" spans="1:4">
      <c r="A21" s="156">
        <v>46364</v>
      </c>
      <c r="C21" s="52"/>
      <c r="D21" s="53"/>
    </row>
    <row r="22" spans="1:4">
      <c r="A22" s="156">
        <v>46381</v>
      </c>
      <c r="C22" s="52"/>
      <c r="D22" s="53"/>
    </row>
    <row r="23" spans="1:4">
      <c r="C23" s="52"/>
      <c r="D23" s="53"/>
    </row>
    <row r="24" spans="1:4">
      <c r="C24" s="52"/>
      <c r="D24" s="53"/>
    </row>
    <row r="25" spans="1:4">
      <c r="C25" s="52"/>
      <c r="D25" s="53"/>
    </row>
    <row r="26" spans="1:4">
      <c r="C26" s="52"/>
      <c r="D26" s="53"/>
    </row>
    <row r="27" spans="1:4">
      <c r="C27" s="52"/>
      <c r="D27" s="53"/>
    </row>
    <row r="28" spans="1:4">
      <c r="C28" s="52"/>
      <c r="D28" s="53"/>
    </row>
    <row r="29" spans="1:4">
      <c r="C29" s="52"/>
      <c r="D29" s="53"/>
    </row>
    <row r="30" spans="1:4">
      <c r="C30" s="52"/>
      <c r="D30" s="53"/>
    </row>
    <row r="31" spans="1:4">
      <c r="C31" s="52"/>
      <c r="D31" s="53"/>
    </row>
    <row r="32" spans="1:4">
      <c r="C32" s="52"/>
      <c r="D32" s="53"/>
    </row>
    <row r="33" spans="3:4">
      <c r="C33" s="52"/>
      <c r="D33" s="53"/>
    </row>
    <row r="34" spans="3:4">
      <c r="C34" s="52"/>
      <c r="D34" s="53"/>
    </row>
    <row r="35" spans="3:4">
      <c r="C35" s="52"/>
      <c r="D35" s="53"/>
    </row>
    <row r="36" spans="3:4">
      <c r="C36" s="52"/>
      <c r="D36" s="53"/>
    </row>
    <row r="37" spans="3:4">
      <c r="C37" s="52"/>
      <c r="D37" s="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96406fb4f8b3d11f54b8e4e8c4fe2f46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8f304e0f3a97781b1a55b1c328fbe4c1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E35593-FBD6-444D-83CA-7AF5102AE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0D6A0C-EE2E-42D7-B506-35BD1336EFF3}">
  <ds:schemaRefs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45746485-dadf-402b-946d-670a8d5419c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144bafa-e542-4cda-980a-0dcf7db8d145"/>
  </ds:schemaRefs>
</ds:datastoreItem>
</file>

<file path=customXml/itemProps3.xml><?xml version="1.0" encoding="utf-8"?>
<ds:datastoreItem xmlns:ds="http://schemas.openxmlformats.org/officeDocument/2006/customXml" ds:itemID="{D4DC15CE-B511-4638-BDC6-D99F2AD1B7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DICIEMBRE</vt:lpstr>
      <vt:lpstr>ENERO</vt:lpstr>
      <vt:lpstr>FEBRERO</vt:lpstr>
      <vt:lpstr>MARZO</vt:lpstr>
      <vt:lpstr>ABRIL</vt:lpstr>
      <vt:lpstr>MAYO</vt:lpstr>
      <vt:lpstr>RESUMEN</vt:lpstr>
      <vt:lpstr>Prioridades de pago</vt:lpstr>
      <vt:lpstr>Pagos realiDiferencia 2022</vt:lpstr>
      <vt:lpstr>Festivos Colombia</vt:lpstr>
      <vt:lpstr>'Pagos realiDiferencia 2022'!Área_de_impresión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Contratacion</dc:creator>
  <cp:keywords/>
  <dc:description/>
  <cp:lastModifiedBy>Alfonso Fonseca</cp:lastModifiedBy>
  <cp:revision/>
  <dcterms:created xsi:type="dcterms:W3CDTF">2022-11-17T22:06:12Z</dcterms:created>
  <dcterms:modified xsi:type="dcterms:W3CDTF">2026-05-19T15:05:24Z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